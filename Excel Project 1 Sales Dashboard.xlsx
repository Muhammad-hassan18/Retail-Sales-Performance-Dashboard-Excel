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8c16bd6028e6cb14/Desktop/Documents/EXcel course/"/>
    </mc:Choice>
  </mc:AlternateContent>
  <xr:revisionPtr revIDLastSave="62" documentId="8_{7F23A857-4E51-432B-A956-CA264B2E03C8}" xr6:coauthVersionLast="47" xr6:coauthVersionMax="47" xr10:uidLastSave="{B351E036-DA7D-4ED1-A664-D62F713C27FF}"/>
  <bookViews>
    <workbookView xWindow="-110" yWindow="-110" windowWidth="19420" windowHeight="11020" activeTab="3" xr2:uid="{FA72A005-E82E-48E8-903A-FD0CE20BA4E5}"/>
  </bookViews>
  <sheets>
    <sheet name="Master Data" sheetId="1" r:id="rId1"/>
    <sheet name="Data Check" sheetId="3" r:id="rId2"/>
    <sheet name="KPIs" sheetId="2" r:id="rId3"/>
    <sheet name="DASHBORAD CREATION" sheetId="4" r:id="rId4"/>
  </sheets>
  <definedNames>
    <definedName name="_xlchart.v1.4" hidden="1">KPIs!$E$20:$E$26</definedName>
    <definedName name="_xlchart.v1.5" hidden="1">KPIs!$F$19</definedName>
    <definedName name="_xlchart.v1.6" hidden="1">KPIs!$F$20:$F$26</definedName>
    <definedName name="_xlchart.v1.7" hidden="1">KPIs!$E$20:$E$26</definedName>
    <definedName name="_xlchart.v1.8" hidden="1">KPIs!$F$19</definedName>
    <definedName name="_xlchart.v1.9" hidden="1">KPIs!$F$20:$F$26</definedName>
    <definedName name="_xlchart.v5.0" hidden="1">KPIs!$T$13</definedName>
    <definedName name="_xlchart.v5.1" hidden="1">KPIs!$T$14:$T$18</definedName>
    <definedName name="_xlchart.v5.10" hidden="1">KPIs!$T$13</definedName>
    <definedName name="_xlchart.v5.11" hidden="1">KPIs!$T$14:$T$18</definedName>
    <definedName name="_xlchart.v5.12" hidden="1">KPIs!$U$13</definedName>
    <definedName name="_xlchart.v5.13" hidden="1">KPIs!$U$14:$U$18</definedName>
    <definedName name="_xlchart.v5.2" hidden="1">KPIs!$U$13</definedName>
    <definedName name="_xlchart.v5.3" hidden="1">KPIs!$U$14:$U$18</definedName>
    <definedName name="_xlcn.WorksheetConnection_MasterDataA1Z10021" hidden="1">'Master Data'!$A$1:$Z$1002</definedName>
    <definedName name="Slicer_Category">#N/A</definedName>
    <definedName name="Slicer_Gender">#N/A</definedName>
    <definedName name="Slicer_OrderChannel">#N/A</definedName>
    <definedName name="Slicer_Region">#N/A</definedName>
    <definedName name="Timeline_OrderDate">#N/A</definedName>
  </definedNames>
  <calcPr calcId="191029"/>
  <pivotCaches>
    <pivotCache cacheId="194" r:id="rId5"/>
    <pivotCache cacheId="197" r:id="rId6"/>
    <pivotCache cacheId="200" r:id="rId7"/>
    <pivotCache cacheId="203" r:id="rId8"/>
    <pivotCache cacheId="206" r:id="rId9"/>
    <pivotCache cacheId="209" r:id="rId10"/>
    <pivotCache cacheId="212" r:id="rId11"/>
    <pivotCache cacheId="215" r:id="rId12"/>
    <pivotCache cacheId="218" r:id="rId13"/>
    <pivotCache cacheId="221"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Master Data!$A$1:$Z$1002"/>
        </x15:modelTables>
        <x15:extLst>
          <ext xmlns:x16="http://schemas.microsoft.com/office/spreadsheetml/2014/11/main" uri="{9835A34E-60A6-4A7C-AAB8-D5F71C897F49}">
            <x16:modelTimeGroupings>
              <x16:modelTimeGrouping tableName="Range"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15" i="2" l="1"/>
  <c r="T16" i="2"/>
  <c r="T17" i="2"/>
  <c r="T18" i="2"/>
  <c r="T14" i="2"/>
  <c r="U15" i="2"/>
  <c r="U16" i="2"/>
  <c r="U17" i="2"/>
  <c r="U18" i="2"/>
  <c r="U14" i="2"/>
  <c r="E21" i="2"/>
  <c r="E22" i="2"/>
  <c r="E23" i="2"/>
  <c r="E24" i="2"/>
  <c r="E25" i="2"/>
  <c r="E26" i="2"/>
  <c r="E27" i="2"/>
  <c r="E28" i="2"/>
  <c r="E29" i="2"/>
  <c r="E20" i="2"/>
  <c r="F21" i="2"/>
  <c r="F22" i="2"/>
  <c r="F23" i="2"/>
  <c r="F24" i="2"/>
  <c r="F25" i="2"/>
  <c r="F26" i="2"/>
  <c r="F27" i="2"/>
  <c r="F28" i="2"/>
  <c r="F29" i="2"/>
  <c r="F30" i="2"/>
  <c r="F31" i="2"/>
  <c r="F2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3EDC67-3C6A-452A-BE3B-844E356BDF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DF15553-BDF3-475B-A7BE-7D4999987CCF}" name="WorksheetConnection_Master Data!$A$1:$Z$1002" type="102" refreshedVersion="8" minRefreshableVersion="5">
    <extLst>
      <ext xmlns:x15="http://schemas.microsoft.com/office/spreadsheetml/2010/11/main" uri="{DE250136-89BD-433C-8126-D09CA5730AF9}">
        <x15:connection id="Range" autoDelete="1">
          <x15:rangePr sourceName="_xlcn.WorksheetConnection_MasterDataA1Z10021"/>
        </x15:connection>
      </ext>
    </extLst>
  </connection>
</connections>
</file>

<file path=xl/sharedStrings.xml><?xml version="1.0" encoding="utf-8"?>
<sst xmlns="http://schemas.openxmlformats.org/spreadsheetml/2006/main" count="15139" uniqueCount="1715">
  <si>
    <t>OrderID</t>
  </si>
  <si>
    <t>OrderDate</t>
  </si>
  <si>
    <t>CustomerID</t>
  </si>
  <si>
    <t>CustomerName</t>
  </si>
  <si>
    <t>Gender</t>
  </si>
  <si>
    <t>Age</t>
  </si>
  <si>
    <t>Product</t>
  </si>
  <si>
    <t>Category</t>
  </si>
  <si>
    <t>SubCategory</t>
  </si>
  <si>
    <t>Brand</t>
  </si>
  <si>
    <t>Quantity</t>
  </si>
  <si>
    <t>UnitPrice</t>
  </si>
  <si>
    <t>Discount</t>
  </si>
  <si>
    <t>DiscountAmount</t>
  </si>
  <si>
    <t>Tax</t>
  </si>
  <si>
    <t>ShippingCost</t>
  </si>
  <si>
    <t>TotalAmount</t>
  </si>
  <si>
    <t>PaymentMethod</t>
  </si>
  <si>
    <t>OrderChannel</t>
  </si>
  <si>
    <t>City</t>
  </si>
  <si>
    <t>State</t>
  </si>
  <si>
    <t>Region</t>
  </si>
  <si>
    <t>DeliveryDays</t>
  </si>
  <si>
    <t>ReturnStatus</t>
  </si>
  <si>
    <t>Rating</t>
  </si>
  <si>
    <t>Status</t>
  </si>
  <si>
    <t>ORD00001</t>
  </si>
  <si>
    <t>CUST883</t>
  </si>
  <si>
    <t>Rahul</t>
  </si>
  <si>
    <t>Female</t>
  </si>
  <si>
    <t>Headphones</t>
  </si>
  <si>
    <t>Electronics</t>
  </si>
  <si>
    <t>Sony</t>
  </si>
  <si>
    <t>Net Banking</t>
  </si>
  <si>
    <t>Website</t>
  </si>
  <si>
    <t>West</t>
  </si>
  <si>
    <t>No Return</t>
  </si>
  <si>
    <t>Delivered</t>
  </si>
  <si>
    <t>ORD00002</t>
  </si>
  <si>
    <t>CUST657</t>
  </si>
  <si>
    <t>Neha</t>
  </si>
  <si>
    <t>Male</t>
  </si>
  <si>
    <t>Keyboard</t>
  </si>
  <si>
    <t>Cash on Delivery</t>
  </si>
  <si>
    <t>Returned</t>
  </si>
  <si>
    <t>ORD00003</t>
  </si>
  <si>
    <t>CUST546</t>
  </si>
  <si>
    <t>Arjun</t>
  </si>
  <si>
    <t>Shoes</t>
  </si>
  <si>
    <t>Fashion</t>
  </si>
  <si>
    <t>Boat</t>
  </si>
  <si>
    <t>UPI</t>
  </si>
  <si>
    <t>Punjab</t>
  </si>
  <si>
    <t>North</t>
  </si>
  <si>
    <t>Cancelled</t>
  </si>
  <si>
    <t>ORD00004</t>
  </si>
  <si>
    <t>CUST355</t>
  </si>
  <si>
    <t>Priya</t>
  </si>
  <si>
    <t>Dell</t>
  </si>
  <si>
    <t>Mobile App</t>
  </si>
  <si>
    <t>ORD00005</t>
  </si>
  <si>
    <t>CUST595</t>
  </si>
  <si>
    <t>Vikas</t>
  </si>
  <si>
    <t>Backpack</t>
  </si>
  <si>
    <t>Accessories</t>
  </si>
  <si>
    <t>HP</t>
  </si>
  <si>
    <t>ORD00006</t>
  </si>
  <si>
    <t>CUST587</t>
  </si>
  <si>
    <t>Sneha</t>
  </si>
  <si>
    <t>Laptop</t>
  </si>
  <si>
    <t>Lenovo</t>
  </si>
  <si>
    <t>ORD00007</t>
  </si>
  <si>
    <t>CUST842</t>
  </si>
  <si>
    <t>Amit</t>
  </si>
  <si>
    <t>ORD00008</t>
  </si>
  <si>
    <t>CUST666</t>
  </si>
  <si>
    <t>Card</t>
  </si>
  <si>
    <t>South</t>
  </si>
  <si>
    <t>ORD00009</t>
  </si>
  <si>
    <t>CUST794</t>
  </si>
  <si>
    <t>Karan</t>
  </si>
  <si>
    <t>Camera</t>
  </si>
  <si>
    <t>Shipped</t>
  </si>
  <si>
    <t>ORD00010</t>
  </si>
  <si>
    <t>CUST126</t>
  </si>
  <si>
    <t>Phone</t>
  </si>
  <si>
    <t>ORD00011</t>
  </si>
  <si>
    <t>CUST244</t>
  </si>
  <si>
    <t>Watch</t>
  </si>
  <si>
    <t>ORD00012</t>
  </si>
  <si>
    <t>CUST221</t>
  </si>
  <si>
    <t>Samsung</t>
  </si>
  <si>
    <t>ORD00013</t>
  </si>
  <si>
    <t>CUST100</t>
  </si>
  <si>
    <t>ORD00014</t>
  </si>
  <si>
    <t>CUST256</t>
  </si>
  <si>
    <t>Anjali</t>
  </si>
  <si>
    <t>ORD00015</t>
  </si>
  <si>
    <t>CUST217</t>
  </si>
  <si>
    <t>Riya</t>
  </si>
  <si>
    <t>Nike</t>
  </si>
  <si>
    <t>ORD00016</t>
  </si>
  <si>
    <t>CUST814</t>
  </si>
  <si>
    <t>ORD00017</t>
  </si>
  <si>
    <t>CUST829</t>
  </si>
  <si>
    <t>ORD00018</t>
  </si>
  <si>
    <t>CUST196</t>
  </si>
  <si>
    <t>ORD00019</t>
  </si>
  <si>
    <t>CUST776</t>
  </si>
  <si>
    <t>ORD00020</t>
  </si>
  <si>
    <t>CUST822</t>
  </si>
  <si>
    <t>ORD00021</t>
  </si>
  <si>
    <t>CUST383</t>
  </si>
  <si>
    <t>Apple</t>
  </si>
  <si>
    <t>ORD00022</t>
  </si>
  <si>
    <t>CUST330</t>
  </si>
  <si>
    <t>ORD00023</t>
  </si>
  <si>
    <t>CUST478</t>
  </si>
  <si>
    <t>ORD00024</t>
  </si>
  <si>
    <t>CUST158</t>
  </si>
  <si>
    <t>ORD00025</t>
  </si>
  <si>
    <t>CUST442</t>
  </si>
  <si>
    <t>Tablet</t>
  </si>
  <si>
    <t>ORD00026</t>
  </si>
  <si>
    <t>CUST924</t>
  </si>
  <si>
    <t>ORD00027</t>
  </si>
  <si>
    <t>CUST380</t>
  </si>
  <si>
    <t>Mouse</t>
  </si>
  <si>
    <t>ORD00028</t>
  </si>
  <si>
    <t>CUST512</t>
  </si>
  <si>
    <t>ORD00029</t>
  </si>
  <si>
    <t>CUST349</t>
  </si>
  <si>
    <t>ORD00030</t>
  </si>
  <si>
    <t>CUST583</t>
  </si>
  <si>
    <t>ORD00031</t>
  </si>
  <si>
    <t>CUST279</t>
  </si>
  <si>
    <t>ORD00032</t>
  </si>
  <si>
    <t>CUST354</t>
  </si>
  <si>
    <t>Noise</t>
  </si>
  <si>
    <t>ORD00033</t>
  </si>
  <si>
    <t>CUST837</t>
  </si>
  <si>
    <t>ORD00034</t>
  </si>
  <si>
    <t>CUST450</t>
  </si>
  <si>
    <t>ORD00035</t>
  </si>
  <si>
    <t>CUST697</t>
  </si>
  <si>
    <t>ORD00036</t>
  </si>
  <si>
    <t>CUST292</t>
  </si>
  <si>
    <t>ORD00037</t>
  </si>
  <si>
    <t>CUST537</t>
  </si>
  <si>
    <t>ORD00038</t>
  </si>
  <si>
    <t>CUST800</t>
  </si>
  <si>
    <t>ORD00039</t>
  </si>
  <si>
    <t>CUST563</t>
  </si>
  <si>
    <t>ORD00040</t>
  </si>
  <si>
    <t>CUST723</t>
  </si>
  <si>
    <t>ORD00041</t>
  </si>
  <si>
    <t>CUST427</t>
  </si>
  <si>
    <t>ORD00042</t>
  </si>
  <si>
    <t>CUST496</t>
  </si>
  <si>
    <t>ORD00043</t>
  </si>
  <si>
    <t>CUST930</t>
  </si>
  <si>
    <t>ORD00044</t>
  </si>
  <si>
    <t>CUST320</t>
  </si>
  <si>
    <t>ORD00045</t>
  </si>
  <si>
    <t>CUST558</t>
  </si>
  <si>
    <t>ORD00046</t>
  </si>
  <si>
    <t>CUST991</t>
  </si>
  <si>
    <t>ORD00047</t>
  </si>
  <si>
    <t>CUST863</t>
  </si>
  <si>
    <t>ORD00048</t>
  </si>
  <si>
    <t>CUST846</t>
  </si>
  <si>
    <t>ORD00049</t>
  </si>
  <si>
    <t>CUST434</t>
  </si>
  <si>
    <t>ORD00050</t>
  </si>
  <si>
    <t>ORD00051</t>
  </si>
  <si>
    <t>CUST678</t>
  </si>
  <si>
    <t>ORD00052</t>
  </si>
  <si>
    <t>CUST809</t>
  </si>
  <si>
    <t>ORD00053</t>
  </si>
  <si>
    <t>CUST615</t>
  </si>
  <si>
    <t>ORD00054</t>
  </si>
  <si>
    <t>CUST986</t>
  </si>
  <si>
    <t>USB</t>
  </si>
  <si>
    <t>ORD00055</t>
  </si>
  <si>
    <t>CUST622</t>
  </si>
  <si>
    <t>ORD00056</t>
  </si>
  <si>
    <t>ORD00057</t>
  </si>
  <si>
    <t>CUST665</t>
  </si>
  <si>
    <t>ORD00058</t>
  </si>
  <si>
    <t>CUST777</t>
  </si>
  <si>
    <t>Adidas</t>
  </si>
  <si>
    <t>ORD00059</t>
  </si>
  <si>
    <t>CUST228</t>
  </si>
  <si>
    <t>ORD00060</t>
  </si>
  <si>
    <t>CUST993</t>
  </si>
  <si>
    <t>ORD00061</t>
  </si>
  <si>
    <t>CUST778</t>
  </si>
  <si>
    <t>ORD00062</t>
  </si>
  <si>
    <t>CUST287</t>
  </si>
  <si>
    <t>ORD00063</t>
  </si>
  <si>
    <t>CUST955</t>
  </si>
  <si>
    <t>ORD00064</t>
  </si>
  <si>
    <t>CUST551</t>
  </si>
  <si>
    <t>ORD00065</t>
  </si>
  <si>
    <t>CUST193</t>
  </si>
  <si>
    <t>ORD00066</t>
  </si>
  <si>
    <t>CUST783</t>
  </si>
  <si>
    <t>ORD00067</t>
  </si>
  <si>
    <t>CUST284</t>
  </si>
  <si>
    <t>ORD00068</t>
  </si>
  <si>
    <t>CUST714</t>
  </si>
  <si>
    <t>ORD00069</t>
  </si>
  <si>
    <t>CUST307</t>
  </si>
  <si>
    <t>ORD00070</t>
  </si>
  <si>
    <t>CUST979</t>
  </si>
  <si>
    <t>ORD00071</t>
  </si>
  <si>
    <t>CUST660</t>
  </si>
  <si>
    <t>ORD00072</t>
  </si>
  <si>
    <t>CUST948</t>
  </si>
  <si>
    <t>ORD00073</t>
  </si>
  <si>
    <t>CUST325</t>
  </si>
  <si>
    <t>ORD00074</t>
  </si>
  <si>
    <t>CUST456</t>
  </si>
  <si>
    <t>ORD00075</t>
  </si>
  <si>
    <t>CUST838</t>
  </si>
  <si>
    <t>ORD00076</t>
  </si>
  <si>
    <t>CUST806</t>
  </si>
  <si>
    <t>ORD00077</t>
  </si>
  <si>
    <t>CUST580</t>
  </si>
  <si>
    <t>ORD00078</t>
  </si>
  <si>
    <t>CUST731</t>
  </si>
  <si>
    <t>ORD00079</t>
  </si>
  <si>
    <t>CUST687</t>
  </si>
  <si>
    <t>ORD00080</t>
  </si>
  <si>
    <t>CUST231</t>
  </si>
  <si>
    <t>ORD00081</t>
  </si>
  <si>
    <t>CUST890</t>
  </si>
  <si>
    <t>ORD00082</t>
  </si>
  <si>
    <t>CUST861</t>
  </si>
  <si>
    <t>ORD00083</t>
  </si>
  <si>
    <t>CUST490</t>
  </si>
  <si>
    <t>ORD00084</t>
  </si>
  <si>
    <t>CUST335</t>
  </si>
  <si>
    <t>ORD00085</t>
  </si>
  <si>
    <t>CUST122</t>
  </si>
  <si>
    <t>ORD00086</t>
  </si>
  <si>
    <t>CUST596</t>
  </si>
  <si>
    <t>ORD00087</t>
  </si>
  <si>
    <t>CUST253</t>
  </si>
  <si>
    <t>ORD00088</t>
  </si>
  <si>
    <t>ORD00089</t>
  </si>
  <si>
    <t>CUST261</t>
  </si>
  <si>
    <t>ORD00090</t>
  </si>
  <si>
    <t>CUST992</t>
  </si>
  <si>
    <t>ORD00091</t>
  </si>
  <si>
    <t>CUST689</t>
  </si>
  <si>
    <t>ORD00092</t>
  </si>
  <si>
    <t>CUST468</t>
  </si>
  <si>
    <t>ORD00093</t>
  </si>
  <si>
    <t>CUST532</t>
  </si>
  <si>
    <t>ORD00094</t>
  </si>
  <si>
    <t>ORD00095</t>
  </si>
  <si>
    <t>CUST264</t>
  </si>
  <si>
    <t>ORD00096</t>
  </si>
  <si>
    <t>CUST664</t>
  </si>
  <si>
    <t>ORD00097</t>
  </si>
  <si>
    <t>CUST168</t>
  </si>
  <si>
    <t>ORD00098</t>
  </si>
  <si>
    <t>CUST631</t>
  </si>
  <si>
    <t>ORD00099</t>
  </si>
  <si>
    <t>CUST643</t>
  </si>
  <si>
    <t>ORD00100</t>
  </si>
  <si>
    <t>CUST540</t>
  </si>
  <si>
    <t>ORD00101</t>
  </si>
  <si>
    <t>CUST796</t>
  </si>
  <si>
    <t>ORD00102</t>
  </si>
  <si>
    <t>CUST371</t>
  </si>
  <si>
    <t>ORD00103</t>
  </si>
  <si>
    <t>CUST769</t>
  </si>
  <si>
    <t>ORD00104</t>
  </si>
  <si>
    <t>CUST785</t>
  </si>
  <si>
    <t>ORD00105</t>
  </si>
  <si>
    <t>CUST968</t>
  </si>
  <si>
    <t>ORD00106</t>
  </si>
  <si>
    <t>CUST430</t>
  </si>
  <si>
    <t>ORD00107</t>
  </si>
  <si>
    <t>CUST756</t>
  </si>
  <si>
    <t>ORD00108</t>
  </si>
  <si>
    <t>CUST755</t>
  </si>
  <si>
    <t>ORD00109</t>
  </si>
  <si>
    <t>CUST588</t>
  </si>
  <si>
    <t>ORD00110</t>
  </si>
  <si>
    <t>CUST680</t>
  </si>
  <si>
    <t>ORD00111</t>
  </si>
  <si>
    <t>CUST923</t>
  </si>
  <si>
    <t>ORD00112</t>
  </si>
  <si>
    <t>CUST454</t>
  </si>
  <si>
    <t>ORD00113</t>
  </si>
  <si>
    <t>ORD00114</t>
  </si>
  <si>
    <t>CUST299</t>
  </si>
  <si>
    <t>ORD00115</t>
  </si>
  <si>
    <t>CUST447</t>
  </si>
  <si>
    <t>ORD00116</t>
  </si>
  <si>
    <t>CUST732</t>
  </si>
  <si>
    <t>ORD00117</t>
  </si>
  <si>
    <t>CUST185</t>
  </si>
  <si>
    <t>ORD00118</t>
  </si>
  <si>
    <t>CUST728</t>
  </si>
  <si>
    <t>ORD00119</t>
  </si>
  <si>
    <t>ORD00120</t>
  </si>
  <si>
    <t>CUST201</t>
  </si>
  <si>
    <t>ORD00121</t>
  </si>
  <si>
    <t>CUST978</t>
  </si>
  <si>
    <t>ORD00122</t>
  </si>
  <si>
    <t>CUST939</t>
  </si>
  <si>
    <t>ORD00123</t>
  </si>
  <si>
    <t>CUST385</t>
  </si>
  <si>
    <t>ORD00124</t>
  </si>
  <si>
    <t>ORD00125</t>
  </si>
  <si>
    <t>CUST323</t>
  </si>
  <si>
    <t>ORD00126</t>
  </si>
  <si>
    <t>CUST813</t>
  </si>
  <si>
    <t>ORD00127</t>
  </si>
  <si>
    <t>CUST709</t>
  </si>
  <si>
    <t>ORD00128</t>
  </si>
  <si>
    <t>CUST865</t>
  </si>
  <si>
    <t>ORD00129</t>
  </si>
  <si>
    <t>CUST339</t>
  </si>
  <si>
    <t>ORD00130</t>
  </si>
  <si>
    <t>CUST389</t>
  </si>
  <si>
    <t>ORD00131</t>
  </si>
  <si>
    <t>CUST455</t>
  </si>
  <si>
    <t>ORD00132</t>
  </si>
  <si>
    <t>CUST831</t>
  </si>
  <si>
    <t>ORD00133</t>
  </si>
  <si>
    <t>CUST726</t>
  </si>
  <si>
    <t>ORD00134</t>
  </si>
  <si>
    <t>ORD00135</t>
  </si>
  <si>
    <t>CUST262</t>
  </si>
  <si>
    <t>ORD00136</t>
  </si>
  <si>
    <t>CUST905</t>
  </si>
  <si>
    <t>ORD00137</t>
  </si>
  <si>
    <t>CUST630</t>
  </si>
  <si>
    <t>ORD00138</t>
  </si>
  <si>
    <t>CUST336</t>
  </si>
  <si>
    <t>ORD00139</t>
  </si>
  <si>
    <t>ORD00140</t>
  </si>
  <si>
    <t>ORD00141</t>
  </si>
  <si>
    <t>CUST688</t>
  </si>
  <si>
    <t>ORD00142</t>
  </si>
  <si>
    <t>ORD00143</t>
  </si>
  <si>
    <t>ORD00144</t>
  </si>
  <si>
    <t>CUST345</t>
  </si>
  <si>
    <t>ORD00145</t>
  </si>
  <si>
    <t>CUST280</t>
  </si>
  <si>
    <t>ORD00146</t>
  </si>
  <si>
    <t>CUST463</t>
  </si>
  <si>
    <t>ORD00147</t>
  </si>
  <si>
    <t>CUST400</t>
  </si>
  <si>
    <t>ORD00148</t>
  </si>
  <si>
    <t>CUST204</t>
  </si>
  <si>
    <t>ORD00149</t>
  </si>
  <si>
    <t>CUST237</t>
  </si>
  <si>
    <t>ORD00150</t>
  </si>
  <si>
    <t>CUST635</t>
  </si>
  <si>
    <t>ORD00151</t>
  </si>
  <si>
    <t>CUST742</t>
  </si>
  <si>
    <t>ORD00152</t>
  </si>
  <si>
    <t>CUST493</t>
  </si>
  <si>
    <t>ORD00153</t>
  </si>
  <si>
    <t>ORD00154</t>
  </si>
  <si>
    <t>CUST437</t>
  </si>
  <si>
    <t>ORD00155</t>
  </si>
  <si>
    <t>CUST774</t>
  </si>
  <si>
    <t>ORD00156</t>
  </si>
  <si>
    <t>CUST652</t>
  </si>
  <si>
    <t>ORD00157</t>
  </si>
  <si>
    <t>CUST395</t>
  </si>
  <si>
    <t>ORD00158</t>
  </si>
  <si>
    <t>CUST116</t>
  </si>
  <si>
    <t>ORD00159</t>
  </si>
  <si>
    <t>CUST707</t>
  </si>
  <si>
    <t>ORD00160</t>
  </si>
  <si>
    <t>ORD00161</t>
  </si>
  <si>
    <t>CUST275</t>
  </si>
  <si>
    <t>ORD00162</t>
  </si>
  <si>
    <t>CUST133</t>
  </si>
  <si>
    <t>ORD00163</t>
  </si>
  <si>
    <t>ORD00164</t>
  </si>
  <si>
    <t>ORD00165</t>
  </si>
  <si>
    <t>CUST169</t>
  </si>
  <si>
    <t>ORD00166</t>
  </si>
  <si>
    <t>ORD00167</t>
  </si>
  <si>
    <t>CUST715</t>
  </si>
  <si>
    <t>ORD00168</t>
  </si>
  <si>
    <t>CUST634</t>
  </si>
  <si>
    <t>ORD00169</t>
  </si>
  <si>
    <t>CUST198</t>
  </si>
  <si>
    <t>ORD00170</t>
  </si>
  <si>
    <t>CUST119</t>
  </si>
  <si>
    <t>ORD00171</t>
  </si>
  <si>
    <t>CUST117</t>
  </si>
  <si>
    <t>ORD00172</t>
  </si>
  <si>
    <t>CUST260</t>
  </si>
  <si>
    <t>ORD00173</t>
  </si>
  <si>
    <t>ORD00174</t>
  </si>
  <si>
    <t>CUST343</t>
  </si>
  <si>
    <t>ORD00175</t>
  </si>
  <si>
    <t>CUST273</t>
  </si>
  <si>
    <t>ORD00176</t>
  </si>
  <si>
    <t>CUST899</t>
  </si>
  <si>
    <t>ORD00177</t>
  </si>
  <si>
    <t>CUST737</t>
  </si>
  <si>
    <t>ORD00178</t>
  </si>
  <si>
    <t>CUST387</t>
  </si>
  <si>
    <t>ORD00179</t>
  </si>
  <si>
    <t>CUST825</t>
  </si>
  <si>
    <t>ORD00180</t>
  </si>
  <si>
    <t>ORD00181</t>
  </si>
  <si>
    <t>ORD00182</t>
  </si>
  <si>
    <t>CUST374</t>
  </si>
  <si>
    <t>ORD00183</t>
  </si>
  <si>
    <t>CUST172</t>
  </si>
  <si>
    <t>ORD00184</t>
  </si>
  <si>
    <t>CUST922</t>
  </si>
  <si>
    <t>ORD00185</t>
  </si>
  <si>
    <t>ORD00186</t>
  </si>
  <si>
    <t>CUST130</t>
  </si>
  <si>
    <t>ORD00187</t>
  </si>
  <si>
    <t>ORD00188</t>
  </si>
  <si>
    <t>CUST542</t>
  </si>
  <si>
    <t>ORD00189</t>
  </si>
  <si>
    <t>CUST301</t>
  </si>
  <si>
    <t>ORD00190</t>
  </si>
  <si>
    <t>CUST210</t>
  </si>
  <si>
    <t>ORD00191</t>
  </si>
  <si>
    <t>CUST908</t>
  </si>
  <si>
    <t>ORD00192</t>
  </si>
  <si>
    <t>CUST584</t>
  </si>
  <si>
    <t>ORD00193</t>
  </si>
  <si>
    <t>CUST912</t>
  </si>
  <si>
    <t>ORD00194</t>
  </si>
  <si>
    <t>CUST248</t>
  </si>
  <si>
    <t>ORD00195</t>
  </si>
  <si>
    <t>CUST509</t>
  </si>
  <si>
    <t>ORD00196</t>
  </si>
  <si>
    <t>CUST642</t>
  </si>
  <si>
    <t>ORD00197</t>
  </si>
  <si>
    <t>CUST315</t>
  </si>
  <si>
    <t>ORD00198</t>
  </si>
  <si>
    <t>CUST105</t>
  </si>
  <si>
    <t>ORD00199</t>
  </si>
  <si>
    <t>ORD00200</t>
  </si>
  <si>
    <t>CUST651</t>
  </si>
  <si>
    <t>ORD00201</t>
  </si>
  <si>
    <t>ORD00202</t>
  </si>
  <si>
    <t>CUST499</t>
  </si>
  <si>
    <t>ORD00203</t>
  </si>
  <si>
    <t>CUST550</t>
  </si>
  <si>
    <t>ORD00204</t>
  </si>
  <si>
    <t>CUST480</t>
  </si>
  <si>
    <t>ORD00205</t>
  </si>
  <si>
    <t>CUST402</t>
  </si>
  <si>
    <t>ORD00206</t>
  </si>
  <si>
    <t>CUST684</t>
  </si>
  <si>
    <t>ORD00207</t>
  </si>
  <si>
    <t>CUST510</t>
  </si>
  <si>
    <t>ORD00208</t>
  </si>
  <si>
    <t>CUST801</t>
  </si>
  <si>
    <t>ORD00209</t>
  </si>
  <si>
    <t>CUST132</t>
  </si>
  <si>
    <t>ORD00210</t>
  </si>
  <si>
    <t>ORD00211</t>
  </si>
  <si>
    <t>CUST485</t>
  </si>
  <si>
    <t>ORD00212</t>
  </si>
  <si>
    <t>CUST845</t>
  </si>
  <si>
    <t>ORD00213</t>
  </si>
  <si>
    <t>CUST164</t>
  </si>
  <si>
    <t>ORD00214</t>
  </si>
  <si>
    <t>ORD00215</t>
  </si>
  <si>
    <t>CUST155</t>
  </si>
  <si>
    <t>ORD00216</t>
  </si>
  <si>
    <t>CUST786</t>
  </si>
  <si>
    <t>ORD00217</t>
  </si>
  <si>
    <t>CUST870</t>
  </si>
  <si>
    <t>ORD00218</t>
  </si>
  <si>
    <t>CUST984</t>
  </si>
  <si>
    <t>ORD00219</t>
  </si>
  <si>
    <t>CUST500</t>
  </si>
  <si>
    <t>ORD00220</t>
  </si>
  <si>
    <t>CUST188</t>
  </si>
  <si>
    <t>ORD00221</t>
  </si>
  <si>
    <t>CUST969</t>
  </si>
  <si>
    <t>ORD00222</t>
  </si>
  <si>
    <t>CUST348</t>
  </si>
  <si>
    <t>ORD00223</t>
  </si>
  <si>
    <t>CUST897</t>
  </si>
  <si>
    <t>ORD00224</t>
  </si>
  <si>
    <t>CUST382</t>
  </si>
  <si>
    <t>ORD00225</t>
  </si>
  <si>
    <t>CUST507</t>
  </si>
  <si>
    <t>ORD00226</t>
  </si>
  <si>
    <t>CUST531</t>
  </si>
  <si>
    <t>ORD00227</t>
  </si>
  <si>
    <t>CUST528</t>
  </si>
  <si>
    <t>ORD00228</t>
  </si>
  <si>
    <t>CUST799</t>
  </si>
  <si>
    <t>ORD00229</t>
  </si>
  <si>
    <t>CUST311</t>
  </si>
  <si>
    <t>ORD00230</t>
  </si>
  <si>
    <t>CUST907</t>
  </si>
  <si>
    <t>ORD00231</t>
  </si>
  <si>
    <t>CUST934</t>
  </si>
  <si>
    <t>ORD00232</t>
  </si>
  <si>
    <t>ORD00233</t>
  </si>
  <si>
    <t>CUST860</t>
  </si>
  <si>
    <t>ORD00234</t>
  </si>
  <si>
    <t>CUST265</t>
  </si>
  <si>
    <t>ORD00235</t>
  </si>
  <si>
    <t>ORD00236</t>
  </si>
  <si>
    <t>CUST313</t>
  </si>
  <si>
    <t>ORD00237</t>
  </si>
  <si>
    <t>CUST218</t>
  </si>
  <si>
    <t>ORD00238</t>
  </si>
  <si>
    <t>ORD00239</t>
  </si>
  <si>
    <t>ORD00240</t>
  </si>
  <si>
    <t>ORD00241</t>
  </si>
  <si>
    <t>CUST997</t>
  </si>
  <si>
    <t>ORD00242</t>
  </si>
  <si>
    <t>CUST611</t>
  </si>
  <si>
    <t>ORD00243</t>
  </si>
  <si>
    <t>CUST885</t>
  </si>
  <si>
    <t>ORD00244</t>
  </si>
  <si>
    <t>CUST146</t>
  </si>
  <si>
    <t>ORD00245</t>
  </si>
  <si>
    <t>ORD00246</t>
  </si>
  <si>
    <t>CUST541</t>
  </si>
  <si>
    <t>ORD00247</t>
  </si>
  <si>
    <t>CUST161</t>
  </si>
  <si>
    <t>ORD00248</t>
  </si>
  <si>
    <t>CUST982</t>
  </si>
  <si>
    <t>ORD00249</t>
  </si>
  <si>
    <t>CUST564</t>
  </si>
  <si>
    <t>ORD00250</t>
  </si>
  <si>
    <t>CUST433</t>
  </si>
  <si>
    <t>ORD00251</t>
  </si>
  <si>
    <t>CUST671</t>
  </si>
  <si>
    <t>ORD00252</t>
  </si>
  <si>
    <t>CUST768</t>
  </si>
  <si>
    <t>ORD00253</t>
  </si>
  <si>
    <t>ORD00254</t>
  </si>
  <si>
    <t>CUST629</t>
  </si>
  <si>
    <t>ORD00255</t>
  </si>
  <si>
    <t>CUST717</t>
  </si>
  <si>
    <t>ORD00256</t>
  </si>
  <si>
    <t>CUST102</t>
  </si>
  <si>
    <t>ORD00257</t>
  </si>
  <si>
    <t>CUST579</t>
  </si>
  <si>
    <t>ORD00258</t>
  </si>
  <si>
    <t>CUST505</t>
  </si>
  <si>
    <t>ORD00259</t>
  </si>
  <si>
    <t>CUST841</t>
  </si>
  <si>
    <t>ORD00260</t>
  </si>
  <si>
    <t>CUST247</t>
  </si>
  <si>
    <t>ORD00261</t>
  </si>
  <si>
    <t>CUST916</t>
  </si>
  <si>
    <t>ORD00262</t>
  </si>
  <si>
    <t>CUST137</t>
  </si>
  <si>
    <t>ORD00263</t>
  </si>
  <si>
    <t>CUST655</t>
  </si>
  <si>
    <t>ORD00264</t>
  </si>
  <si>
    <t>CUST566</t>
  </si>
  <si>
    <t>ORD00265</t>
  </si>
  <si>
    <t>ORD00266</t>
  </si>
  <si>
    <t>CUST111</t>
  </si>
  <si>
    <t>ORD00267</t>
  </si>
  <si>
    <t>CUST919</t>
  </si>
  <si>
    <t>ORD00268</t>
  </si>
  <si>
    <t>ORD00269</t>
  </si>
  <si>
    <t>CUST708</t>
  </si>
  <si>
    <t>ORD00270</t>
  </si>
  <si>
    <t>CUST178</t>
  </si>
  <si>
    <t>ORD00271</t>
  </si>
  <si>
    <t>ORD00272</t>
  </si>
  <si>
    <t>ORD00273</t>
  </si>
  <si>
    <t>CUST187</t>
  </si>
  <si>
    <t>ORD00274</t>
  </si>
  <si>
    <t>CUST626</t>
  </si>
  <si>
    <t>ORD00275</t>
  </si>
  <si>
    <t>ORD00276</t>
  </si>
  <si>
    <t>CUST981</t>
  </si>
  <si>
    <t>ORD00277</t>
  </si>
  <si>
    <t>CUST425</t>
  </si>
  <si>
    <t>ORD00278</t>
  </si>
  <si>
    <t>ORD00279</t>
  </si>
  <si>
    <t>CUST741</t>
  </si>
  <si>
    <t>ORD00280</t>
  </si>
  <si>
    <t>ORD00281</t>
  </si>
  <si>
    <t>CUST112</t>
  </si>
  <si>
    <t>ORD00282</t>
  </si>
  <si>
    <t>CUST422</t>
  </si>
  <si>
    <t>ORD00283</t>
  </si>
  <si>
    <t>ORD00284</t>
  </si>
  <si>
    <t>CUST243</t>
  </si>
  <si>
    <t>ORD00285</t>
  </si>
  <si>
    <t>ORD00286</t>
  </si>
  <si>
    <t>CUST360</t>
  </si>
  <si>
    <t>ORD00287</t>
  </si>
  <si>
    <t>CUST789</t>
  </si>
  <si>
    <t>ORD00288</t>
  </si>
  <si>
    <t>CUST460</t>
  </si>
  <si>
    <t>ORD00289</t>
  </si>
  <si>
    <t>CUST266</t>
  </si>
  <si>
    <t>ORD00290</t>
  </si>
  <si>
    <t>CUST795</t>
  </si>
  <si>
    <t>ORD00291</t>
  </si>
  <si>
    <t>CUST337</t>
  </si>
  <si>
    <t>ORD00292</t>
  </si>
  <si>
    <t>CUST874</t>
  </si>
  <si>
    <t>ORD00293</t>
  </si>
  <si>
    <t>CUST936</t>
  </si>
  <si>
    <t>ORD00294</t>
  </si>
  <si>
    <t>CUST341</t>
  </si>
  <si>
    <t>ORD00295</t>
  </si>
  <si>
    <t>CUST947</t>
  </si>
  <si>
    <t>ORD00296</t>
  </si>
  <si>
    <t>CUST793</t>
  </si>
  <si>
    <t>ORD00297</t>
  </si>
  <si>
    <t>ORD00298</t>
  </si>
  <si>
    <t>CUST308</t>
  </si>
  <si>
    <t>ORD00299</t>
  </si>
  <si>
    <t>ORD00300</t>
  </si>
  <si>
    <t>CUST637</t>
  </si>
  <si>
    <t>ORD00301</t>
  </si>
  <si>
    <t>CUST353</t>
  </si>
  <si>
    <t>ORD00302</t>
  </si>
  <si>
    <t>CUST453</t>
  </si>
  <si>
    <t>ORD00303</t>
  </si>
  <si>
    <t>ORD00304</t>
  </si>
  <si>
    <t>CUST144</t>
  </si>
  <si>
    <t>ORD00305</t>
  </si>
  <si>
    <t>CUST457</t>
  </si>
  <si>
    <t>ORD00306</t>
  </si>
  <si>
    <t>CUST753</t>
  </si>
  <si>
    <t>ORD00307</t>
  </si>
  <si>
    <t>CUST705</t>
  </si>
  <si>
    <t>ORD00308</t>
  </si>
  <si>
    <t>CUST989</t>
  </si>
  <si>
    <t>ORD00309</t>
  </si>
  <si>
    <t>CUST565</t>
  </si>
  <si>
    <t>ORD00310</t>
  </si>
  <si>
    <t>ORD00311</t>
  </si>
  <si>
    <t>ORD00312</t>
  </si>
  <si>
    <t>ORD00313</t>
  </si>
  <si>
    <t>CUST970</t>
  </si>
  <si>
    <t>ORD00314</t>
  </si>
  <si>
    <t>CUST184</t>
  </si>
  <si>
    <t>ORD00315</t>
  </si>
  <si>
    <t>CUST894</t>
  </si>
  <si>
    <t>ORD00316</t>
  </si>
  <si>
    <t>CUST663</t>
  </si>
  <si>
    <t>ORD00317</t>
  </si>
  <si>
    <t>ORD00318</t>
  </si>
  <si>
    <t>CUST358</t>
  </si>
  <si>
    <t>ORD00319</t>
  </si>
  <si>
    <t>CUST603</t>
  </si>
  <si>
    <t>ORD00320</t>
  </si>
  <si>
    <t>CUST234</t>
  </si>
  <si>
    <t>ORD00321</t>
  </si>
  <si>
    <t>CUST370</t>
  </si>
  <si>
    <t>ORD00322</t>
  </si>
  <si>
    <t>CUST720</t>
  </si>
  <si>
    <t>ORD00323</t>
  </si>
  <si>
    <t>CUST508</t>
  </si>
  <si>
    <t>ORD00324</t>
  </si>
  <si>
    <t>CUST943</t>
  </si>
  <si>
    <t>ORD00325</t>
  </si>
  <si>
    <t>ORD00326</t>
  </si>
  <si>
    <t>ORD00327</t>
  </si>
  <si>
    <t>CUST186</t>
  </si>
  <si>
    <t>ORD00328</t>
  </si>
  <si>
    <t>ORD00329</t>
  </si>
  <si>
    <t>CUST203</t>
  </si>
  <si>
    <t>ORD00330</t>
  </si>
  <si>
    <t>CUST372</t>
  </si>
  <si>
    <t>ORD00331</t>
  </si>
  <si>
    <t>CUST444</t>
  </si>
  <si>
    <t>ORD00332</t>
  </si>
  <si>
    <t>ORD00333</t>
  </si>
  <si>
    <t>CUST278</t>
  </si>
  <si>
    <t>ORD00334</t>
  </si>
  <si>
    <t>CUST520</t>
  </si>
  <si>
    <t>ORD00335</t>
  </si>
  <si>
    <t>ORD00336</t>
  </si>
  <si>
    <t>ORD00337</t>
  </si>
  <si>
    <t>CUST976</t>
  </si>
  <si>
    <t>ORD00338</t>
  </si>
  <si>
    <t>ORD00339</t>
  </si>
  <si>
    <t>CUST712</t>
  </si>
  <si>
    <t>ORD00340</t>
  </si>
  <si>
    <t>CUST421</t>
  </si>
  <si>
    <t>ORD00341</t>
  </si>
  <si>
    <t>CUST272</t>
  </si>
  <si>
    <t>ORD00342</t>
  </si>
  <si>
    <t>CUST610</t>
  </si>
  <si>
    <t>ORD00343</t>
  </si>
  <si>
    <t>ORD00344</t>
  </si>
  <si>
    <t>ORD00345</t>
  </si>
  <si>
    <t>CUST568</t>
  </si>
  <si>
    <t>ORD00346</t>
  </si>
  <si>
    <t>ORD00347</t>
  </si>
  <si>
    <t>CUST269</t>
  </si>
  <si>
    <t>ORD00348</t>
  </si>
  <si>
    <t>CUST911</t>
  </si>
  <si>
    <t>ORD00349</t>
  </si>
  <si>
    <t>ORD00350</t>
  </si>
  <si>
    <t>ORD00351</t>
  </si>
  <si>
    <t>CUST213</t>
  </si>
  <si>
    <t>ORD00352</t>
  </si>
  <si>
    <t>CUST200</t>
  </si>
  <si>
    <t>ORD00353</t>
  </si>
  <si>
    <t>ORD00354</t>
  </si>
  <si>
    <t>ORD00355</t>
  </si>
  <si>
    <t>CUST408</t>
  </si>
  <si>
    <t>ORD00356</t>
  </si>
  <si>
    <t>ORD00357</t>
  </si>
  <si>
    <t>ORD00358</t>
  </si>
  <si>
    <t>CUST792</t>
  </si>
  <si>
    <t>ORD00359</t>
  </si>
  <si>
    <t>CUST810</t>
  </si>
  <si>
    <t>ORD00360</t>
  </si>
  <si>
    <t>CUST364</t>
  </si>
  <si>
    <t>ORD00361</t>
  </si>
  <si>
    <t>CUST474</t>
  </si>
  <si>
    <t>ORD00362</t>
  </si>
  <si>
    <t>CUST932</t>
  </si>
  <si>
    <t>ORD00363</t>
  </si>
  <si>
    <t>CUST719</t>
  </si>
  <si>
    <t>ORD00364</t>
  </si>
  <si>
    <t>ORD00365</t>
  </si>
  <si>
    <t>CUST721</t>
  </si>
  <si>
    <t>ORD00366</t>
  </si>
  <si>
    <t>CUST980</t>
  </si>
  <si>
    <t>ORD00367</t>
  </si>
  <si>
    <t>CUST713</t>
  </si>
  <si>
    <t>ORD00368</t>
  </si>
  <si>
    <t>CUST227</t>
  </si>
  <si>
    <t>ORD00369</t>
  </si>
  <si>
    <t>ORD00370</t>
  </si>
  <si>
    <t>CUST356</t>
  </si>
  <si>
    <t>ORD00371</t>
  </si>
  <si>
    <t>CUST878</t>
  </si>
  <si>
    <t>ORD00372</t>
  </si>
  <si>
    <t>CUST118</t>
  </si>
  <si>
    <t>ORD00373</t>
  </si>
  <si>
    <t>ORD00374</t>
  </si>
  <si>
    <t>CUST840</t>
  </si>
  <si>
    <t>ORD00375</t>
  </si>
  <si>
    <t>CUST350</t>
  </si>
  <si>
    <t>ORD00376</t>
  </si>
  <si>
    <t>CUST824</t>
  </si>
  <si>
    <t>ORD00377</t>
  </si>
  <si>
    <t>ORD00378</t>
  </si>
  <si>
    <t>CUST423</t>
  </si>
  <si>
    <t>ORD00379</t>
  </si>
  <si>
    <t>ORD00380</t>
  </si>
  <si>
    <t>CUST362</t>
  </si>
  <si>
    <t>ORD00381</t>
  </si>
  <si>
    <t>CUST618</t>
  </si>
  <si>
    <t>ORD00382</t>
  </si>
  <si>
    <t>CUST933</t>
  </si>
  <si>
    <t>ORD00383</t>
  </si>
  <si>
    <t>ORD00384</t>
  </si>
  <si>
    <t>CUST823</t>
  </si>
  <si>
    <t>ORD00385</t>
  </si>
  <si>
    <t>CUST259</t>
  </si>
  <si>
    <t>ORD00386</t>
  </si>
  <si>
    <t>CUST289</t>
  </si>
  <si>
    <t>ORD00387</t>
  </si>
  <si>
    <t>CUST854</t>
  </si>
  <si>
    <t>ORD00388</t>
  </si>
  <si>
    <t>CUST913</t>
  </si>
  <si>
    <t>ORD00389</t>
  </si>
  <si>
    <t>CUST779</t>
  </si>
  <si>
    <t>ORD00390</t>
  </si>
  <si>
    <t>ORD00391</t>
  </si>
  <si>
    <t>ORD00392</t>
  </si>
  <si>
    <t>CUST238</t>
  </si>
  <si>
    <t>ORD00393</t>
  </si>
  <si>
    <t>CUST677</t>
  </si>
  <si>
    <t>ORD00394</t>
  </si>
  <si>
    <t>CUST686</t>
  </si>
  <si>
    <t>ORD00395</t>
  </si>
  <si>
    <t>ORD00396</t>
  </si>
  <si>
    <t>ORD00397</t>
  </si>
  <si>
    <t>CUST271</t>
  </si>
  <si>
    <t>ORD00398</t>
  </si>
  <si>
    <t>CUST254</t>
  </si>
  <si>
    <t>ORD00399</t>
  </si>
  <si>
    <t>CUST999</t>
  </si>
  <si>
    <t>ORD00400</t>
  </si>
  <si>
    <t>CUST317</t>
  </si>
  <si>
    <t>ORD00401</t>
  </si>
  <si>
    <t>CUST465</t>
  </si>
  <si>
    <t>ORD00402</t>
  </si>
  <si>
    <t>CUST747</t>
  </si>
  <si>
    <t>ORD00403</t>
  </si>
  <si>
    <t>CUST285</t>
  </si>
  <si>
    <t>ORD00404</t>
  </si>
  <si>
    <t>CUST445</t>
  </si>
  <si>
    <t>ORD00405</t>
  </si>
  <si>
    <t>CUST598</t>
  </si>
  <si>
    <t>ORD00406</t>
  </si>
  <si>
    <t>CUST304</t>
  </si>
  <si>
    <t>ORD00407</t>
  </si>
  <si>
    <t>ORD00408</t>
  </si>
  <si>
    <t>ORD00409</t>
  </si>
  <si>
    <t>CUST881</t>
  </si>
  <si>
    <t>ORD00410</t>
  </si>
  <si>
    <t>CUST394</t>
  </si>
  <si>
    <t>ORD00411</t>
  </si>
  <si>
    <t>CUST749</t>
  </si>
  <si>
    <t>ORD00412</t>
  </si>
  <si>
    <t>CUST950</t>
  </si>
  <si>
    <t>ORD00413</t>
  </si>
  <si>
    <t>ORD00414</t>
  </si>
  <si>
    <t>ORD00415</t>
  </si>
  <si>
    <t>CUST282</t>
  </si>
  <si>
    <t>ORD00416</t>
  </si>
  <si>
    <t>CUST151</t>
  </si>
  <si>
    <t>ORD00417</t>
  </si>
  <si>
    <t>ORD00418</t>
  </si>
  <si>
    <t>ORD00419</t>
  </si>
  <si>
    <t>CUST407</t>
  </si>
  <si>
    <t>ORD00420</t>
  </si>
  <si>
    <t>CUST173</t>
  </si>
  <si>
    <t>ORD00421</t>
  </si>
  <si>
    <t>CUST876</t>
  </si>
  <si>
    <t>ORD00422</t>
  </si>
  <si>
    <t>ORD00423</t>
  </si>
  <si>
    <t>CUST867</t>
  </si>
  <si>
    <t>ORD00424</t>
  </si>
  <si>
    <t>CUST212</t>
  </si>
  <si>
    <t>ORD00425</t>
  </si>
  <si>
    <t>CUST649</t>
  </si>
  <si>
    <t>ORD00426</t>
  </si>
  <si>
    <t>ORD00427</t>
  </si>
  <si>
    <t>CUST108</t>
  </si>
  <si>
    <t>ORD00428</t>
  </si>
  <si>
    <t>CUST739</t>
  </si>
  <si>
    <t>ORD00429</t>
  </si>
  <si>
    <t>ORD00430</t>
  </si>
  <si>
    <t>CUST191</t>
  </si>
  <si>
    <t>ORD00431</t>
  </si>
  <si>
    <t>CUST850</t>
  </si>
  <si>
    <t>ORD00432</t>
  </si>
  <si>
    <t>CUST746</t>
  </si>
  <si>
    <t>ORD00433</t>
  </si>
  <si>
    <t>ORD00434</t>
  </si>
  <si>
    <t>CUST277</t>
  </si>
  <si>
    <t>ORD00435</t>
  </si>
  <si>
    <t>CUST851</t>
  </si>
  <si>
    <t>ORD00436</t>
  </si>
  <si>
    <t>CUST914</t>
  </si>
  <si>
    <t>ORD00437</t>
  </si>
  <si>
    <t>CUST567</t>
  </si>
  <si>
    <t>ORD00438</t>
  </si>
  <si>
    <t>ORD00439</t>
  </si>
  <si>
    <t>CUST645</t>
  </si>
  <si>
    <t>ORD00440</t>
  </si>
  <si>
    <t>CUST690</t>
  </si>
  <si>
    <t>ORD00441</t>
  </si>
  <si>
    <t>CUST578</t>
  </si>
  <si>
    <t>ORD00442</t>
  </si>
  <si>
    <t>ORD00443</t>
  </si>
  <si>
    <t>CUST109</t>
  </si>
  <si>
    <t>ORD00444</t>
  </si>
  <si>
    <t>CUST435</t>
  </si>
  <si>
    <t>ORD00445</t>
  </si>
  <si>
    <t>CUST772</t>
  </si>
  <si>
    <t>ORD00446</t>
  </si>
  <si>
    <t>ORD00447</t>
  </si>
  <si>
    <t>ORD00448</t>
  </si>
  <si>
    <t>CUST207</t>
  </si>
  <si>
    <t>ORD00449</t>
  </si>
  <si>
    <t>ORD00450</t>
  </si>
  <si>
    <t>CUST764</t>
  </si>
  <si>
    <t>ORD00451</t>
  </si>
  <si>
    <t>CUST804</t>
  </si>
  <si>
    <t>ORD00452</t>
  </si>
  <si>
    <t>CUST633</t>
  </si>
  <si>
    <t>ORD00453</t>
  </si>
  <si>
    <t>ORD00454</t>
  </si>
  <si>
    <t>CUST448</t>
  </si>
  <si>
    <t>ORD00455</t>
  </si>
  <si>
    <t>CUST889</t>
  </si>
  <si>
    <t>ORD00456</t>
  </si>
  <si>
    <t>ORD00457</t>
  </si>
  <si>
    <t>CUST174</t>
  </si>
  <si>
    <t>ORD00458</t>
  </si>
  <si>
    <t>CUST208</t>
  </si>
  <si>
    <t>ORD00459</t>
  </si>
  <si>
    <t>CUST503</t>
  </si>
  <si>
    <t>ORD00460</t>
  </si>
  <si>
    <t>CUST569</t>
  </si>
  <si>
    <t>ORD00461</t>
  </si>
  <si>
    <t>CUST359</t>
  </si>
  <si>
    <t>ORD00462</t>
  </si>
  <si>
    <t>CUST698</t>
  </si>
  <si>
    <t>ORD00463</t>
  </si>
  <si>
    <t>CUST957</t>
  </si>
  <si>
    <t>ORD00464</t>
  </si>
  <si>
    <t>ORD00465</t>
  </si>
  <si>
    <t>ORD00466</t>
  </si>
  <si>
    <t>CUST391</t>
  </si>
  <si>
    <t>ORD00467</t>
  </si>
  <si>
    <t>ORD00468</t>
  </si>
  <si>
    <t>CUST150</t>
  </si>
  <si>
    <t>ORD00469</t>
  </si>
  <si>
    <t>ORD00470</t>
  </si>
  <si>
    <t>ORD00471</t>
  </si>
  <si>
    <t>ORD00472</t>
  </si>
  <si>
    <t>ORD00473</t>
  </si>
  <si>
    <t>CUST586</t>
  </si>
  <si>
    <t>ORD00474</t>
  </si>
  <si>
    <t>CUST156</t>
  </si>
  <si>
    <t>ORD00475</t>
  </si>
  <si>
    <t>CUST781</t>
  </si>
  <si>
    <t>ORD00476</t>
  </si>
  <si>
    <t>CUST381</t>
  </si>
  <si>
    <t>ORD00477</t>
  </si>
  <si>
    <t>CUST124</t>
  </si>
  <si>
    <t>ORD00478</t>
  </si>
  <si>
    <t>CUST363</t>
  </si>
  <si>
    <t>ORD00479</t>
  </si>
  <si>
    <t>ORD00480</t>
  </si>
  <si>
    <t>ORD00481</t>
  </si>
  <si>
    <t>CUST614</t>
  </si>
  <si>
    <t>ORD00482</t>
  </si>
  <si>
    <t>CUST239</t>
  </si>
  <si>
    <t>ORD00483</t>
  </si>
  <si>
    <t>CUST477</t>
  </si>
  <si>
    <t>ORD00484</t>
  </si>
  <si>
    <t>CUST128</t>
  </si>
  <si>
    <t>ORD00485</t>
  </si>
  <si>
    <t>CUST113</t>
  </si>
  <si>
    <t>ORD00486</t>
  </si>
  <si>
    <t>ORD00487</t>
  </si>
  <si>
    <t>ORD00488</t>
  </si>
  <si>
    <t>CUST494</t>
  </si>
  <si>
    <t>ORD00489</t>
  </si>
  <si>
    <t>CUST202</t>
  </si>
  <si>
    <t>ORD00490</t>
  </si>
  <si>
    <t>ORD00491</t>
  </si>
  <si>
    <t>CUST636</t>
  </si>
  <si>
    <t>ORD00492</t>
  </si>
  <si>
    <t>ORD00493</t>
  </si>
  <si>
    <t>ORD00494</t>
  </si>
  <si>
    <t>ORD00495</t>
  </si>
  <si>
    <t>ORD00496</t>
  </si>
  <si>
    <t>CUST302</t>
  </si>
  <si>
    <t>ORD00497</t>
  </si>
  <si>
    <t>CUST549</t>
  </si>
  <si>
    <t>ORD00498</t>
  </si>
  <si>
    <t>CUST384</t>
  </si>
  <si>
    <t>ORD00499</t>
  </si>
  <si>
    <t>CUST559</t>
  </si>
  <si>
    <t>ORD00500</t>
  </si>
  <si>
    <t>ORD00501</t>
  </si>
  <si>
    <t>CUST497</t>
  </si>
  <si>
    <t>ORD00502</t>
  </si>
  <si>
    <t>ORD00503</t>
  </si>
  <si>
    <t>CUST157</t>
  </si>
  <si>
    <t>ORD00504</t>
  </si>
  <si>
    <t>CUST469</t>
  </si>
  <si>
    <t>ORD00505</t>
  </si>
  <si>
    <t>ORD00506</t>
  </si>
  <si>
    <t>ORD00507</t>
  </si>
  <si>
    <t>CUST523</t>
  </si>
  <si>
    <t>ORD00508</t>
  </si>
  <si>
    <t>ORD00509</t>
  </si>
  <si>
    <t>CUST258</t>
  </si>
  <si>
    <t>ORD00510</t>
  </si>
  <si>
    <t>ORD00511</t>
  </si>
  <si>
    <t>CUST140</t>
  </si>
  <si>
    <t>ORD00512</t>
  </si>
  <si>
    <t>CUST676</t>
  </si>
  <si>
    <t>ORD00513</t>
  </si>
  <si>
    <t>CUST214</t>
  </si>
  <si>
    <t>ORD00514</t>
  </si>
  <si>
    <t>CUST420</t>
  </si>
  <si>
    <t>ORD00515</t>
  </si>
  <si>
    <t>CUST167</t>
  </si>
  <si>
    <t>ORD00516</t>
  </si>
  <si>
    <t>CUST735</t>
  </si>
  <si>
    <t>ORD00517</t>
  </si>
  <si>
    <t>CUST722</t>
  </si>
  <si>
    <t>ORD00518</t>
  </si>
  <si>
    <t>CUST326</t>
  </si>
  <si>
    <t>ORD00519</t>
  </si>
  <si>
    <t>ORD00520</t>
  </si>
  <si>
    <t>ORD00521</t>
  </si>
  <si>
    <t>ORD00522</t>
  </si>
  <si>
    <t>ORD00523</t>
  </si>
  <si>
    <t>CUST464</t>
  </si>
  <si>
    <t>ORD00524</t>
  </si>
  <si>
    <t>CUST436</t>
  </si>
  <si>
    <t>ORD00525</t>
  </si>
  <si>
    <t>ORD00526</t>
  </si>
  <si>
    <t>CUST440</t>
  </si>
  <si>
    <t>ORD00527</t>
  </si>
  <si>
    <t>CUST543</t>
  </si>
  <si>
    <t>ORD00528</t>
  </si>
  <si>
    <t>ORD00529</t>
  </si>
  <si>
    <t>ORD00530</t>
  </si>
  <si>
    <t>CUST276</t>
  </si>
  <si>
    <t>ORD00531</t>
  </si>
  <si>
    <t>CUST597</t>
  </si>
  <si>
    <t>ORD00532</t>
  </si>
  <si>
    <t>ORD00533</t>
  </si>
  <si>
    <t>ORD00534</t>
  </si>
  <si>
    <t>CUST694</t>
  </si>
  <si>
    <t>ORD00535</t>
  </si>
  <si>
    <t>CUST607</t>
  </si>
  <si>
    <t>ORD00536</t>
  </si>
  <si>
    <t>ORD00537</t>
  </si>
  <si>
    <t>CUST871</t>
  </si>
  <si>
    <t>ORD00538</t>
  </si>
  <si>
    <t>CUST927</t>
  </si>
  <si>
    <t>ORD00539</t>
  </si>
  <si>
    <t>ORD00540</t>
  </si>
  <si>
    <t>ORD00541</t>
  </si>
  <si>
    <t>CUST504</t>
  </si>
  <si>
    <t>ORD00542</t>
  </si>
  <si>
    <t>ORD00543</t>
  </si>
  <si>
    <t>CUST784</t>
  </si>
  <si>
    <t>ORD00544</t>
  </si>
  <si>
    <t>CUST625</t>
  </si>
  <si>
    <t>ORD00545</t>
  </si>
  <si>
    <t>ORD00546</t>
  </si>
  <si>
    <t>ORD00547</t>
  </si>
  <si>
    <t>ORD00548</t>
  </si>
  <si>
    <t>CUST159</t>
  </si>
  <si>
    <t>ORD00549</t>
  </si>
  <si>
    <t>CUST754</t>
  </si>
  <si>
    <t>ORD00550</t>
  </si>
  <si>
    <t>ORD00551</t>
  </si>
  <si>
    <t>CUST399</t>
  </si>
  <si>
    <t>ORD00552</t>
  </si>
  <si>
    <t>CUST233</t>
  </si>
  <si>
    <t>ORD00553</t>
  </si>
  <si>
    <t>ORD00554</t>
  </si>
  <si>
    <t>CUST624</t>
  </si>
  <si>
    <t>ORD00555</t>
  </si>
  <si>
    <t>CUST410</t>
  </si>
  <si>
    <t>ORD00556</t>
  </si>
  <si>
    <t>CUST994</t>
  </si>
  <si>
    <t>ORD00557</t>
  </si>
  <si>
    <t>CUST131</t>
  </si>
  <si>
    <t>ORD00558</t>
  </si>
  <si>
    <t>ORD00559</t>
  </si>
  <si>
    <t>ORD00560</t>
  </si>
  <si>
    <t>ORD00561</t>
  </si>
  <si>
    <t>CUST242</t>
  </si>
  <si>
    <t>ORD00562</t>
  </si>
  <si>
    <t>ORD00563</t>
  </si>
  <si>
    <t>CUST246</t>
  </si>
  <si>
    <t>ORD00564</t>
  </si>
  <si>
    <t>CUST316</t>
  </si>
  <si>
    <t>ORD00565</t>
  </si>
  <si>
    <t>ORD00566</t>
  </si>
  <si>
    <t>ORD00567</t>
  </si>
  <si>
    <t>CUST990</t>
  </si>
  <si>
    <t>ORD00568</t>
  </si>
  <si>
    <t>CUST662</t>
  </si>
  <si>
    <t>ORD00569</t>
  </si>
  <si>
    <t>CUST179</t>
  </si>
  <si>
    <t>ORD00570</t>
  </si>
  <si>
    <t>ORD00571</t>
  </si>
  <si>
    <t>ORD00572</t>
  </si>
  <si>
    <t>ORD00573</t>
  </si>
  <si>
    <t>ORD00574</t>
  </si>
  <si>
    <t>ORD00575</t>
  </si>
  <si>
    <t>ORD00576</t>
  </si>
  <si>
    <t>ORD00577</t>
  </si>
  <si>
    <t>ORD00578</t>
  </si>
  <si>
    <t>CUST858</t>
  </si>
  <si>
    <t>ORD00579</t>
  </si>
  <si>
    <t>ORD00580</t>
  </si>
  <si>
    <t>CUST839</t>
  </si>
  <si>
    <t>ORD00581</t>
  </si>
  <si>
    <t>CUST585</t>
  </si>
  <si>
    <t>ORD00582</t>
  </si>
  <si>
    <t>CUST817</t>
  </si>
  <si>
    <t>ORD00583</t>
  </si>
  <si>
    <t>ORD00584</t>
  </si>
  <si>
    <t>ORD00585</t>
  </si>
  <si>
    <t>ORD00586</t>
  </si>
  <si>
    <t>ORD00587</t>
  </si>
  <si>
    <t>CUST910</t>
  </si>
  <si>
    <t>ORD00588</t>
  </si>
  <si>
    <t>ORD00589</t>
  </si>
  <si>
    <t>CUST536</t>
  </si>
  <si>
    <t>ORD00590</t>
  </si>
  <si>
    <t>ORD00591</t>
  </si>
  <si>
    <t>ORD00592</t>
  </si>
  <si>
    <t>CUST759</t>
  </si>
  <si>
    <t>ORD00593</t>
  </si>
  <si>
    <t>ORD00594</t>
  </si>
  <si>
    <t>ORD00595</t>
  </si>
  <si>
    <t>ORD00596</t>
  </si>
  <si>
    <t>CUST638</t>
  </si>
  <si>
    <t>ORD00597</t>
  </si>
  <si>
    <t>CUST376</t>
  </si>
  <si>
    <t>ORD00598</t>
  </si>
  <si>
    <t>ORD00599</t>
  </si>
  <si>
    <t>CUST439</t>
  </si>
  <si>
    <t>ORD00600</t>
  </si>
  <si>
    <t>CUST431</t>
  </si>
  <si>
    <t>ORD00601</t>
  </si>
  <si>
    <t>CUST143</t>
  </si>
  <si>
    <t>ORD00602</t>
  </si>
  <si>
    <t>ORD00603</t>
  </si>
  <si>
    <t>CUST767</t>
  </si>
  <si>
    <t>ORD00604</t>
  </si>
  <si>
    <t>ORD00605</t>
  </si>
  <si>
    <t>CUST351</t>
  </si>
  <si>
    <t>ORD00606</t>
  </si>
  <si>
    <t>CUST699</t>
  </si>
  <si>
    <t>ORD00607</t>
  </si>
  <si>
    <t>ORD00608</t>
  </si>
  <si>
    <t>ORD00609</t>
  </si>
  <si>
    <t>ORD00610</t>
  </si>
  <si>
    <t>ORD00611</t>
  </si>
  <si>
    <t>ORD00612</t>
  </si>
  <si>
    <t>CUST760</t>
  </si>
  <si>
    <t>ORD00613</t>
  </si>
  <si>
    <t>CUST673</t>
  </si>
  <si>
    <t>ORD00614</t>
  </si>
  <si>
    <t>ORD00615</t>
  </si>
  <si>
    <t>ORD00616</t>
  </si>
  <si>
    <t>CUST751</t>
  </si>
  <si>
    <t>ORD00617</t>
  </si>
  <si>
    <t>ORD00618</t>
  </si>
  <si>
    <t>CUST120</t>
  </si>
  <si>
    <t>ORD00619</t>
  </si>
  <si>
    <t>ORD00620</t>
  </si>
  <si>
    <t>ORD00621</t>
  </si>
  <si>
    <t>CUST808</t>
  </si>
  <si>
    <t>ORD00622</t>
  </si>
  <si>
    <t>ORD00623</t>
  </si>
  <si>
    <t>CUST972</t>
  </si>
  <si>
    <t>ORD00624</t>
  </si>
  <si>
    <t>CUST314</t>
  </si>
  <si>
    <t>ORD00625</t>
  </si>
  <si>
    <t>ORD00626</t>
  </si>
  <si>
    <t>CUST682</t>
  </si>
  <si>
    <t>ORD00627</t>
  </si>
  <si>
    <t>CUST901</t>
  </si>
  <si>
    <t>ORD00628</t>
  </si>
  <si>
    <t>CUST367</t>
  </si>
  <si>
    <t>ORD00629</t>
  </si>
  <si>
    <t>CUST491</t>
  </si>
  <si>
    <t>ORD00630</t>
  </si>
  <si>
    <t>CUST815</t>
  </si>
  <si>
    <t>ORD00631</t>
  </si>
  <si>
    <t>ORD00632</t>
  </si>
  <si>
    <t>CUST617</t>
  </si>
  <si>
    <t>ORD00633</t>
  </si>
  <si>
    <t>CUST306</t>
  </si>
  <si>
    <t>ORD00634</t>
  </si>
  <si>
    <t>ORD00635</t>
  </si>
  <si>
    <t>CUST946</t>
  </si>
  <si>
    <t>ORD00636</t>
  </si>
  <si>
    <t>CUST310</t>
  </si>
  <si>
    <t>ORD00637</t>
  </si>
  <si>
    <t>CUST101</t>
  </si>
  <si>
    <t>ORD00638</t>
  </si>
  <si>
    <t>CUST483</t>
  </si>
  <si>
    <t>ORD00639</t>
  </si>
  <si>
    <t>CUST612</t>
  </si>
  <si>
    <t>ORD00640</t>
  </si>
  <si>
    <t>ORD00641</t>
  </si>
  <si>
    <t>CUST944</t>
  </si>
  <si>
    <t>ORD00642</t>
  </si>
  <si>
    <t>ORD00643</t>
  </si>
  <si>
    <t>ORD00644</t>
  </si>
  <si>
    <t>CUST461</t>
  </si>
  <si>
    <t>ORD00645</t>
  </si>
  <si>
    <t>CUST121</t>
  </si>
  <si>
    <t>ORD00646</t>
  </si>
  <si>
    <t>ORD00647</t>
  </si>
  <si>
    <t>ORD00648</t>
  </si>
  <si>
    <t>ORD00649</t>
  </si>
  <si>
    <t>ORD00650</t>
  </si>
  <si>
    <t>ORD00651</t>
  </si>
  <si>
    <t>CUST659</t>
  </si>
  <si>
    <t>ORD00652</t>
  </si>
  <si>
    <t>ORD00653</t>
  </si>
  <si>
    <t>ORD00654</t>
  </si>
  <si>
    <t>ORD00655</t>
  </si>
  <si>
    <t>ORD00656</t>
  </si>
  <si>
    <t>ORD00657</t>
  </si>
  <si>
    <t>CUST328</t>
  </si>
  <si>
    <t>ORD00658</t>
  </si>
  <si>
    <t>CUST412</t>
  </si>
  <si>
    <t>ORD00659</t>
  </si>
  <si>
    <t>ORD00660</t>
  </si>
  <si>
    <t>ORD00661</t>
  </si>
  <si>
    <t>ORD00662</t>
  </si>
  <si>
    <t>ORD00663</t>
  </si>
  <si>
    <t>CUST604</t>
  </si>
  <si>
    <t>ORD00664</t>
  </si>
  <si>
    <t>CUST334</t>
  </si>
  <si>
    <t>ORD00665</t>
  </si>
  <si>
    <t>CUST718</t>
  </si>
  <si>
    <t>ORD00666</t>
  </si>
  <si>
    <t>ORD00667</t>
  </si>
  <si>
    <t>CUST424</t>
  </si>
  <si>
    <t>ORD00668</t>
  </si>
  <si>
    <t>CUST826</t>
  </si>
  <si>
    <t>ORD00669</t>
  </si>
  <si>
    <t>ORD00670</t>
  </si>
  <si>
    <t>CUST802</t>
  </si>
  <si>
    <t>ORD00671</t>
  </si>
  <si>
    <t>ORD00672</t>
  </si>
  <si>
    <t>CUST650</t>
  </si>
  <si>
    <t>ORD00673</t>
  </si>
  <si>
    <t>CUST513</t>
  </si>
  <si>
    <t>ORD00674</t>
  </si>
  <si>
    <t>ORD00675</t>
  </si>
  <si>
    <t>ORD00676</t>
  </si>
  <si>
    <t>CUST296</t>
  </si>
  <si>
    <t>ORD00677</t>
  </si>
  <si>
    <t>CUST344</t>
  </si>
  <si>
    <t>ORD00678</t>
  </si>
  <si>
    <t>ORD00679</t>
  </si>
  <si>
    <t>CUST683</t>
  </si>
  <si>
    <t>ORD00680</t>
  </si>
  <si>
    <t>ORD00681</t>
  </si>
  <si>
    <t>ORD00682</t>
  </si>
  <si>
    <t>ORD00683</t>
  </si>
  <si>
    <t>CUST996</t>
  </si>
  <si>
    <t>ORD00684</t>
  </si>
  <si>
    <t>CUST667</t>
  </si>
  <si>
    <t>ORD00685</t>
  </si>
  <si>
    <t>CUST835</t>
  </si>
  <si>
    <t>ORD00686</t>
  </si>
  <si>
    <t>ORD00687</t>
  </si>
  <si>
    <t>ORD00688</t>
  </si>
  <si>
    <t>ORD00689</t>
  </si>
  <si>
    <t>CUST700</t>
  </si>
  <si>
    <t>ORD00690</t>
  </si>
  <si>
    <t>ORD00691</t>
  </si>
  <si>
    <t>CUST195</t>
  </si>
  <si>
    <t>ORD00692</t>
  </si>
  <si>
    <t>CUST176</t>
  </si>
  <si>
    <t>ORD00693</t>
  </si>
  <si>
    <t>CUST511</t>
  </si>
  <si>
    <t>ORD00694</t>
  </si>
  <si>
    <t>CUST471</t>
  </si>
  <si>
    <t>ORD00695</t>
  </si>
  <si>
    <t>CUST451</t>
  </si>
  <si>
    <t>ORD00696</t>
  </si>
  <si>
    <t>ORD00697</t>
  </si>
  <si>
    <t>CUST104</t>
  </si>
  <si>
    <t>ORD00698</t>
  </si>
  <si>
    <t>ORD00699</t>
  </si>
  <si>
    <t>CUST149</t>
  </si>
  <si>
    <t>ORD00700</t>
  </si>
  <si>
    <t>ORD00701</t>
  </si>
  <si>
    <t>CUST724</t>
  </si>
  <si>
    <t>ORD00702</t>
  </si>
  <si>
    <t>CUST758</t>
  </si>
  <si>
    <t>ORD00703</t>
  </si>
  <si>
    <t>CUST573</t>
  </si>
  <si>
    <t>ORD00704</t>
  </si>
  <si>
    <t>ORD00705</t>
  </si>
  <si>
    <t>CUST915</t>
  </si>
  <si>
    <t>ORD00706</t>
  </si>
  <si>
    <t>CUST482</t>
  </si>
  <si>
    <t>ORD00707</t>
  </si>
  <si>
    <t>CUST346</t>
  </si>
  <si>
    <t>ORD00708</t>
  </si>
  <si>
    <t>ORD00709</t>
  </si>
  <si>
    <t>ORD00710</t>
  </si>
  <si>
    <t>ORD00711</t>
  </si>
  <si>
    <t>ORD00712</t>
  </si>
  <si>
    <t>ORD00713</t>
  </si>
  <si>
    <t>ORD00714</t>
  </si>
  <si>
    <t>CUST834</t>
  </si>
  <si>
    <t>ORD00715</t>
  </si>
  <si>
    <t>ORD00716</t>
  </si>
  <si>
    <t>CUST170</t>
  </si>
  <si>
    <t>ORD00717</t>
  </si>
  <si>
    <t>CUST898</t>
  </si>
  <si>
    <t>ORD00718</t>
  </si>
  <si>
    <t>ORD00719</t>
  </si>
  <si>
    <t>CUST189</t>
  </si>
  <si>
    <t>ORD00720</t>
  </si>
  <si>
    <t>ORD00721</t>
  </si>
  <si>
    <t>ORD00722</t>
  </si>
  <si>
    <t>CUST711</t>
  </si>
  <si>
    <t>ORD00723</t>
  </si>
  <si>
    <t>ORD00724</t>
  </si>
  <si>
    <t>ORD00725</t>
  </si>
  <si>
    <t>CUST628</t>
  </si>
  <si>
    <t>ORD00726</t>
  </si>
  <si>
    <t>ORD00727</t>
  </si>
  <si>
    <t>ORD00728</t>
  </si>
  <si>
    <t>ORD00729</t>
  </si>
  <si>
    <t>CUST403</t>
  </si>
  <si>
    <t>ORD00730</t>
  </si>
  <si>
    <t>CUST369</t>
  </si>
  <si>
    <t>ORD00731</t>
  </si>
  <si>
    <t>ORD00732</t>
  </si>
  <si>
    <t>ORD00733</t>
  </si>
  <si>
    <t>CUST192</t>
  </si>
  <si>
    <t>ORD00734</t>
  </si>
  <si>
    <t>ORD00735</t>
  </si>
  <si>
    <t>CUST693</t>
  </si>
  <si>
    <t>ORD00736</t>
  </si>
  <si>
    <t>ORD00737</t>
  </si>
  <si>
    <t>ORD00738</t>
  </si>
  <si>
    <t>ORD00739</t>
  </si>
  <si>
    <t>CUST426</t>
  </si>
  <si>
    <t>ORD00740</t>
  </si>
  <si>
    <t>ORD00741</t>
  </si>
  <si>
    <t>ORD00742</t>
  </si>
  <si>
    <t>ORD00743</t>
  </si>
  <si>
    <t>ORD00744</t>
  </si>
  <si>
    <t>ORD00745</t>
  </si>
  <si>
    <t>CUST327</t>
  </si>
  <si>
    <t>ORD00746</t>
  </si>
  <si>
    <t>CUST679</t>
  </si>
  <si>
    <t>ORD00747</t>
  </si>
  <si>
    <t>ORD00748</t>
  </si>
  <si>
    <t>ORD00749</t>
  </si>
  <si>
    <t>ORD00750</t>
  </si>
  <si>
    <t>ORD00751</t>
  </si>
  <si>
    <t>CUST875</t>
  </si>
  <si>
    <t>ORD00752</t>
  </si>
  <si>
    <t>ORD00753</t>
  </si>
  <si>
    <t>ORD00754</t>
  </si>
  <si>
    <t>ORD00755</t>
  </si>
  <si>
    <t>CUST701</t>
  </si>
  <si>
    <t>ORD00756</t>
  </si>
  <si>
    <t>ORD00757</t>
  </si>
  <si>
    <t>ORD00758</t>
  </si>
  <si>
    <t>ORD00759</t>
  </si>
  <si>
    <t>CUST518</t>
  </si>
  <si>
    <t>ORD00760</t>
  </si>
  <si>
    <t>ORD00761</t>
  </si>
  <si>
    <t>ORD00762</t>
  </si>
  <si>
    <t>ORD00763</t>
  </si>
  <si>
    <t>CUST836</t>
  </si>
  <si>
    <t>ORD00764</t>
  </si>
  <si>
    <t>ORD00765</t>
  </si>
  <si>
    <t>CUST438</t>
  </si>
  <si>
    <t>ORD00766</t>
  </si>
  <si>
    <t>ORD00767</t>
  </si>
  <si>
    <t>ORD00768</t>
  </si>
  <si>
    <t>ORD00769</t>
  </si>
  <si>
    <t>CUST849</t>
  </si>
  <si>
    <t>ORD00770</t>
  </si>
  <si>
    <t>ORD00771</t>
  </si>
  <si>
    <t>ORD00772</t>
  </si>
  <si>
    <t>CUST492</t>
  </si>
  <si>
    <t>ORD00773</t>
  </si>
  <si>
    <t>ORD00774</t>
  </si>
  <si>
    <t>ORD00775</t>
  </si>
  <si>
    <t>ORD00776</t>
  </si>
  <si>
    <t>ORD00777</t>
  </si>
  <si>
    <t>ORD00778</t>
  </si>
  <si>
    <t>ORD00779</t>
  </si>
  <si>
    <t>ORD00780</t>
  </si>
  <si>
    <t>CUST357</t>
  </si>
  <si>
    <t>ORD00781</t>
  </si>
  <si>
    <t>ORD00782</t>
  </si>
  <si>
    <t>CUST249</t>
  </si>
  <si>
    <t>ORD00783</t>
  </si>
  <si>
    <t>CUST417</t>
  </si>
  <si>
    <t>ORD00784</t>
  </si>
  <si>
    <t>ORD00785</t>
  </si>
  <si>
    <t>ORD00786</t>
  </si>
  <si>
    <t>ORD00787</t>
  </si>
  <si>
    <t>CUST942</t>
  </si>
  <si>
    <t>ORD00788</t>
  </si>
  <si>
    <t>CUST538</t>
  </si>
  <si>
    <t>ORD00789</t>
  </si>
  <si>
    <t>CUST882</t>
  </si>
  <si>
    <t>ORD00790</t>
  </si>
  <si>
    <t>ORD00791</t>
  </si>
  <si>
    <t>CUST545</t>
  </si>
  <si>
    <t>ORD00792</t>
  </si>
  <si>
    <t>ORD00793</t>
  </si>
  <si>
    <t>CUST641</t>
  </si>
  <si>
    <t>ORD00794</t>
  </si>
  <si>
    <t>ORD00795</t>
  </si>
  <si>
    <t>ORD00796</t>
  </si>
  <si>
    <t>CUST414</t>
  </si>
  <si>
    <t>ORD00797</t>
  </si>
  <si>
    <t>CUST487</t>
  </si>
  <si>
    <t>ORD00798</t>
  </si>
  <si>
    <t>ORD00799</t>
  </si>
  <si>
    <t>CUST552</t>
  </si>
  <si>
    <t>ORD00800</t>
  </si>
  <si>
    <t>ORD00801</t>
  </si>
  <si>
    <t>ORD00802</t>
  </si>
  <si>
    <t>ORD00803</t>
  </si>
  <si>
    <t>CUST818</t>
  </si>
  <si>
    <t>ORD00804</t>
  </si>
  <si>
    <t>ORD00805</t>
  </si>
  <si>
    <t>ORD00806</t>
  </si>
  <si>
    <t>ORD00807</t>
  </si>
  <si>
    <t>CUST827</t>
  </si>
  <si>
    <t>ORD00808</t>
  </si>
  <si>
    <t>CUST654</t>
  </si>
  <si>
    <t>ORD00809</t>
  </si>
  <si>
    <t>ORD00810</t>
  </si>
  <si>
    <t>CUST917</t>
  </si>
  <si>
    <t>ORD00811</t>
  </si>
  <si>
    <t>CUST745</t>
  </si>
  <si>
    <t>ORD00812</t>
  </si>
  <si>
    <t>ORD00813</t>
  </si>
  <si>
    <t>CUST765</t>
  </si>
  <si>
    <t>ORD00814</t>
  </si>
  <si>
    <t>ORD00815</t>
  </si>
  <si>
    <t>ORD00816</t>
  </si>
  <si>
    <t>ORD00817</t>
  </si>
  <si>
    <t>ORD00818</t>
  </si>
  <si>
    <t>CUST514</t>
  </si>
  <si>
    <t>ORD00819</t>
  </si>
  <si>
    <t>ORD00820</t>
  </si>
  <si>
    <t>ORD00821</t>
  </si>
  <si>
    <t>CUST190</t>
  </si>
  <si>
    <t>ORD00822</t>
  </si>
  <si>
    <t>ORD00823</t>
  </si>
  <si>
    <t>ORD00824</t>
  </si>
  <si>
    <t>ORD00825</t>
  </si>
  <si>
    <t>CUST869</t>
  </si>
  <si>
    <t>ORD00826</t>
  </si>
  <si>
    <t>CUST730</t>
  </si>
  <si>
    <t>ORD00827</t>
  </si>
  <si>
    <t>ORD00828</t>
  </si>
  <si>
    <t>ORD00829</t>
  </si>
  <si>
    <t>CUST773</t>
  </si>
  <si>
    <t>ORD00830</t>
  </si>
  <si>
    <t>ORD00831</t>
  </si>
  <si>
    <t>ORD00832</t>
  </si>
  <si>
    <t>ORD00833</t>
  </si>
  <si>
    <t>ORD00834</t>
  </si>
  <si>
    <t>ORD00835</t>
  </si>
  <si>
    <t>CUST594</t>
  </si>
  <si>
    <t>ORD00836</t>
  </si>
  <si>
    <t>CUST305</t>
  </si>
  <si>
    <t>ORD00837</t>
  </si>
  <si>
    <t>ORD00838</t>
  </si>
  <si>
    <t>ORD00839</t>
  </si>
  <si>
    <t>ORD00840</t>
  </si>
  <si>
    <t>ORD00841</t>
  </si>
  <si>
    <t>CUST397</t>
  </si>
  <si>
    <t>ORD00842</t>
  </si>
  <si>
    <t>CUST288</t>
  </si>
  <si>
    <t>ORD00843</t>
  </si>
  <si>
    <t>ORD00844</t>
  </si>
  <si>
    <t>ORD00845</t>
  </si>
  <si>
    <t>CUST162</t>
  </si>
  <si>
    <t>ORD00846</t>
  </si>
  <si>
    <t>CUST459</t>
  </si>
  <si>
    <t>ORD00847</t>
  </si>
  <si>
    <t>ORD00848</t>
  </si>
  <si>
    <t>CUST891</t>
  </si>
  <si>
    <t>ORD00849</t>
  </si>
  <si>
    <t>CUST681</t>
  </si>
  <si>
    <t>ORD00850</t>
  </si>
  <si>
    <t>ORD00851</t>
  </si>
  <si>
    <t>ORD00852</t>
  </si>
  <si>
    <t>CUST495</t>
  </si>
  <si>
    <t>ORD00853</t>
  </si>
  <si>
    <t>ORD00854</t>
  </si>
  <si>
    <t>ORD00855</t>
  </si>
  <si>
    <t>CUST177</t>
  </si>
  <si>
    <t>ORD00856</t>
  </si>
  <si>
    <t>CUST219</t>
  </si>
  <si>
    <t>ORD00857</t>
  </si>
  <si>
    <t>CUST763</t>
  </si>
  <si>
    <t>ORD00858</t>
  </si>
  <si>
    <t>CUST418</t>
  </si>
  <si>
    <t>ORD00859</t>
  </si>
  <si>
    <t>CUST830</t>
  </si>
  <si>
    <t>ORD00860</t>
  </si>
  <si>
    <t>ORD00861</t>
  </si>
  <si>
    <t>CUST312</t>
  </si>
  <si>
    <t>ORD00862</t>
  </si>
  <si>
    <t>ORD00863</t>
  </si>
  <si>
    <t>ORD00864</t>
  </si>
  <si>
    <t>CUST293</t>
  </si>
  <si>
    <t>ORD00865</t>
  </si>
  <si>
    <t>ORD00866</t>
  </si>
  <si>
    <t>CUST379</t>
  </si>
  <si>
    <t>ORD00867</t>
  </si>
  <si>
    <t>CUST366</t>
  </si>
  <si>
    <t>ORD00868</t>
  </si>
  <si>
    <t>CUST770</t>
  </si>
  <si>
    <t>ORD00869</t>
  </si>
  <si>
    <t>ORD00870</t>
  </si>
  <si>
    <t>CUST103</t>
  </si>
  <si>
    <t>ORD00871</t>
  </si>
  <si>
    <t>ORD00872</t>
  </si>
  <si>
    <t>CUST685</t>
  </si>
  <si>
    <t>ORD00873</t>
  </si>
  <si>
    <t>ORD00874</t>
  </si>
  <si>
    <t>ORD00875</t>
  </si>
  <si>
    <t>ORD00876</t>
  </si>
  <si>
    <t>CUST458</t>
  </si>
  <si>
    <t>ORD00877</t>
  </si>
  <si>
    <t>CUST929</t>
  </si>
  <si>
    <t>ORD00878</t>
  </si>
  <si>
    <t>ORD00879</t>
  </si>
  <si>
    <t>CUST419</t>
  </si>
  <si>
    <t>ORD00880</t>
  </si>
  <si>
    <t>ORD00881</t>
  </si>
  <si>
    <t>ORD00882</t>
  </si>
  <si>
    <t>ORD00883</t>
  </si>
  <si>
    <t>CUST321</t>
  </si>
  <si>
    <t>ORD00884</t>
  </si>
  <si>
    <t>CUST575</t>
  </si>
  <si>
    <t>ORD00885</t>
  </si>
  <si>
    <t>CUST250</t>
  </si>
  <si>
    <t>ORD00886</t>
  </si>
  <si>
    <t>ORD00887</t>
  </si>
  <si>
    <t>CUST553</t>
  </si>
  <si>
    <t>ORD00888</t>
  </si>
  <si>
    <t>ORD00889</t>
  </si>
  <si>
    <t>ORD00890</t>
  </si>
  <si>
    <t>CUST935</t>
  </si>
  <si>
    <t>ORD00891</t>
  </si>
  <si>
    <t>ORD00892</t>
  </si>
  <si>
    <t>ORD00893</t>
  </si>
  <si>
    <t>ORD00894</t>
  </si>
  <si>
    <t>ORD00895</t>
  </si>
  <si>
    <t>CUST900</t>
  </si>
  <si>
    <t>ORD00896</t>
  </si>
  <si>
    <t>ORD00897</t>
  </si>
  <si>
    <t>ORD00898</t>
  </si>
  <si>
    <t>ORD00899</t>
  </si>
  <si>
    <t>ORD00900</t>
  </si>
  <si>
    <t>CUST294</t>
  </si>
  <si>
    <t>ORD00901</t>
  </si>
  <si>
    <t>ORD00902</t>
  </si>
  <si>
    <t>ORD00903</t>
  </si>
  <si>
    <t>ORD00904</t>
  </si>
  <si>
    <t>CUST702</t>
  </si>
  <si>
    <t>ORD00905</t>
  </si>
  <si>
    <t>CUST703</t>
  </si>
  <si>
    <t>ORD00906</t>
  </si>
  <si>
    <t>ORD00907</t>
  </si>
  <si>
    <t>ORD00908</t>
  </si>
  <si>
    <t>CUST853</t>
  </si>
  <si>
    <t>ORD00909</t>
  </si>
  <si>
    <t>ORD00910</t>
  </si>
  <si>
    <t>ORD00911</t>
  </si>
  <si>
    <t>ORD00912</t>
  </si>
  <si>
    <t>ORD00913</t>
  </si>
  <si>
    <t>CUST107</t>
  </si>
  <si>
    <t>ORD00914</t>
  </si>
  <si>
    <t>ORD00915</t>
  </si>
  <si>
    <t>CUST605</t>
  </si>
  <si>
    <t>ORD00916</t>
  </si>
  <si>
    <t>ORD00917</t>
  </si>
  <si>
    <t>CUST223</t>
  </si>
  <si>
    <t>ORD00918</t>
  </si>
  <si>
    <t>CUST283</t>
  </si>
  <si>
    <t>ORD00919</t>
  </si>
  <si>
    <t>ORD00920</t>
  </si>
  <si>
    <t>ORD00921</t>
  </si>
  <si>
    <t>ORD00922</t>
  </si>
  <si>
    <t>CUST251</t>
  </si>
  <si>
    <t>ORD00923</t>
  </si>
  <si>
    <t>CUST613</t>
  </si>
  <si>
    <t>ORD00924</t>
  </si>
  <si>
    <t>ORD00925</t>
  </si>
  <si>
    <t>ORD00926</t>
  </si>
  <si>
    <t>CUST300</t>
  </si>
  <si>
    <t>ORD00927</t>
  </si>
  <si>
    <t>ORD00928</t>
  </si>
  <si>
    <t>ORD00929</t>
  </si>
  <si>
    <t>ORD00930</t>
  </si>
  <si>
    <t>CUST222</t>
  </si>
  <si>
    <t>ORD00931</t>
  </si>
  <si>
    <t>ORD00932</t>
  </si>
  <si>
    <t>ORD00933</t>
  </si>
  <si>
    <t>ORD00934</t>
  </si>
  <si>
    <t>ORD00935</t>
  </si>
  <si>
    <t>ORD00936</t>
  </si>
  <si>
    <t>CUST368</t>
  </si>
  <si>
    <t>ORD00937</t>
  </si>
  <si>
    <t>ORD00938</t>
  </si>
  <si>
    <t>ORD00939</t>
  </si>
  <si>
    <t>ORD00940</t>
  </si>
  <si>
    <t>CUST232</t>
  </si>
  <si>
    <t>ORD00941</t>
  </si>
  <si>
    <t>CUST928</t>
  </si>
  <si>
    <t>ORD00942</t>
  </si>
  <si>
    <t>ORD00943</t>
  </si>
  <si>
    <t>ORD00944</t>
  </si>
  <si>
    <t>CUST621</t>
  </si>
  <si>
    <t>ORD00945</t>
  </si>
  <si>
    <t>ORD00946</t>
  </si>
  <si>
    <t>CUST501</t>
  </si>
  <si>
    <t>ORD00947</t>
  </si>
  <si>
    <t>ORD00948</t>
  </si>
  <si>
    <t>ORD00949</t>
  </si>
  <si>
    <t>CUST787</t>
  </si>
  <si>
    <t>ORD00950</t>
  </si>
  <si>
    <t>CUST171</t>
  </si>
  <si>
    <t>ORD00951</t>
  </si>
  <si>
    <t>CUST398</t>
  </si>
  <si>
    <t>ORD00952</t>
  </si>
  <si>
    <t>ORD00953</t>
  </si>
  <si>
    <t>ORD00954</t>
  </si>
  <si>
    <t>CUST761</t>
  </si>
  <si>
    <t>ORD00955</t>
  </si>
  <si>
    <t>USB Cable</t>
  </si>
  <si>
    <t>ORD00956</t>
  </si>
  <si>
    <t>ORD00957</t>
  </si>
  <si>
    <t>ORD00958</t>
  </si>
  <si>
    <t>ORD00959</t>
  </si>
  <si>
    <t>ORD00960</t>
  </si>
  <si>
    <t>ORD00961</t>
  </si>
  <si>
    <t>ORD00962</t>
  </si>
  <si>
    <t>ORD00963</t>
  </si>
  <si>
    <t>ORD00964</t>
  </si>
  <si>
    <t>ORD00965</t>
  </si>
  <si>
    <t>CUST175</t>
  </si>
  <si>
    <t>ORD00966</t>
  </si>
  <si>
    <t>ORD00967</t>
  </si>
  <si>
    <t>ORD00968</t>
  </si>
  <si>
    <t>ORD00969</t>
  </si>
  <si>
    <t>CUST466</t>
  </si>
  <si>
    <t>ORD00970</t>
  </si>
  <si>
    <t>CUST886</t>
  </si>
  <si>
    <t>ORD00971</t>
  </si>
  <si>
    <t>CUST692</t>
  </si>
  <si>
    <t>ORD00972</t>
  </si>
  <si>
    <t>ORD00973</t>
  </si>
  <si>
    <t>CUST798</t>
  </si>
  <si>
    <t>ORD00974</t>
  </si>
  <si>
    <t>ORD00975</t>
  </si>
  <si>
    <t>ORD00976</t>
  </si>
  <si>
    <t>ORD00977</t>
  </si>
  <si>
    <t>ORD00978</t>
  </si>
  <si>
    <t>ORD00979</t>
  </si>
  <si>
    <t>ORD00980</t>
  </si>
  <si>
    <t>ORD00981</t>
  </si>
  <si>
    <t>CUST139</t>
  </si>
  <si>
    <t>ORD00982</t>
  </si>
  <si>
    <t>CUST106</t>
  </si>
  <si>
    <t>ORD00983</t>
  </si>
  <si>
    <t>ORD00984</t>
  </si>
  <si>
    <t>CUST396</t>
  </si>
  <si>
    <t>ORD00985</t>
  </si>
  <si>
    <t>ORD00986</t>
  </si>
  <si>
    <t>CUST180</t>
  </si>
  <si>
    <t>ORD00987</t>
  </si>
  <si>
    <t>CUST544</t>
  </si>
  <si>
    <t>ORD00988</t>
  </si>
  <si>
    <t>ORD00989</t>
  </si>
  <si>
    <t>CUST852</t>
  </si>
  <si>
    <t>ORD00990</t>
  </si>
  <si>
    <t>ORD00991</t>
  </si>
  <si>
    <t>ORD00992</t>
  </si>
  <si>
    <t>ORD00993</t>
  </si>
  <si>
    <t>CUST225</t>
  </si>
  <si>
    <t>ORD00994</t>
  </si>
  <si>
    <t>ORD00995</t>
  </si>
  <si>
    <t>CUST205</t>
  </si>
  <si>
    <t>ORD00996</t>
  </si>
  <si>
    <t>ORD00997</t>
  </si>
  <si>
    <t>CUST522</t>
  </si>
  <si>
    <t>ORD00998</t>
  </si>
  <si>
    <t>CUST640</t>
  </si>
  <si>
    <t>ORD00999</t>
  </si>
  <si>
    <t>ORD01000</t>
  </si>
  <si>
    <t>ORD01001</t>
  </si>
  <si>
    <t>Row Labels</t>
  </si>
  <si>
    <t>Grand Total</t>
  </si>
  <si>
    <t>Apr</t>
  </si>
  <si>
    <t>May</t>
  </si>
  <si>
    <t>Jun</t>
  </si>
  <si>
    <t>Jul</t>
  </si>
  <si>
    <t>Aug</t>
  </si>
  <si>
    <t>Sep</t>
  </si>
  <si>
    <t>Oct</t>
  </si>
  <si>
    <t>Nov</t>
  </si>
  <si>
    <t>Dec</t>
  </si>
  <si>
    <t>Jan</t>
  </si>
  <si>
    <t>Feb</t>
  </si>
  <si>
    <t>Mar</t>
  </si>
  <si>
    <t>Sum of TotalAmount</t>
  </si>
  <si>
    <t>Sindh</t>
  </si>
  <si>
    <t>Islamabad Capital Territory</t>
  </si>
  <si>
    <t>Karachi</t>
  </si>
  <si>
    <t>Lahore</t>
  </si>
  <si>
    <t>Islamabad</t>
  </si>
  <si>
    <t>Faisalabad</t>
  </si>
  <si>
    <t>Peshawar</t>
  </si>
  <si>
    <t>Rawalpindi</t>
  </si>
  <si>
    <t>Multan</t>
  </si>
  <si>
    <t>Quetta</t>
  </si>
  <si>
    <t>Balochistan</t>
  </si>
  <si>
    <t>Khyber Pakhtunkhwa</t>
  </si>
  <si>
    <t>Average of DeliveryDays</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</si>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</sst>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3" x14ac:knownFonts="1">
    <font>
      <sz val="11"/>
      <color theme="1"/>
      <name val="Aptos Narrow"/>
      <family val="2"/>
      <scheme val="minor"/>
    </font>
    <font>
      <sz val="10"/>
      <color indexed="9"/>
      <name val="Aptos Narrow"/>
      <family val="2"/>
      <scheme val="minor"/>
    </font>
    <font>
      <sz val="11"/>
      <color theme="1"/>
      <name val="Aptos Narrow"/>
      <family val="2"/>
      <scheme val="minor"/>
    </font>
  </fonts>
  <fills count="3">
    <fill>
      <patternFill patternType="none"/>
    </fill>
    <fill>
      <patternFill patternType="gray125"/>
    </fill>
    <fill>
      <patternFill patternType="solid">
        <fgColor indexed="20"/>
        <bgColor indexed="24"/>
      </patternFill>
    </fill>
  </fills>
  <borders count="3">
    <border>
      <left/>
      <right/>
      <top/>
      <bottom/>
      <diagonal/>
    </border>
    <border>
      <left/>
      <right/>
      <top style="medium">
        <color indexed="64"/>
      </top>
      <bottom style="thin">
        <color indexed="64"/>
      </bottom>
      <diagonal/>
    </border>
    <border>
      <left/>
      <right/>
      <top/>
      <bottom style="medium">
        <color indexed="64"/>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xf>
    <xf numFmtId="15" fontId="0" fillId="0" borderId="0" xfId="0" applyNumberFormat="1" applyAlignment="1">
      <alignment horizontal="center" vertical="center"/>
    </xf>
    <xf numFmtId="0" fontId="0" fillId="0" borderId="2" xfId="0" applyBorder="1" applyAlignment="1">
      <alignment horizontal="center" vertical="center"/>
    </xf>
    <xf numFmtId="15" fontId="0" fillId="0" borderId="2" xfId="0" applyNumberFormat="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0" fontId="0" fillId="0" borderId="0" xfId="0" applyAlignment="1">
      <alignment horizontal="left" vertical="center" wrapText="1"/>
    </xf>
    <xf numFmtId="164" fontId="0" fillId="0" borderId="0" xfId="0" applyNumberFormat="1"/>
    <xf numFmtId="9" fontId="0" fillId="0" borderId="0" xfId="1" applyFont="1"/>
    <xf numFmtId="10" fontId="0" fillId="0" borderId="0" xfId="1" applyNumberFormat="1" applyFont="1"/>
  </cellXfs>
  <cellStyles count="2">
    <cellStyle name="Normal" xfId="0" builtinId="0"/>
    <cellStyle name="Percent" xfId="1" builtinId="5"/>
  </cellStyles>
  <dxfs count="21">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s>
  <tableStyles count="0" defaultTableStyle="TableStyleMedium2" defaultPivotStyle="PivotStyleLight16"/>
  <colors>
    <mruColors>
      <color rgb="FFD76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pivotCacheDefinition" Target="pivotCache/pivotCacheDefinition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6.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 Sales Dashboard.xlsx]KPIs!Month</c:name>
    <c:fmtId val="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8.5566078180712352E-2</c:v>
                </c:pt>
                <c:pt idx="1">
                  <c:v>6.2345037526179384E-2</c:v>
                </c:pt>
                <c:pt idx="2">
                  <c:v>8.399398301110346E-2</c:v>
                </c:pt>
                <c:pt idx="3">
                  <c:v>8.0548741304105095E-2</c:v>
                </c:pt>
                <c:pt idx="4">
                  <c:v>7.8572001429646224E-2</c:v>
                </c:pt>
                <c:pt idx="5">
                  <c:v>6.8064404599006992E-2</c:v>
                </c:pt>
                <c:pt idx="6">
                  <c:v>8.974804647203731E-2</c:v>
                </c:pt>
                <c:pt idx="7">
                  <c:v>8.8014162363143161E-2</c:v>
                </c:pt>
                <c:pt idx="8">
                  <c:v>8.9071755321090407E-2</c:v>
                </c:pt>
                <c:pt idx="9">
                  <c:v>8.6277169517725752E-2</c:v>
                </c:pt>
                <c:pt idx="10">
                  <c:v>8.2447209341512603E-2</c:v>
                </c:pt>
                <c:pt idx="11">
                  <c:v>0.1053514109337373</c:v>
                </c:pt>
              </c:numCache>
            </c:numRef>
          </c:val>
          <c:extLst>
            <c:ext xmlns:c16="http://schemas.microsoft.com/office/drawing/2014/chart" uri="{C3380CC4-5D6E-409C-BE32-E72D297353CC}">
              <c16:uniqueId val="{00000002-BE13-4A47-97A9-C0C42BCCC2F9}"/>
            </c:ext>
          </c:extLst>
        </c:ser>
        <c:dLbls>
          <c:dLblPos val="outEnd"/>
          <c:showLegendKey val="0"/>
          <c:showVal val="1"/>
          <c:showCatName val="0"/>
          <c:showSerName val="0"/>
          <c:showPercent val="0"/>
          <c:showBubbleSize val="0"/>
        </c:dLbls>
        <c:gapWidth val="182"/>
        <c:axId val="1045057680"/>
        <c:axId val="1045049520"/>
      </c:barChart>
      <c:catAx>
        <c:axId val="104505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45049520"/>
        <c:crosses val="autoZero"/>
        <c:auto val="1"/>
        <c:lblAlgn val="ctr"/>
        <c:lblOffset val="100"/>
        <c:noMultiLvlLbl val="0"/>
      </c:catAx>
      <c:valAx>
        <c:axId val="104504952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45057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 Sales Dashboard.xlsx]KPIs!Brand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KPIs!$J$3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KPIs!$J$4:$J$14</c:f>
              <c:numCache>
                <c:formatCode>0.00%</c:formatCode>
                <c:ptCount val="10"/>
                <c:pt idx="0">
                  <c:v>7.6454009129043488E-2</c:v>
                </c:pt>
                <c:pt idx="1">
                  <c:v>9.8734886505119107E-2</c:v>
                </c:pt>
                <c:pt idx="2">
                  <c:v>0.11035644155885853</c:v>
                </c:pt>
                <c:pt idx="3">
                  <c:v>0.11820485739687875</c:v>
                </c:pt>
                <c:pt idx="4">
                  <c:v>9.4702184511334914E-2</c:v>
                </c:pt>
                <c:pt idx="5">
                  <c:v>9.6944304804189724E-2</c:v>
                </c:pt>
                <c:pt idx="6">
                  <c:v>0.10057007308798607</c:v>
                </c:pt>
                <c:pt idx="7">
                  <c:v>0.10188391187223499</c:v>
                </c:pt>
                <c:pt idx="8">
                  <c:v>8.4067700124294986E-2</c:v>
                </c:pt>
                <c:pt idx="9">
                  <c:v>0.11808163101005949</c:v>
                </c:pt>
              </c:numCache>
            </c:numRef>
          </c:val>
          <c:extLst>
            <c:ext xmlns:c16="http://schemas.microsoft.com/office/drawing/2014/chart" uri="{C3380CC4-5D6E-409C-BE32-E72D297353CC}">
              <c16:uniqueId val="{00000002-0BDB-44D5-AA2C-3262E8E1BA2C}"/>
            </c:ext>
          </c:extLst>
        </c:ser>
        <c:dLbls>
          <c:dLblPos val="outEnd"/>
          <c:showLegendKey val="0"/>
          <c:showVal val="1"/>
          <c:showCatName val="0"/>
          <c:showSerName val="0"/>
          <c:showPercent val="0"/>
          <c:showBubbleSize val="0"/>
        </c:dLbls>
        <c:gapWidth val="182"/>
        <c:axId val="1769007568"/>
        <c:axId val="1769007088"/>
      </c:barChart>
      <c:catAx>
        <c:axId val="176900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69007088"/>
        <c:crosses val="autoZero"/>
        <c:auto val="1"/>
        <c:lblAlgn val="ctr"/>
        <c:lblOffset val="100"/>
        <c:noMultiLvlLbl val="0"/>
      </c:catAx>
      <c:valAx>
        <c:axId val="176900708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6900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 Sales Dashboard.xlsx]KPIs!PaymentMethod</c:name>
    <c:fmtId val="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KPIs!$N$3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KPIs!$M$4:$M$8</c:f>
              <c:strCache>
                <c:ptCount val="4"/>
                <c:pt idx="0">
                  <c:v>Card</c:v>
                </c:pt>
                <c:pt idx="1">
                  <c:v>Cash on Delivery</c:v>
                </c:pt>
                <c:pt idx="2">
                  <c:v>Net Banking</c:v>
                </c:pt>
                <c:pt idx="3">
                  <c:v>UPI</c:v>
                </c:pt>
              </c:strCache>
            </c:strRef>
          </c:cat>
          <c:val>
            <c:numRef>
              <c:f>KPIs!$N$4:$N$8</c:f>
              <c:numCache>
                <c:formatCode>0.00%</c:formatCode>
                <c:ptCount val="4"/>
                <c:pt idx="0">
                  <c:v>0.2346270623651715</c:v>
                </c:pt>
                <c:pt idx="1">
                  <c:v>0.24360147760900119</c:v>
                </c:pt>
                <c:pt idx="2">
                  <c:v>0.25669345847346225</c:v>
                </c:pt>
                <c:pt idx="3">
                  <c:v>0.26507800155236516</c:v>
                </c:pt>
              </c:numCache>
            </c:numRef>
          </c:val>
          <c:extLst>
            <c:ext xmlns:c16="http://schemas.microsoft.com/office/drawing/2014/chart" uri="{C3380CC4-5D6E-409C-BE32-E72D297353CC}">
              <c16:uniqueId val="{00000002-8D05-4859-8267-8D3E36A80B31}"/>
            </c:ext>
          </c:extLst>
        </c:ser>
        <c:dLbls>
          <c:dLblPos val="outEnd"/>
          <c:showLegendKey val="0"/>
          <c:showVal val="1"/>
          <c:showCatName val="0"/>
          <c:showSerName val="0"/>
          <c:showPercent val="0"/>
          <c:showBubbleSize val="0"/>
        </c:dLbls>
        <c:gapWidth val="219"/>
        <c:overlap val="-27"/>
        <c:axId val="1768637520"/>
        <c:axId val="1768626000"/>
      </c:barChart>
      <c:catAx>
        <c:axId val="176863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68626000"/>
        <c:crosses val="autoZero"/>
        <c:auto val="1"/>
        <c:lblAlgn val="ctr"/>
        <c:lblOffset val="100"/>
        <c:noMultiLvlLbl val="0"/>
      </c:catAx>
      <c:valAx>
        <c:axId val="17686260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68637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 Sales Dashboard.xlsx]KPIs!OrderChannel</c:name>
    <c:fmtId val="0"/>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5">
              <a:tint val="77000"/>
            </a:schemeClr>
          </a:solidFill>
          <a:ln w="19050">
            <a:solidFill>
              <a:schemeClr val="lt1"/>
            </a:solidFill>
          </a:ln>
          <a:effectLst/>
        </c:spPr>
      </c:pivotFmt>
      <c:pivotFmt>
        <c:idx val="2"/>
        <c:spPr>
          <a:solidFill>
            <a:schemeClr val="accent5">
              <a:shade val="76000"/>
            </a:schemeClr>
          </a:solidFill>
          <a:ln w="19050">
            <a:solidFill>
              <a:schemeClr val="lt1"/>
            </a:solidFill>
          </a:ln>
          <a:effectLst/>
        </c:spPr>
      </c:pivotFmt>
    </c:pivotFmts>
    <c:plotArea>
      <c:layout/>
      <c:pieChart>
        <c:varyColors val="1"/>
        <c:ser>
          <c:idx val="0"/>
          <c:order val="0"/>
          <c:tx>
            <c:strRef>
              <c:f>KPIs!$R$3</c:f>
              <c:strCache>
                <c:ptCount val="1"/>
                <c:pt idx="0">
                  <c:v>Total</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A11D-48E7-97C8-3E9A9FE02680}"/>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A11D-48E7-97C8-3E9A9FE026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KPIs!$Q$4:$Q$6</c:f>
              <c:strCache>
                <c:ptCount val="2"/>
                <c:pt idx="0">
                  <c:v>Mobile App</c:v>
                </c:pt>
                <c:pt idx="1">
                  <c:v>Website</c:v>
                </c:pt>
              </c:strCache>
            </c:strRef>
          </c:cat>
          <c:val>
            <c:numRef>
              <c:f>KPIs!$R$4:$R$6</c:f>
              <c:numCache>
                <c:formatCode>0.00%</c:formatCode>
                <c:ptCount val="2"/>
                <c:pt idx="0">
                  <c:v>0.5081331071361247</c:v>
                </c:pt>
                <c:pt idx="1">
                  <c:v>0.49186689286387536</c:v>
                </c:pt>
              </c:numCache>
            </c:numRef>
          </c:val>
          <c:extLst>
            <c:ext xmlns:c16="http://schemas.microsoft.com/office/drawing/2014/chart" uri="{C3380CC4-5D6E-409C-BE32-E72D297353CC}">
              <c16:uniqueId val="{00000002-31E2-42E5-B285-811E92B0566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 Sales Dashboard.xlsx]KPIs!Return Status</c:name>
    <c:fmtId val="0"/>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76000"/>
            </a:schemeClr>
          </a:solidFill>
          <a:ln w="19050">
            <a:solidFill>
              <a:schemeClr val="lt1"/>
            </a:solidFill>
          </a:ln>
          <a:effectLst/>
        </c:spPr>
      </c:pivotFmt>
      <c:pivotFmt>
        <c:idx val="2"/>
        <c:spPr>
          <a:solidFill>
            <a:schemeClr val="accent5">
              <a:tint val="77000"/>
            </a:schemeClr>
          </a:solidFill>
          <a:ln w="19050">
            <a:solidFill>
              <a:schemeClr val="lt1"/>
            </a:solidFill>
          </a:ln>
          <a:effectLst/>
        </c:spPr>
      </c:pivotFmt>
    </c:pivotFmts>
    <c:plotArea>
      <c:layout/>
      <c:doughnutChart>
        <c:varyColors val="1"/>
        <c:ser>
          <c:idx val="0"/>
          <c:order val="0"/>
          <c:tx>
            <c:strRef>
              <c:f>KPIs!$Y$3</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093A-45AA-81DC-2D0B60B4B814}"/>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093A-45AA-81DC-2D0B60B4B814}"/>
              </c:ext>
            </c:extLst>
          </c:dPt>
          <c:dLbls>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KPIs!$X$4:$X$6</c:f>
              <c:strCache>
                <c:ptCount val="2"/>
                <c:pt idx="0">
                  <c:v>No Return</c:v>
                </c:pt>
                <c:pt idx="1">
                  <c:v>Returned</c:v>
                </c:pt>
              </c:strCache>
            </c:strRef>
          </c:cat>
          <c:val>
            <c:numRef>
              <c:f>KPIs!$Y$4:$Y$6</c:f>
              <c:numCache>
                <c:formatCode>0.00%</c:formatCode>
                <c:ptCount val="2"/>
                <c:pt idx="0">
                  <c:v>0.50084121620068056</c:v>
                </c:pt>
                <c:pt idx="1">
                  <c:v>0.49915878379931955</c:v>
                </c:pt>
              </c:numCache>
            </c:numRef>
          </c:val>
          <c:extLst>
            <c:ext xmlns:c16="http://schemas.microsoft.com/office/drawing/2014/chart" uri="{C3380CC4-5D6E-409C-BE32-E72D297353CC}">
              <c16:uniqueId val="{00000004-2388-492B-B8CB-068E39CF10D0}"/>
            </c:ext>
          </c:extLst>
        </c:ser>
        <c:dLbls>
          <c:showLegendKey val="0"/>
          <c:showVal val="1"/>
          <c:showCatName val="0"/>
          <c:showSerName val="0"/>
          <c:showPercent val="0"/>
          <c:showBubbleSize val="0"/>
          <c:showLeaderLines val="1"/>
        </c:dLbls>
        <c:firstSliceAng val="14"/>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 Sales Dashboard.xlsx]KPIs!Month</c:name>
    <c:fmtId val="8"/>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0.00%</c:formatCode>
                <c:ptCount val="12"/>
                <c:pt idx="0">
                  <c:v>8.5566078180712352E-2</c:v>
                </c:pt>
                <c:pt idx="1">
                  <c:v>6.2345037526179384E-2</c:v>
                </c:pt>
                <c:pt idx="2">
                  <c:v>8.399398301110346E-2</c:v>
                </c:pt>
                <c:pt idx="3">
                  <c:v>8.0548741304105095E-2</c:v>
                </c:pt>
                <c:pt idx="4">
                  <c:v>7.8572001429646224E-2</c:v>
                </c:pt>
                <c:pt idx="5">
                  <c:v>6.8064404599006992E-2</c:v>
                </c:pt>
                <c:pt idx="6">
                  <c:v>8.974804647203731E-2</c:v>
                </c:pt>
                <c:pt idx="7">
                  <c:v>8.8014162363143161E-2</c:v>
                </c:pt>
                <c:pt idx="8">
                  <c:v>8.9071755321090407E-2</c:v>
                </c:pt>
                <c:pt idx="9">
                  <c:v>8.6277169517725752E-2</c:v>
                </c:pt>
                <c:pt idx="10">
                  <c:v>8.2447209341512603E-2</c:v>
                </c:pt>
                <c:pt idx="11">
                  <c:v>0.1053514109337373</c:v>
                </c:pt>
              </c:numCache>
            </c:numRef>
          </c:val>
          <c:extLst>
            <c:ext xmlns:c16="http://schemas.microsoft.com/office/drawing/2014/chart" uri="{C3380CC4-5D6E-409C-BE32-E72D297353CC}">
              <c16:uniqueId val="{00000001-7AC8-489A-AA95-89A2F61B5B9D}"/>
            </c:ext>
          </c:extLst>
        </c:ser>
        <c:dLbls>
          <c:dLblPos val="outEnd"/>
          <c:showLegendKey val="0"/>
          <c:showVal val="1"/>
          <c:showCatName val="0"/>
          <c:showSerName val="0"/>
          <c:showPercent val="0"/>
          <c:showBubbleSize val="0"/>
        </c:dLbls>
        <c:gapWidth val="72"/>
        <c:axId val="1045057680"/>
        <c:axId val="1045049520"/>
      </c:barChart>
      <c:catAx>
        <c:axId val="104505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45049520"/>
        <c:crosses val="autoZero"/>
        <c:auto val="1"/>
        <c:lblAlgn val="ctr"/>
        <c:lblOffset val="100"/>
        <c:noMultiLvlLbl val="0"/>
      </c:catAx>
      <c:valAx>
        <c:axId val="104504952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045057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 Sales Dashboard.xlsx]KPIs!Brand</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KPIs!$J$3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KPIs!$J$4:$J$14</c:f>
              <c:numCache>
                <c:formatCode>0.00%</c:formatCode>
                <c:ptCount val="10"/>
                <c:pt idx="0">
                  <c:v>7.6454009129043488E-2</c:v>
                </c:pt>
                <c:pt idx="1">
                  <c:v>9.8734886505119107E-2</c:v>
                </c:pt>
                <c:pt idx="2">
                  <c:v>0.11035644155885853</c:v>
                </c:pt>
                <c:pt idx="3">
                  <c:v>0.11820485739687875</c:v>
                </c:pt>
                <c:pt idx="4">
                  <c:v>9.4702184511334914E-2</c:v>
                </c:pt>
                <c:pt idx="5">
                  <c:v>9.6944304804189724E-2</c:v>
                </c:pt>
                <c:pt idx="6">
                  <c:v>0.10057007308798607</c:v>
                </c:pt>
                <c:pt idx="7">
                  <c:v>0.10188391187223499</c:v>
                </c:pt>
                <c:pt idx="8">
                  <c:v>8.4067700124294986E-2</c:v>
                </c:pt>
                <c:pt idx="9">
                  <c:v>0.11808163101005949</c:v>
                </c:pt>
              </c:numCache>
            </c:numRef>
          </c:val>
          <c:extLst>
            <c:ext xmlns:c16="http://schemas.microsoft.com/office/drawing/2014/chart" uri="{C3380CC4-5D6E-409C-BE32-E72D297353CC}">
              <c16:uniqueId val="{00000001-12D3-4C6F-B2CC-9AA3809AEA71}"/>
            </c:ext>
          </c:extLst>
        </c:ser>
        <c:dLbls>
          <c:dLblPos val="outEnd"/>
          <c:showLegendKey val="0"/>
          <c:showVal val="1"/>
          <c:showCatName val="0"/>
          <c:showSerName val="0"/>
          <c:showPercent val="0"/>
          <c:showBubbleSize val="0"/>
        </c:dLbls>
        <c:gapWidth val="72"/>
        <c:axId val="1769007568"/>
        <c:axId val="1769007088"/>
      </c:barChart>
      <c:catAx>
        <c:axId val="176900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69007088"/>
        <c:crosses val="autoZero"/>
        <c:auto val="1"/>
        <c:lblAlgn val="ctr"/>
        <c:lblOffset val="100"/>
        <c:noMultiLvlLbl val="0"/>
      </c:catAx>
      <c:valAx>
        <c:axId val="176900708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6900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 Sales Dashboard.xlsx]KPIs!PaymentMethod</c:name>
    <c:fmtId val="8"/>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KPIs!$N$3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KPIs!$M$4:$M$8</c:f>
              <c:strCache>
                <c:ptCount val="4"/>
                <c:pt idx="0">
                  <c:v>Card</c:v>
                </c:pt>
                <c:pt idx="1">
                  <c:v>Cash on Delivery</c:v>
                </c:pt>
                <c:pt idx="2">
                  <c:v>Net Banking</c:v>
                </c:pt>
                <c:pt idx="3">
                  <c:v>UPI</c:v>
                </c:pt>
              </c:strCache>
            </c:strRef>
          </c:cat>
          <c:val>
            <c:numRef>
              <c:f>KPIs!$N$4:$N$8</c:f>
              <c:numCache>
                <c:formatCode>0.00%</c:formatCode>
                <c:ptCount val="4"/>
                <c:pt idx="0">
                  <c:v>0.2346270623651715</c:v>
                </c:pt>
                <c:pt idx="1">
                  <c:v>0.24360147760900119</c:v>
                </c:pt>
                <c:pt idx="2">
                  <c:v>0.25669345847346225</c:v>
                </c:pt>
                <c:pt idx="3">
                  <c:v>0.26507800155236516</c:v>
                </c:pt>
              </c:numCache>
            </c:numRef>
          </c:val>
          <c:extLst>
            <c:ext xmlns:c16="http://schemas.microsoft.com/office/drawing/2014/chart" uri="{C3380CC4-5D6E-409C-BE32-E72D297353CC}">
              <c16:uniqueId val="{00000001-3B56-4A02-B546-9C5734E03FF6}"/>
            </c:ext>
          </c:extLst>
        </c:ser>
        <c:dLbls>
          <c:dLblPos val="outEnd"/>
          <c:showLegendKey val="0"/>
          <c:showVal val="1"/>
          <c:showCatName val="0"/>
          <c:showSerName val="0"/>
          <c:showPercent val="0"/>
          <c:showBubbleSize val="0"/>
        </c:dLbls>
        <c:gapWidth val="149"/>
        <c:overlap val="-27"/>
        <c:axId val="1768637520"/>
        <c:axId val="1768626000"/>
      </c:barChart>
      <c:catAx>
        <c:axId val="176863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68626000"/>
        <c:crosses val="autoZero"/>
        <c:auto val="1"/>
        <c:lblAlgn val="ctr"/>
        <c:lblOffset val="100"/>
        <c:noMultiLvlLbl val="0"/>
      </c:catAx>
      <c:valAx>
        <c:axId val="17686260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68637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 Sales Dashboard.xlsx]KPIs!OrderChannel</c:name>
    <c:fmtId val="11"/>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5">
              <a:tint val="77000"/>
            </a:schemeClr>
          </a:solidFill>
          <a:ln w="19050">
            <a:solidFill>
              <a:schemeClr val="lt1"/>
            </a:solidFill>
          </a:ln>
          <a:effectLst/>
        </c:spPr>
      </c:pivotFmt>
      <c:pivotFmt>
        <c:idx val="3"/>
        <c:spPr>
          <a:solidFill>
            <a:schemeClr val="accent5">
              <a:shade val="76000"/>
            </a:schemeClr>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pivotFmt>
      <c:pivotFmt>
        <c:idx val="6"/>
        <c:spPr>
          <a:solidFill>
            <a:schemeClr val="accent5">
              <a:shade val="76000"/>
            </a:schemeClr>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5">
              <a:tint val="77000"/>
            </a:schemeClr>
          </a:solidFill>
          <a:ln w="19050">
            <a:solidFill>
              <a:schemeClr val="lt1"/>
            </a:solidFill>
          </a:ln>
          <a:effectLst/>
        </c:spPr>
      </c:pivotFmt>
      <c:pivotFmt>
        <c:idx val="9"/>
        <c:spPr>
          <a:solidFill>
            <a:schemeClr val="accent5">
              <a:shade val="76000"/>
            </a:schemeClr>
          </a:solidFill>
          <a:ln w="19050">
            <a:solidFill>
              <a:schemeClr val="lt1"/>
            </a:solidFill>
          </a:ln>
          <a:effectLst/>
        </c:spPr>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5">
              <a:tint val="77000"/>
            </a:schemeClr>
          </a:solidFill>
          <a:ln w="19050">
            <a:solidFill>
              <a:schemeClr val="lt1"/>
            </a:solidFill>
          </a:ln>
          <a:effectLst/>
        </c:spPr>
        <c:dLbl>
          <c:idx val="0"/>
          <c:layout>
            <c:manualLayout>
              <c:x val="-0.17369425767533045"/>
              <c:y val="2.50505739879846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5">
              <a:shade val="76000"/>
            </a:schemeClr>
          </a:solidFill>
          <a:ln w="19050">
            <a:solidFill>
              <a:schemeClr val="lt1"/>
            </a:solidFill>
          </a:ln>
          <a:effectLst/>
        </c:spPr>
        <c:dLbl>
          <c:idx val="0"/>
          <c:layout>
            <c:manualLayout>
              <c:x val="0.2139069838895091"/>
              <c:y val="1.064980305984102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15:layout>
                <c:manualLayout>
                  <c:w val="0.21843781395905032"/>
                  <c:h val="0.17954492592173196"/>
                </c:manualLayout>
              </c15:layout>
            </c:ext>
          </c:extLst>
        </c:dLbl>
      </c:pivotFmt>
    </c:pivotFmts>
    <c:plotArea>
      <c:layout/>
      <c:pieChart>
        <c:varyColors val="1"/>
        <c:ser>
          <c:idx val="0"/>
          <c:order val="0"/>
          <c:tx>
            <c:strRef>
              <c:f>KPIs!$R$3</c:f>
              <c:strCache>
                <c:ptCount val="1"/>
                <c:pt idx="0">
                  <c:v>Total</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7004-421C-A976-9EFB06855896}"/>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7004-421C-A976-9EFB06855896}"/>
              </c:ext>
            </c:extLst>
          </c:dPt>
          <c:dLbls>
            <c:dLbl>
              <c:idx val="0"/>
              <c:layout>
                <c:manualLayout>
                  <c:x val="-0.17369425767533045"/>
                  <c:y val="2.50505739879846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04-421C-A976-9EFB06855896}"/>
                </c:ext>
              </c:extLst>
            </c:dLbl>
            <c:dLbl>
              <c:idx val="1"/>
              <c:layout>
                <c:manualLayout>
                  <c:x val="0.2139069838895091"/>
                  <c:y val="1.064980305984102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PK"/>
                </a:p>
              </c:txPr>
              <c:dLblPos val="bestFit"/>
              <c:showLegendKey val="0"/>
              <c:showVal val="1"/>
              <c:showCatName val="1"/>
              <c:showSerName val="0"/>
              <c:showPercent val="0"/>
              <c:showBubbleSize val="0"/>
              <c:extLst>
                <c:ext xmlns:c15="http://schemas.microsoft.com/office/drawing/2012/chart" uri="{CE6537A1-D6FC-4f65-9D91-7224C49458BB}">
                  <c15:layout>
                    <c:manualLayout>
                      <c:w val="0.21843781395905032"/>
                      <c:h val="0.17954492592173196"/>
                    </c:manualLayout>
                  </c15:layout>
                </c:ext>
                <c:ext xmlns:c16="http://schemas.microsoft.com/office/drawing/2014/chart" uri="{C3380CC4-5D6E-409C-BE32-E72D297353CC}">
                  <c16:uniqueId val="{00000003-7004-421C-A976-9EFB0685589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KPIs!$Q$4:$Q$6</c:f>
              <c:strCache>
                <c:ptCount val="2"/>
                <c:pt idx="0">
                  <c:v>Mobile App</c:v>
                </c:pt>
                <c:pt idx="1">
                  <c:v>Website</c:v>
                </c:pt>
              </c:strCache>
            </c:strRef>
          </c:cat>
          <c:val>
            <c:numRef>
              <c:f>KPIs!$R$4:$R$6</c:f>
              <c:numCache>
                <c:formatCode>0.00%</c:formatCode>
                <c:ptCount val="2"/>
                <c:pt idx="0">
                  <c:v>0.5081331071361247</c:v>
                </c:pt>
                <c:pt idx="1">
                  <c:v>0.49186689286387536</c:v>
                </c:pt>
              </c:numCache>
            </c:numRef>
          </c:val>
          <c:extLst>
            <c:ext xmlns:c16="http://schemas.microsoft.com/office/drawing/2014/chart" uri="{C3380CC4-5D6E-409C-BE32-E72D297353CC}">
              <c16:uniqueId val="{00000005-40A5-49B6-9527-C7C8D0AB07E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1 Sales Dashboard.xlsx]KPIs!Return Status</c:name>
    <c:fmtId val="10"/>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76000"/>
            </a:schemeClr>
          </a:solidFill>
          <a:ln w="19050">
            <a:solidFill>
              <a:schemeClr val="lt1"/>
            </a:solidFill>
          </a:ln>
          <a:effectLst/>
        </c:spP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tint val="77000"/>
            </a:schemeClr>
          </a:solidFill>
          <a:ln w="19050">
            <a:solidFill>
              <a:schemeClr val="lt1"/>
            </a:solidFill>
          </a:ln>
          <a:effectLst/>
        </c:spP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hade val="76000"/>
            </a:schemeClr>
          </a:solidFill>
          <a:ln w="19050">
            <a:solidFill>
              <a:schemeClr val="lt1"/>
            </a:solidFill>
          </a:ln>
          <a:effectLst/>
        </c:spP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hade val="76000"/>
            </a:schemeClr>
          </a:solidFill>
          <a:ln w="19050">
            <a:solidFill>
              <a:schemeClr val="lt1"/>
            </a:solidFill>
          </a:ln>
          <a:effectLst/>
        </c:spP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tint val="77000"/>
            </a:schemeClr>
          </a:solidFill>
          <a:ln w="19050">
            <a:solidFill>
              <a:schemeClr val="lt1"/>
            </a:solidFill>
          </a:ln>
          <a:effectLst/>
        </c:spP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marker>
          <c:symbol val="none"/>
        </c:marke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hade val="76000"/>
            </a:schemeClr>
          </a:solidFill>
          <a:ln w="19050">
            <a:solidFill>
              <a:schemeClr val="lt1"/>
            </a:solidFill>
          </a:ln>
          <a:effectLst/>
        </c:spP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tint val="77000"/>
            </a:schemeClr>
          </a:solidFill>
          <a:ln w="19050">
            <a:solidFill>
              <a:schemeClr val="lt1"/>
            </a:solidFill>
          </a:ln>
          <a:effectLst/>
        </c:spP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marker>
          <c:symbol val="none"/>
        </c:marke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PK"/>
            </a:p>
          </c:txPr>
          <c:showLegendKey val="0"/>
          <c:showVal val="1"/>
          <c:showCatName val="0"/>
          <c:showSerName val="1"/>
          <c:showPercent val="0"/>
          <c:showBubbleSize val="0"/>
          <c:extLst>
            <c:ext xmlns:c15="http://schemas.microsoft.com/office/drawing/2012/chart" uri="{CE6537A1-D6FC-4f65-9D91-7224C49458BB}"/>
          </c:extLst>
        </c:dLbl>
      </c:pivotFmt>
      <c:pivotFmt>
        <c:idx val="13"/>
        <c:spPr>
          <a:solidFill>
            <a:schemeClr val="accent5">
              <a:shade val="76000"/>
            </a:schemeClr>
          </a:solidFill>
          <a:ln w="19050">
            <a:solidFill>
              <a:schemeClr val="lt1"/>
            </a:solidFill>
          </a:ln>
          <a:effectLst/>
        </c:spP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PK"/>
            </a:p>
          </c:txPr>
        </c:dLbl>
      </c:pivotFmt>
      <c:pivotFmt>
        <c:idx val="14"/>
        <c:spPr>
          <a:solidFill>
            <a:schemeClr val="accent5">
              <a:tint val="77000"/>
            </a:schemeClr>
          </a:solidFill>
          <a:ln w="19050">
            <a:solidFill>
              <a:schemeClr val="lt1"/>
            </a:solidFill>
          </a:ln>
          <a:effectLst/>
        </c:spPr>
        <c:dLbl>
          <c:idx val="0"/>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PK"/>
            </a:p>
          </c:txPr>
        </c:dLbl>
      </c:pivotFmt>
    </c:pivotFmts>
    <c:plotArea>
      <c:layout/>
      <c:doughnutChart>
        <c:varyColors val="1"/>
        <c:ser>
          <c:idx val="0"/>
          <c:order val="0"/>
          <c:tx>
            <c:strRef>
              <c:f>KPIs!$Y$3</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3168-4817-BAAB-105B54A66197}"/>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3168-4817-BAAB-105B54A66197}"/>
              </c:ext>
            </c:extLst>
          </c:dPt>
          <c:dLbls>
            <c:spPr>
              <a:noFill/>
              <a:ln>
                <a:noFill/>
              </a:ln>
              <a:effectLst>
                <a:glow>
                  <a:schemeClr val="accent1">
                    <a:alpha val="40000"/>
                  </a:schemeClr>
                </a:glow>
                <a:softEdge rad="0"/>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PK"/>
              </a:p>
            </c:txPr>
            <c:showLegendKey val="0"/>
            <c:showVal val="1"/>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KPIs!$X$4:$X$6</c:f>
              <c:strCache>
                <c:ptCount val="2"/>
                <c:pt idx="0">
                  <c:v>No Return</c:v>
                </c:pt>
                <c:pt idx="1">
                  <c:v>Returned</c:v>
                </c:pt>
              </c:strCache>
            </c:strRef>
          </c:cat>
          <c:val>
            <c:numRef>
              <c:f>KPIs!$Y$4:$Y$6</c:f>
              <c:numCache>
                <c:formatCode>0.00%</c:formatCode>
                <c:ptCount val="2"/>
                <c:pt idx="0">
                  <c:v>0.50084121620068056</c:v>
                </c:pt>
                <c:pt idx="1">
                  <c:v>0.49915878379931955</c:v>
                </c:pt>
              </c:numCache>
            </c:numRef>
          </c:val>
          <c:extLst>
            <c:ext xmlns:c16="http://schemas.microsoft.com/office/drawing/2014/chart" uri="{C3380CC4-5D6E-409C-BE32-E72D297353CC}">
              <c16:uniqueId val="{00000005-5B6B-4EC0-840E-7C0F83EFDDDA}"/>
            </c:ext>
          </c:extLst>
        </c:ser>
        <c:dLbls>
          <c:showLegendKey val="0"/>
          <c:showVal val="1"/>
          <c:showCatName val="0"/>
          <c:showSerName val="0"/>
          <c:showPercent val="0"/>
          <c:showBubbleSize val="0"/>
          <c:showLeaderLines val="1"/>
        </c:dLbls>
        <c:firstSliceAng val="14"/>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8E8F835D-E85A-4206-B34F-3591758D8587}">
          <cx:tx>
            <cx:txData>
              <cx:f>_xlchart.v1.5</cx:f>
              <cx:v>Sum of TotalAmount</cx:v>
            </cx:txData>
          </cx:tx>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CFEEECFA-EF56-4C09-9020-2937174CAEEE}">
          <cx:tx>
            <cx:txData>
              <cx:f>_xlchart.v5.2</cx:f>
              <cx:v>Sum of TotalAmount</cx:v>
            </cx:txData>
          </cx:tx>
          <cx:spPr>
            <a:effectLst>
              <a:outerShdw blurRad="50800" dist="50800" dir="5400000" algn="ctr" rotWithShape="0">
                <a:schemeClr val="accent5">
                  <a:lumMod val="60000"/>
                  <a:lumOff val="40000"/>
                </a:schemeClr>
              </a:outerShdw>
            </a:effectLst>
          </cx:spPr>
          <cx:dataId val="0"/>
          <cx:layoutPr>
            <cx:geography cultureLanguage="en-US" cultureRegion="PK" attribution="Powered by Bing">
              <cx:geoCache provider="{E9337A44-BEBE-4D9F-B70C-5C5E7DAFC167}">
                <cx:binary>1H3bct22kvaruHz908EZ4K7JXHCJkmVZ8tlO9g1LlmUSBHgGSZB3+932g02vOMlIsBzNxvxTNeNc
pOyl1QIb/XU3Gl83/+3G/+3G3l6PT3xj2+lvN/7np5Vz/d9++mm6qW6b6+lZo2/Gbuq+umc3XfNT
9/Wrvrn96ct4veq2/IkgzH66qa5Hd+uf/vu/gbTytnvZ3Vw73bVv5ttxe3s7zdZNf/HZgx89uf7S
6PZET27UNw7//DS7tt1NBX+/bp8+uW2ddtv7rb/9+em9H3z65KdQ3He/+omF1bn5C3yXqGeUUMm4
JOm3P0+f2K4tf/9Y8GdKcUql+v1j+cevvrpu4Ov/xTX9tqLrL1/G22mC5/rt/8GX7z1E8NlNN7fu
qMgSdPrz09fX5nct6Kk7fPvs0B2f5vXFb4//0/1d+Pd/C/4BFBL8y52NCrX32Eff7dP5ZK+b68/X
X54crnvtru2T97fjqF03bn8o77+/b5Q+E7BnhEiOfvtD7+2bpM+QlJRizv78+JvJfNs3WOM//9H8
8x+f//mPL3+1qIc37v63g527/+H/ra27qLbPt+MTMLDKza2p1uu/Us6/hjTKnjEllKTidyip+ztG
niGVMpGm+NuO8T9+9bcd+9eW9vC+PSQj2L2HfuT/1h6+ntv6+vMfyvv/gDT0TDGiUsnI/Q3jzxjA
S9KUfnOcsJ93Ifb4Oh7epD++F2zM6+zpk2AjztsvGgw0dILnVw87wftO8U4MoPCEJEUYp/ihGCDJ
M8zAk8iUf/tY/M8+6O/7Fzzs/3Kn/063X6o/9PLfNzoijt5AMvSHe8f3bE+oZwqnEqVSftuSICw/
upqHTe/3rwWW9/u//u/ejx+u7m6idO+H/tVEKX0GOJdSsN9RcN99/7YjTIBzpw+67/803x8v6OFN
+c9v3lv+/3wa9OMU6c+E8uTaXee/ZaJ3sqS//vS3h4QUOfjqvYT23oP+AarzLz8/xSm6s21HEfdd
7p+J4Tcl//mV2+vJ/fxUps9ISgXnNOUcSYXBoa+3x08EeEBw8kgJefSBBKdPn7Td6Kqfn1J5zKQE
TwUSKaU8ZU+fTN18/IjQZxJRAiGbKwafw0d/PN3rzm5l1/6pit///qSdm9edbt3081OQ03/7qeMy
E4KZZJIwColcf3P9Fs4W8EP4/+F6r4zYW5F3iKiDTasiW3d7ekcP/4JweOK7woWwszcFCMdJ85Gk
7ANh41mcaPBQd0W7jjJTpw3PGW/nzNdFkqX1LiKlw77flW4KrNdu7kSuhH/Vs/SC6slCiPzz8PNf
VwqBzb4re9sgTauWUuTzkvy98fxQorSKlA1e4q7saq0nU8wJzzvC3llvrqd1jttLAj7/ruiSJQPb
fSNyuWt0MGvBT1Zum8iFQ5C/K50uU7IyApZS9M4eStmdNxsSJ3Eah9z2nvCey23pCp7LsSkP68y/
DnTuD3HCj8C6A6A0XdfZWFB5ObHksDeJP5nbJFLpATolGedBuYLl6dwlbxaH1DlrZrdFap3cX/tU
VmJRfuY5b+Zfi2XNRE8/xKklwGe37uPU9CBaNludcTe8bNhwHic7QKcdbWt3MvG878s+20nBsxEK
JFHCj7747n4W9eyLsehgP3H7pbbDS90Mr+NEB+gEK0kpPvqschvywqqTdSq+lRS+Jc8POJWjKT/g
xnGAzp31YiKo5nlNXZI5Wu2vSl2OF+B+L+MWHyC0olVS403znGB0LlFyUa5f4iQH8NzZmO4rqniO
V/Fi5Mt1X7o4P44DcC5LNfDSljxPG7SeN6owFzMmr+LWHYBTbPVQWFT4fKHspdib583g8jjRATD3
deWoO+KeLSavCHlh0Po8TnQATFzMGpFE8XxIhHpRymT6mlJZf4iTHkCTcbKgvgbppNg+sXm8EpzF
6QQFwCSimbcC6S1PEPmyr2mZ8QT/GrVsFCCzMlvL/Vxu+ar8dsqXPj0hlA1xbhYF4GxVL4ZymXxu
uXhdpPxs18P7uIUHqExatw908yzXPfmwcvZFF6o+iZMd4NIyQ8tZzz7XA79gll8tZnkRJzrAZbOL
ObF63fJZW5oVrr6ya/olTnYAy4026dKhleWtLqtMLcsZp/N1nOwAlwSJahDae/AnbDoMMv2aNHuk
TgJgTuPa9Z1btnxE622fTB9L+ve4VQegbJjHe1qDtkfcXM3dfIXKpIyybTij3g+XuKasT83o88G4
5qLVYn4/k66M8t80DXApxi0hpu99vlJ1Yzl719j0kYh5NLXvIyZNA1COHR82s85bTsSWZKjCL9qi
UlFJIU0DWC471hQvnc+LeT3DE3k7tT4KlXCWvK9wU3iVzGm/5TQhb6iqMlFUUdZNj2fNu6mPLfg+
jOUAAU3OW6a5flnNVRm57gCWdTkWgvfjlvfa/NIKe4EbHRUZaBqgslRpadXRSkyb2JN0gYOsavkY
aeEBLgvVF1MBlpirciHZXNk9q+slCpr0WGC4q3LakkaZAQxlmZNz3dJfyjouh6AqQGaZmIUlGAzc
MLTkY+urA7UmKpWlKgBmbXg7JNRBSOvdL6gTPJsRehnjrqgKkGmHvRqZBJfSjb48tJKe7NrEBTWq
AmQOnUR46CGoia1/68rql9mIODNUATJrPC5FBXrOKSSzb5NJL59qO8a5KxVgc6DUMOWaLa+K9j33
4u1e2ThnpQJk+rqTkyybY5w3TbYt6pbxyK0MkMlaL9w0WZ/Llb5oUpZhS9/HWUkAy4oKhWZifD7x
lme+b95XZo+UHaCyNLxPsAaNdErvuXX4YG3XnEYtXAa4hEyQKZ4ayH1G+bX2DmfWLW2k8ACXq1uk
KakGGyRLmYmyvR7a7U3cwgNcVmSo1gGBxivsLqnBOZ90VP5NZYDKdEbUVqoGE9yTW7+mNwztccCR
ASqrjk+yYtOW13JBJ4UkNBsS/TZOJQEqF7z1jsPpIVft9takUEGRxny7IPvhkf4o44EERQawHG1D
eo0hNDBGhlPPxXpOmjWJA70MkCmRG2tVgIm7CqV5uc72ZEtaHRceZABOaeqE9vWw5+vu0a8Wu/S6
KNb1PE7rATxr4XGjJu7zveMfkKjfShcHHxFg01E8177kUFVO3KleNc1GmsRV28A/3Y/102gHNO6g
FNKzN+2mT5qxfeTscMTJA7YiAmgmpF6ERsOWo1nn/YJy5NbPa9OcYK1PopQuAogybc20zd2e+6E6
xbw8RQrH2aIIICp4kc5lAqsvSd9mST9/WKGiErfsAKGlJ6Xs927L5dwnOTO7zxae3MYJDyBq0LgJ
04173lH3sR7Xvw/9WZzkAJ6FtBVZCAU/vtov1slbOMvWWZzsAJwVUnys/e5z1HS/dqR4jarPcZID
YG577VG6FxDaavd6qttP1V7G2QgPkGnRqId2B381ldNy8OnET7YxriZGeYBMulO71Ssgc9fbu7Lt
3yGn8iiV8ACZshrUIvtky9u+ec5a8W5ifZyz4iEim14o8CgkH1wCGVYh1pxErzvA5OKSpOALYHIY
yAtUoPfpFpmC8wCS1e5wOnK05XxfPkHS/EI4FmklASA7i9Saoh42spHv6lJc752M9FI8gKTQUGeT
Wvh8TPycMSHHTFfsQ5yZBJgs95oZg3qS895feIXe7OkcVbinPASlHnuNGFhgQ/v3yTCZvJwXHqdw
FsCy7sqB9Z5s+dbpS7jyfp6U7m2USlgASuGU7lADonFLftHMv1OsQXEukAWo1FXKDOEAHU90cxBQ
f5Rq/hS37gCWC5qoYNsGhwe93dh+/1UldogLwixAZZoKPXkDdep0M6+6slmyDQ4+cesOYGmBadyS
oiMQKe1pWyzPe1o94qmOan0gPWEBLIUy7d6LHdKT2tLPeikO7Yify7LLJECfMxUJoyNn7m45hYyb
TaYOKp2S2l9XMp9YV3yJU0+A0MIRg/YdzBHBwVt49mEX6pc40QFCJZr8Jhmop6zcW+PbQ9KlcaJp
gM9SzItKFVQLSzS/KkV6YtshUnSAz5rpbZo0rLrX/XroeA31pS6uLEYDfI5OTlNl6j3Xde9Parv5
87ZLtkey5aNFP2CONEConcpFWTmCR0w292vtx+myKfT0iLH/SHqAUb8pjmUJB85W4JvS1WXGFnEd
ZSk0wChr+Nq7Y6bcN82b2Td1to5pnN8KmUCepdKLFK4zoc5ZZdYMS4Z4G+dwaQDMySU16sAh5nKR
l6RfDiWlcfGNBsCklhSiakEnqy1ebovos3Ey7+P0HSBztWJf57SChNa+a9Vw3bj01yjJIQsI4v1U
SFruuVtbddYAK/WiEG5/RCdHW3vAwkmATcLWFtEe1O10NXUnZWX9K8t393aq0qo6iXuEAKRb37XS
KbjWLAbcZgvqbuZNxzkXEkDUIdHYYYX6MkHurMbqlNDHSmQ/0k2Az7biCO8dxFA11d055/qwVD6T
Iini3AsJQDp3o7B6q6FU25l3FUk+7Jv6EqfyIJBKaTxmVQuXP+3MzxldykOiS38WJz0A6YwKVvYW
asy2mm5TzceD3du4S3BKApiy1U5JkcJBBVX9kBV7+6FE9SPmftTsQ+YewHSqFd3sdrREnb5Z7XhW
eBF5/RPygXxStt0mwL2kSdJkuBI3q2h0XPqMQ5zWxErFYeFNtVWH0tenzRRJBqQhJ8jNc4fLDQrY
RU15hoBUM0wNi3PoOABolaRuqQzYSuvW5TA1DXgAmsQZIg4gWq9ymxYOzpGr4aLf1Cfcq0jRATir
no6QIlbgdzd8nYzJVb2RuIItDsA5Tdh1iwCftaLtedk2eTMur6OQeaQO381rV1QPWyPBCAnqD0M6
v1hM/TFOdIBLYRei9QKp1p646sAFrU92UsUV33EATGfo6ilcWedjYV5JN12NPNLLhnSg0lbcti1o
exD1ZwyJCkb8TZRKQjYQMOmUTgdYdV8VZx4206rkPE50EDOxabeuk6vP8QZs6G2+AIZDXNhBASKF
WLysWwyIZPtpMZmruU5P41Yd4LErJj2rrd1zmdA2g0rIxSJt5LIDQCZjB6RIzTeoKy+Hxhfvpqp7
F7fsAJBFM2GGMGC9AOLsc1ns1bma1zjXjQJIdlsiXZ+m4Lp5ctZv6fMhKfO4dQeQHPrOp2MFjntl
vr9aVk3O7eDjXAkKIFnttMYMSK75vCVVNjVblbVtF4V36DS876fgAJEMlVSQ5g/4Eo3tRdGNUUoh
IRXIV3DbO4wU0jbqXQb8+a+yjTudkJALpGoqajeADfYrv3J6ukiB0PDXe0mOev0+NyEhFYgiVQnX
Q9mQC1PuWQrN2l3WYp2+QIxN7xZm0aXcvXqT4O0gNrteYjXvnypG1othLqch41YIcrp4yuYzv7T9
5UrW6RVFIoGjjkPFORTHqzfbipIuitlKQo5RKlfT7xXc9Yi1eGn58qJM8SPbeHQZD6kjgDvcIPeD
Q6BqlUz1xzEBd5hNg8I2I23XP/JLHs4Hoevmvhl2zk0e46OtSPqJkeKC9+3zv97PH4kOYE+KRYzA
1FvyGtuPZHTnhXFxnSEkDXC/VX3bW9os+Z5+7gfxxu1x51jotryvkBXD/bRLQL9bg3O9rSdE1XEK
CWlG1o/Q/4B9n8vWvOwHChVsEZWakJBklCy6FYWHyvWaiOaEDFpnRq5RwYGELKNKOsDLtPd5Iafh
wAplM2j6iWsgIiHNSFdr6YwDrQyoaU73ojxBypBHcthjRH8AQyHRiNgC4aKB3fTAQH+bdssn5baD
IfK0sWMadXFKQsLRJIuhA+pln++r0yhfC5deQQF05HEYDVlHxZbqdiJDD00cbjtZ1kZkKd/i2IZE
BTDt0npiho99PhVGZ1a6s87q91EuQIUw3TeOiYGVozk5M4ictvXw9zjRAU73ZcXaDxMoPbVZN08v
kqGPOp2QkHbUJKXGA1BU8tpO3GZyTFmVeaDVRq1cBifZYuRJBwtnQDSU7GSFSvahSQiNSkCJDNLm
QZfCNQI43XRbP5HaZ9WI467DScg92s3e2gkqq/mOxpe4GlW2Ixa3nyH5aCt7rlploFPJzHW+wHiV
g/U8UngQShkyw+bGlucVFzpzer8ceRd1TiEh+aiUzC9SgVLWcb+ZlvZcahXneEPm0cDoYIzaoQsq
SabMrtOardMW10hIvmMeNdSOegLpmpg82eoXmq6PuN0fhH4ZgLPTxS7reePQFKo+VUK8VD6uURZ6
eu/HZzxJ6VkB/aZVOk9ZVaa3hYRIHQXNkHdUQzcbViOsG83luXTycqGRuAx5R2OBJ0MNtG3SkST5
UDeHSjbqJG7dx/B3p7OS2cHNzdKLfNp39Rxp8m5lm41UCr8v3OzEAy2jBuF9/3Fe8Ke9XeIyIhHg
chlI3a89kMj2Vb8fBD6UadxdBxFBYqu1WBDVYCeibfTJtrBTxm1cSY+IIGayXQrSTNC7BT3E+4FO
5gPpxBi5mUHQ5HtpSlFIMMISXakWne4JitzKAJcrBAfOh13kHspY5250DJipFYnzsiHxCDYTLayE
hfti+QiV/U/9KD5EGXhIO6oWvhEuCIhe5ZLJbjzoUcbF45B3pJTt/casyHXXX6BtuLCDjNN3yDta
N1XXU71CA7vEZb6M5o2zBD9yXv6Bk+UBLkvj7bx0oBOzJxdaLlPWMxR3rP2OeIQ4UNFnWDhSuzlB
UHHfuiSuD5zwAJpSlw3btef55ueDkO0Vb7rXcXYSANPNXDSlXnierN3LYk9yI+MIzIQHsKwSU4gd
OMz5AOg8OzqUEm9x3DcSMo9cae1UMVAJX8ePxYzOyNi8iVJJyDsS/bxtjK48h/acNnPJwS99F2eC
IfFIzoiYdQGdqA2Iuk2NPi5V0/8St/Agky3WSVVWwl6O3vqMG4uysXdxBs6CiKlw0i7eQNN9MqjL
Zkvfr5GTCEjIPELQgNc1zSLyZu7O6lq/1krFJfcsiJeJligBlvVxVEAv24xjkUK7aVe9iNN4AMyy
rGZXH018Y+6Ue2TzpMRxDYokJBz5BMup22DtLPlIXFtlaTLH3TwSFmATA4FeOwsH7q1g195AeXlp
0jgOPWFB0OTKoTU9msqcrPt7rbk4Q6js46J9SDuCmOYRT2BCA8b+ijJ7ucddoBAanDOxBz4GgEjk
yTi/2Lf1eeH6uLwtJB1NA+omWs8iZ5ZcLqTMgZcWqY8AmAhu2bQ61k4kE91zQid9Ovoh7lxCg5DZ
eeLItFcit6S8KOb6vdlspEoCaDZlq7F0GvJ7nryixmxZbcrpEAXMkHCEj42PRQspitS7Pkun8nwb
Rxmp8SBmLp30CelB463w9tB0Xn/edJLGZVch56jqRnDjDIa+9H0lD5xOzWu4eysiNzTAZt9hX5UI
tI7rjZ8WUO57NZuOf45Se8g8KuaFrTPwGGBkACWHSZk+Y9sUVzcIiUfF5is/zSDcdMWNl3jOmnWP
s5dwAlFP4J5Kl3BkI93qsxWZFtoK+WOntiNaHiiqhowjzxIJ1yjgEBtGq8td1yU0+zaULpkXSx+X
yZEAqkPPBngG6Dg1RXVVDWPm0BR39RayjkRtGggWRy8wcnxoxnI5rGLb8zijCYIoIR3UfnswSVtB
emiKwR5mv7O4DIAEYO1bEO6wgKR/5C+0E+99K3+NW3gQRE1Tym3koBa6CHZViab/6MxavYuTHiC1
hjar1BowSar4r0u7n/XtFFevDXlHdWIhaWlhTJgb5+5gNYFsse8ii54h8Uj6XpZg5yKH5ll/KJyZ
s1XscToPiUdjZxfnoSc8n4uZn/TEAwVW7VWcdwyZR8nYEqkTKK9UNX8JecxzweN4ZCTkHdlVJyu1
sHB+rKrgykxws48jbyXDYUSrL8cp7aGmKgTLNNtJBr2GRdyhJSQfMbsXpi0hEU1LVp4UBMM478h7
uJB9VHtR7cLDmbzYlgsMs9mK7bHGxWMi8YDXxQE8q4TPv5tK2pz6hX5Fy/I2Cpsh98j6tEwKAqs2
omhOZaVvWlWLOHWH7KOhpP3CLQVLcft5qoFAiln39a8X/oNIFNKPeLI1DVCaYYaSr6qP/d4WLyE6
6dNuWeLmk5BwIpEncNxXLehmYtA8T4x0L9LRjXFZY8hEUqkXum0RaH4urgyMffNCxeUXKAig1WAI
TXYQrZCEvjf1uW6WKBIpQUGuiyXQ4LQEnfAJXS5Q6JNFb+JSFxSET8R6084SbiWSaTMvVr+rU27a
uPknJKQiVTCJo4IBoTy3ifroWyiEpEjGDfiB9w3cL5S3JW84tO7AhYrd7HlHgPsKZ5kp0lSCAJrW
BWvI0bWkml6XZh2hhZEMUcJhsur9pa+sUp12ILxS7kQ7eqHMY9SyhzGKQzZSr+eyhGsclpcGXl+Q
tYxMN75NVJdR53CcU4eRy/cfYPPFUJAJfsta1vXLsU2WA/M2bkAMDplJXVePQ03AKD3dtsO8iPWk
JPyRTPdHCgqA2gFVHTUjOMg1Wdq3W3Uja3FiJ8Eekf9w4MDfzSqSPZTli+Piy/md6IdzhONaM3DI
HmKsSJpyOdYWezJm3UDOa5VOUYEDh7OKxhIXm8Mlz13fXqbd/ryi6s1fx40fqSRAKpC8m94LWLdu
awqkKjdkUAeMKi3+Ngn57mXc0AHVcWuhllsAYS1vWvSiTfY4UhUOOUQ1HpxbO9jMuesuHW5fCZvG
tXrikESECFuSjiUwDi7VV4KVz2XcoDkcMoh2O+3IoaNTV+ztzJtL1UoTZyYhf4jgUk2MQZnYV73M
6nn45Lc5LvnHIX/IJ+MIrfqgkmXd3lWuOk+7Pq5oiUPaEGdJP2wJLHzye1aMzbukM3H2HTKGMGYw
mmMFbyhbcuTG7qcJjBGMitA4JAxRVrTlAuPXc6Vg6JRAST730x65mwEycTV4VbRgKWNRvVma+VVf
4Q9RoFdBAIWTM+v4CLgEMsLbDaEpr6FF6OSvhf/AiYecIWMaoCMAYQWKxORTQaoMeuHOmnGPi88h
ZwjY2dUyjjAgVFRug5kLrXvb09VEpYo45Ay5YVj6wsGOOuvZyVKmQNiqSBNVbsEhaygRqDXoqJrG
DG/hFUbnAsVdWOCQNJS00zqYAiBkTF9kdcVfl0uq4kxRBlluWkICrVc4PS+DfVG39uNexZHXcMgZ
Sjxwlk0K2zk3aZ/pfe0PXi5x4A9ZQy1b7IhHyOX6NTkZXHextTRyKwN0iqSD05yEVIV2e5vRqTaH
mm+3fw2hHwTlkDRk6wLeo0Fh3SQ1l+XwS8toVO0JLsXuJ4dGoGWvj2c4pd2J7PgONMc1jhGPQ84Q
UjSRGOoUeY+Ty6b96Fn/PkohIWUIfCwS8O4okJyKz/Uob9ddfo4THdyyLNiydYSBpDk0p6UZNW7J
l8gRZVCMvK9uq+hMy44dc3H5Fm6hTic9xo3txyFjaF4WUXUTAUe4tAi4PYZkQMCPIrDgkDNUpcvi
xQxaKTk6sNa9amcR58BDxpAjeizJhlm+ix242W58M3kXdW2LRYBKVFUjVRT0rV29ZX1Ps412TVy0
F0HUZGo28F6RY+Qxw/imNtS+V5srIsWHnKFkMdgVPeilbuhBG3LZpHGFeBxyhsalnBsM3AfwJ1uH
swReaXChVqANxsWHkDc0pQmMgmOI5du+XrGpOkkrFednQ94QHtluFB3hSm5Ouqzbq5uKbh+joB/S
hnaewn0qBY03pLpakEAXCncizhRD3tAyYJQiDwufhbxyiXoHw8fzuHUHhSFuC4LGGYjNizMLylw5
zOe19PVj7Uc/CD/h0CIutpKLAqhfclo+WtJUcAPdxNpKANFdAHW6qYCN6AuVD7S8Kta4sW04pA7B
4NekZQPcDffDQl6IuUAHzJrtEfj/IK8N2UMuEcat/Qg8QVKxQ1r39LYkutNZ6qoqbmdDFlE1jzDQ
Cd4JAlMAVpUNcs2WRHaPPMAPtjWcX4SqbYezJrAgkB3YZZfATGJoOIlr98QhjahTG8wZmUE9UD67
2Az9nA5NG7nyIIxOWNRaT3ADOvBRHZBR52PdLSdRaAqZRAjuP5vUQnK7TeJkqYr6wIxY4jxjOMSI
w+s0VIWOHQ4G6z6rJw39SHO5xnnHkEnUTNPSDGSAVz7M+hSVzbt9j2vlwSGRqF9wssI0HbhKLJTJ
St10WbHFzVeFhtr7eZFpbInB6QIhJ93cQdl9OpmUjtzR74hEHvlllfAiDCHLQzqmr5CIuzDH3zGJ
BigPG4OhXCZsmYFhflldnKmETKJmWI0pV6CHNHU6ZLutTW7LJO4CFIfji7ZSDKlXEjwLW6uMIn2R
uDluTAcOyUStNXIrMRJ5C4Omr1hbzvkoyjEO/eH8IkymmXKPQTpxY4b0ctUN49so8Id0or31dQ+T
lAWw5Db/Qu5OZdrrMS4HCAcYDbyiNW2OKfp4Q+r0F6vi3j2CQy7R4FtRDsORlbwV11ZUE5TOqrhh
VJgG6ISzZzPsnYWaWbkDUVbqbXyZCJ9+iNJ5yCVK+6QxI9wPQXsgkFmQ489hdkcfh6KQS9QLeL9b
WwzHKwR6BgNL8/nRDsofxM+QSlT0qrVwawaH0JkXl3vjPitamLhTUcgkcpBcGDxDLkrnIclRN3+d
OrdHsR/wdwyiZSpdMRoossypzmsx1MDeSOPm0eCQRGQGb8ZUgfS2mU5MzbZs7SLbmzGh9yMFcVW3
wX9Qetqxy2pMf6XVEsWWwSGDqOtmk4oZDnS9QxdmINeqNJEaD7JcDK8ESvmxjoiL4vVRtOBrFO8J
/zYz4E6HU1qmLXIDeHLn0xPV15cl6+OqnyF9yNJWJHxVcDQvFnfwkAqlFg1xbjxkD3VTMw/7AH02
ralfF+1wuT52jvtBZh5Sh8pySsVe75CZa4pyeD0d/zxPCVRz9mpN30c5rZBAtHUFShI4YuVAeTgv
JmoyDXXQONlBepugtelNU8GOVsa9sWbHZ0CHah/JbxUg5Xu2DFx43EdQ2wycFi0czm3h65dtPxbv
+bgAwRIaLRKbpZbIl1Yy/NX3gkYWp0JmkWuKpR6WEo7WU/NyP9ZgCpjN9oiPPxYrH3oicv+JRkHh
HW0awio0D6P3zcgbktepGqEn1MM0uXxYPU+ydtyn7lAUksHAQ5pMkYYQILvbmnTSKqEwLbiUB3jJ
6sfBcfrIXh335KEnCyIv0tBSvDSwVz0Rn+Blr+aAcRE3+hnKD/fVRufRsrQsaO6n1WS7ZOTEprOM
g3dIQIKL9URvGxgxr9Er1u/kudgGFueYQuoRTGf2Repg6cM2ni898D0LHBd4Q96R9y1rE1wfb3yg
wATmur4BvrB9ZCDCD8AXUo8EvIY37etJ5R4aG9pcK6w+INPBle/iNLySE0ImGk5laze495gbNcaF
tpCXhKbOw7sioYSTzozDy0JYkr4scDuhOEP9jpsE95HwIg9Agaj/g7pva84Ux7L9KxP1Tg2SuIiJ
qX4Avps/39OZTucLkRcnSAIECEnAW/+3/mFnuapmutNdPXXGcV5OREZkZNrGfCBt7b322mu5Ie8H
4vOAqLfFw9fUpC0zc5hWbbpjQ0cfXGTljXCTlG9cqa92MBNhrQKBxZQmTWFqvuVmIG9slb1WSqLD
TH1d48G03stybdjFUDdvQxPC19ykJAmylq+4OMnkuA+D7vO8rW/jDYWv2UmosYLJBS+BreHVoe0/
GKb7N6VD8ID/MfQ40EqGZsVxUGXmTquuuyEqJG/i4IWvKUnmJbiLuoWNaeiQeyb808sczv98NP9x
ahG+FjVaNFlbhf/exc1ov8CISIY5EvORlfPQru/+51/yx1H/xZP7h5l1o4ZGhQGejgqWD0ig55z0
5E0FLrqGP147NBgjWh3CcphMqugEiMl9G79ttYeviUlJ2GV6MQieSczqXEP3cj/RTv7Jw/9Xz+XV
Rl1YJ5IZFlbIXPwXWqlLqKT/Sfwi9Nce3D+ftQDjf3wydca3sHYAojEZwqvL2iRmzgWXNMjtbOs0
F1OX3IvaqqYgiY71sdds0cOButm6LR/WDcqqoKvIleD/FnDtZUSak7Dp+n0VfZrl4LSqsq4ze3J6
puu+iQM1l8PagyO6wnjcQvzaQsQr9kEP5RMr0rxKhu6D3mTCd5kXS1fKzVWqoLavvsRuHfpSKOXf
L+Gg6iuQwlKbV3xsxmJdnb33q9vS71R1VQNZH6mmi153/maF2Vp0LRvFk0tIDG315RZDKv+sgr6p
YS66Tf0H9IRSf1691LrLPYnnasv5NA0L7KlD2LSly9xBzA+2PHzZw/B4U2AtagJaF2ur+QjzTCUO
2gOWeDQrXbMDPMtbWkxmqur3cNcbbzuNdPxm43Hb5oolvbjIwkiG172cCCuyARjjZaCbzt/G09gv
LG8gVhJjWRGdAapq4aHZFa1qmbu0U7aIT55QMpzqVSWWYLQnmcRdwOB9ctnQzUILh9gw1Xc2svWA
ZhoBeTan1jtyN9mwNyfkWTXPu0VzAx+Wdt328PyEFXIZT1VrdlFT6/jT3Ad+TPNJWtqupQlTwzl0
qJXx0KG3ncq++mGsyHfo30/jA0vBR7kc2tj3N0GUBtl58kHW3Vi+ObwA7mC0nsNL1/VxgSHqdXu5
STRXuiIF17x5cNLG+qaWMZdREY0wQhrybiZ6voTCe8I/KDqhHWCN2qrmKEM8ZTD3Rb3nzVbpIU/A
vbmvbUz8zdx1KA3TvnGy8J3vzbdM+2qyu3nsobjOptGcwT/lM0POE/MkxBDq4t71lQTaC+mcljy0
VcNoOeial5MZQlkGW0fw1uMohHdaH+mmCDcvN4Dm3Xw9pnS8rp2IIFRXd9lTFfGhvkh4OiH/NlU9
bfhAgWyRkY+RLhLevTyc4aDxFEjJiJ9MOatYPIab1ubAsi64AE40BQDPmi7crdMQ3ZKxI6eZOzYW
faclzcna2XSvWa14nkUw+c352MK5MIviSufOtUAMW4juP3Wi92vOa16TvAvQRVAmnA4c1gV7CGOl
TxjIRSdtmDZd9M0s2jKq/LTmhHfDYRo8++inZI1zEw+DAn1UcF/Cgba2hyGO2DcxuwD+lDJ5l06Z
1vDqlVtVxmlU66MeB2DnbtrqPHRx9sDW2JR9lvhlbyBC0VwvdRbsA+jt9yeQvszTOJL6Qtim+UwV
wV0pBRG2ovWJZ6c5q4S+HwIYKxUNgdJJubXdmOVk6LLpbly5ums1ppfzyVfkdqkUb0ojw5CXScvl
55GF+mKm0eTAP6zSByMzd9tka9wWNRH2/bIZK3KwbtPLbKP1l66aQgwpuIiUA7oieidXV42HMBjH
87q46mRb5bGCgih4DOaq7op4s1iFWNVUPcK9c9pF0uBokBUkUSH2C/76uZJD5kqjWVximQ+HTLWR
u1lnyTTUYLZpO7DE8KEw4Zz0XyP4gm0FPItRxbVqctdBxWSH2VLM3eWJtaJ/6sZam3MfUI6iL7J5
Q1ub68BXZ5q0SZsLLauiQr++L+Ol2uRhq32VY/B6wnBK2D2RcNw+2MRlH/pkTnjZxKiU8mqBW++i
Pb2PKJrPu2yYzdOLXmp8OeK3iKKX23Og6XbRpCNGc8BkeGgEZjBKZofa5vPUQCKTe7quJUwSGcu3
haBpsNaLfU+EslFBwypLsY5mkxC0caX7urZp1X1KqQ/SYtSRjW6bFIZikvooKrbBJ2aHJ06367bi
5JANfcuLdXIfR59OX6ZgjH1e+14+u4hCzHrkfBU5UWSk+4Vb7Q+rJf7d5km6gZIHodBjNC6iyidw
6rt8mWd+DyvXuC8aJVhyziAIwguGA+IIaKzrL3Qy6h1Lsgfo1CWPs4e9e8GFaeecBUEiTqsdqMmn
ypoz+iSJ3A+sHeQJxrbJhzSdmMGnX5XKNVfTA3cJg5sCw+6IK4tpDxyoEeTDl8h/iNtYP080CcO8
8a0QO+h7zN9UtKzYCGm3Z9rXthi7qNEFHzrYDoxJRS/DSDSHtU9dl2vKsUDGcVpguSxcvrGExDlb
h2wppp6vNUa15FjAz5e2xQDusoI5ro3OUzL5J9jz2Wg/ZfGGpZzNQViMNYGIZgMNkHo/B1vWXaRj
xmkO44bUnD2wDpIv3o3b5cgtyXKVbWFziBNXX1O6aHpJ3RBCWwFOI+rdzNwgzkLNq4UU+6ZtSdug
2tls2YrKRTcUAFP5Mo0sc9v2fJ8RbaI8g5Kp3AspUlOShtVDUUE9mueJ79sLEgjn8k5X440SY7uV
dprN7WalszfMw8g+N9ivaW5ZGvEzMo3gseqDOThRpZo+r7p44c96btCEyjMdqaAgnXHJzbJA+D7f
ZrisXQU80/O7zAV0uvRD6tubyadcXUdWM1M0ZuyvMxhjBFe8nfYjXbuP8J5p3MGpunKHYDDzdlvr
gN1HAV0P2pH6/bDx+YNdU/Gti8IVbd1peFCs6AA/9oEcvq98afJq9AKURt7yUg5SFwLH3nYUD5lq
DoqWi8np9BTKLlfIJ4ABTV9Sjti0oTR9bMQCkXHzxcRxCPd62eZrNRa6W+7jNXvKMlv0Nc7k1Eft
qffBxbqHnB427/giriOac6xmUlpXoWpXST7r+juFIBF2bhAVDoTOHKj9VrIgwtEggoNusmwspEtZ
mKNSQa0QpXdDCmsmTKzkmduSY2K0+5pt7TLmRNo0K6qsik+DYAP8BPxyFZnQ3gdyVXHRbyc9QSuQ
9+gdJUm8N865Po+87s6Ac+pixoxdYdiyYu3NSZE2FT/ni97msPQ8gdkhx7fKp8E0w6cII763Sg8N
VlVUDYkuIx24+h4cMhMdJ7aFfb6kJmz2slWZLKRvXVyO1CZPpMoSgO/BjPWJIyYKsLvsSD5UvbFV
uWQqGC/rdmugsic3vVemEtEBTCw55GzrzLmNDKTew43IE9ZtoIqA22jMoc6XHnUjt7mAWsXUHLnK
0isYzY0I3yJol0PcSBFdMOHIYAsRuz2iPhh6+RSuht3I+rJaOaeF72FtVOIcqe/acUjGcjCheKjp
ZNo8rDybCyMRo3oL47B8ShLlrwOZpbikydRJ923XnZc03drDnKrA3Ac8VG3usuDjTBQSYKJKsHjQ
JeTZuJsN2U41Aivbcz4E+iikTAEa2ajLER6+dcT1/X6KY2nKLK7JhVq0FAcO65txp30oyjbhpmCR
Q85vVKwfO7WOMh+68MtskKzkK2mfWj5lZ4GB8hxStLdSjfDBFUxSpCSYwFGlDHiPUn27dC27p8iQ
8wX5ZoUAR5BU1pteil5QuVvapstFqHwIW3F3XMX1plS7T3EE5EwTljvcAcxy+KVn+8WKj+sAH2LW
S/syOnhY+uqohxHQbTAkaKazGamYjSSkfYMFhPe7ObRdfFHZJq4LtwzGXs3bVLkiMTWcmoaxCZI9
G0bMrdaYHaQ2Rx5e+xMJ+3Qs2rmTKl/otqj9wJN5vGausbaY547VR70piBUvImvSizlFSo1oPjj7
faVtnOXR1sIz0LWm9aWpPG/LcaxpWAiC9BfC7ks4PfKmCkw5El7ZUtdwAMUNLeYBANwgig2q1pcT
5ArdkcWV++Yth/CNjqpQFF5hDZ4ThPhrQL1bdQhi1AeHVpt4fcimqY2xA6gPETzmtbsdG8c+DvFA
sbPWQCPJzqpgLDi0YTs03KkWpTHQjjuwAPIGexyoETnBZLLNSsbDur6vMVQVXnc4b9IcGW197HoS
UDyBjs7XHGlCVzbeV1kxtBl5tGmwKIB6IlH9MbCw78x7gdKryGLRsWukEFFTKGEw0OMWo24cndFf
bSKoQ+TJBg7gMc4a1Z7HhpMHgP4uLVCG9oeUEn4jlzWcS5kMwtxvZPL3uO/wC+MV1BY11BTEKdxg
hZBDPZa7r5tbOd3BJhwA4NLNfi1lKkz6AVPLyXRM8PZVWkwpyeovtpthuboJtH/zeumzh5jrRUJt
uUnCXQC3XVGswRz2+7qH7O3L+WXXM8Sr7FREdU/HsrWQyCtQt4aXou4XhwLOtP25g4DWIyRYeJjr
wULUchzmBYql6bB8zmi/kAbsFe/7o3HwxzwiWen1zkwKY3e4V5fBuF7GDViX1qJbzMagvYGNplre
aYvhpfO2NoHI6bKq7rQscUbLKYUZVFktZOMlQTKNxIwkY3QUnnJbTI420AKf53U+ki2BaqqXsFX+
gHfO4jMsyrvpeeh7R5EcRNv4WSFHzQokJ/Vyu8bNSu6YC2yzg/5Qxcteht0+iVLyUVMyXzeMIapQ
Mto492E3Y7CCYVq5bKOx2sqs19YeB7NIVvJI9sEpa0Dju0MtxWwBB08xvefdNgxXCjJyKBpcvwBT
aeZpH+LK1321oUbquoa17yWNO3sp+zjNPgZtHOmPjnZhckOW2fPjSjh7cCxmA9ZZO9xoN8XiOME4
KC5RGRJVjDAS6HeLzXpaYKoizJ4ZA2lR54JsHnzC1QaXQZpU80U0oJ9SbO3YDtgxg97yUcYZqMEp
uHzpBVZ9hucPZaDgRoRVFdzCcAqeybIKsIPwsmWTtJjTwnvaszVcPXoyUFXLSTLbEFlDND1Ec5tg
0WEgfdFPg7bSf82gbll9nVVFtm+Zw8o13ynFRg1fTCDbCShLxpOqsC0Nbb6memE7M754zwmR+bNV
ZpJlu+DMy9VUA5+pxSw+R12SfFzgDPYC9w91mBR9mmIHoP3k673tcNKuSBXwdwV3AWX9cq4iP+r1
lsA6s1mLDAWSG0rEgqbHS7UcWisSdb8uqTQowOdmpdD7Q3Mz20E/2KiSCbWaAgYLNMxB8akHRIUF
8iMOeNEHpzDNDnQbM49dWlJgl1CRT9IKLOOcu3aNPhIqWVpKaH0GRdS0or5xxLP6GWF27EufYS3t
Gzum/MRjN8DGIc6WCWlTM1FzbxuAXPe9Toe2MHHS1yiUawuH4pYh+KWIo9UuJqQWGZhjM9uu8FoT
cd5gA/OO9omQB+KYG28CwwgtHSKMvNB6RH3CWljBDr1tortBKIfECXBX+GxjFpFdGmJm8Qi2lNuK
qYl6986sJnQ5cvWuvViNR67ZGMLQP9vod1CGfAhCQr18DjGd8I7b2mLOBMnoBMlUy/qy1TYazqn3
4rnv18oMuaEQLUMSpxVWIYF3otr7NkwlPiWHiYAZrruB6yM2of3YhKjEcuYsP9Jk499lmAJxScIW
SeKKLozZMSXS9mrGWxlkrkYL+Dtf5063+SY9w5uwW3wLW21M061btOQhXm/pzRy5ksYjvU2ymfZn
hj4gQ8aE4y2v2z6ewAxtLYWmscGhB0vNjO3pCLFW1KmUqa8LqXu7g2CpieCb2JAMe6vFDhuGCQ0b
VDSYWllQZd3QDL55tzEMc3TBgG/3xQacpy3FNpvmvC0iNohvbcNysLAxfS4AocwnBmX4q9XaWuYw
2fL80kTrBIJjoJkwOexqk8e4NfwbW4JwfgqJMctNk2LEbw+0GGq1VMcVPsLSx7AYA+2tKRI43N/h
EmN86XjAZ8QhQiweOeTpIFTcjVIdw8R3cGK3XCesgCgG+UBCgKf5Ag2Ld4qkABbhFVMBLFkSzU84
bzCnGIGFdQJkrxM4pimWAZKEtkMBDGMS4CAgzEFBxi0V3FmHMCrHSoMgZ7t6rM4T6TdYnJO0ooVC
xLj3zZilSOw974uBG/ExgdraadbVRIuadvx9ZTlo2OOQNQ9jPSaPyqbI40moxGfMlW3vOPwncJMe
BzrUdaMsdw3LbhNXiU9paFtSBl71J/yS9ZatLNghsKo7VcuZIllafFfYiptDXC9zeOrkCmp2xLE0
ikHFcEKRDr5Q+w1pQL2HSvdQ45yzMOPyFULmRTB53byrXxjFnwY1IM2haPFE3zHvWzfvOvD2kVAS
nFKAHDlPClEBK75W2dxemhXVk7QB9IEEHse4myap+D3UdkNfpKjmPOrWwPa2RF8+rsrJoiQYscAC
AjQ4aKc8XgCEFtvSdFCzBsCXx2LZqUxf0zhd33uq7LFuebie51r301ezhBUOi26e64tgNR3GK0Mu
WOZyiVmd2yVkrC0yNXZjHqXAHm7ZuDZXM2t4WNTzkJ42vgTVyfQLhMW1qmrxvqthy3dbcRFR5KjE
LYUVdX0XphSGVJmx3XVsHIOzSVvp9WoZ0/DERg+cq6KRLVB3Qb4ornCQzijx1G0fRfwL6dpWlCpF
ZpLrWGTvYOCuLtBjH6CPZd2ELNOJ5QNgxh4N0gATtCiIpJ7PwZQm6PhOfn0MtfenKpg2lrdZJa8H
p7vvLUYTx76AVjKiRbW2W3fuHGrGs5t4BlRgI3YpVrVIQFp9G0B1KsY7O3DZOtPk0OcR1bs0rgd+
DmQgLtpBtb6YIrUEF7SydsDTTOdnuBOqOoeaSpPmZIvW8RBBverJ8mVxBfK46kZQTy+jKruztgEr
FUp6fCkRNrcrw8RAL1t0z58xoZ/ecSgbPK0cpcZF35C2Ok6kDeNDGCWrPcA/ZppRVHtxH2Pu8S6a
q2YETpSuT5iHTD/S3vcXamb9Luzdfm3GUx/3Xz3DlsgjY/zHEGB9DlQE2RpoAIicOryuUZXeMLRw
YCVmwD3YOaRPHxqyLacRZ+cdhnNMcOqSBSh/m1T+LsoA1jmTxgIgQNZe1MPh67D5fF6BlS1R6Mv0
MGfQrCiSl2ZGQ2T9jrZ185FwLC7BRQ9SVBTbA0wpMe83gRc5FHOn8Cok/I2u17ql10m9rZ8r4NTv
u7gyN8CbZnLMevIhAwC6+ul7XLuHrW0JeiNzXV/IeFMDUOsYWMPYNCe8mCAfDNxbQNDx3VrOZvJd
jscfv6+CbXFlguR5KmzQCpCQABN/ZxuwIuwGhjYKLCKz+wyl9o3ILL8JgJUanDprbQBkjQr71Kzt
nQz94vbbwCK1a8SK1oELo/EJ9jAhxcnNGBpMXXBHsmA+gR86wzOm8sBi42195iuQLEC+azziSOj4
9x4Sa9+i2En8aDI6VVSIuxX4UeguAUxv6Dtao8eC2T1vn0badzT3PYNKQjtNc1XqLJVTTuu4WpAc
rsulXRYhixgtpgfQa9iyX1zQ1zeLNf4TUO6h37tk5M/YWPSYJNt1DwgRwBNRV2ybnMqTgdmbMcnq
K4Tr9Ivq4HL+J3SOf9GRfK05AMHo2QyxAN8+dfSEodi1YCx7m8BO+Fp1oA0BiFDVg4qCJR44pFst
DZ7e1GN+rTtQi0GMTqJTCxDmKB3CEaH+bR404T8JD1Rw8eMQo9+5hRTwsr3WdfQmCjVqlB+7tCnB
BK9mL/e9hRi1ETWFMYp5m+Bj+Fp4YI6MTnWLSYF2Yz7n4DmTtXobLeG18oDeQgQtCeWBYDYPcIe7
0SkKybe9zVcMuG7rEwAU3cuwjQqgrMt3Apj7nxBMf2UG/kFn/LVXySbmWQoXYZa8Az5ytHXo0zzI
miA6dMBbbnvgEWuuM/BRCt6I9H0APR5Xkhi68vnYqcYCLnsZF8ecR0f3fqjo2xThw9fKBaOLhDbw
vd4Bl0a4GQa6E5sN3jROE76WLiBMr02FhA1IfEX4USThdkHRqJJ/8mT/Rfh4rV2AgQuJ7iBYwd4n
92F1STP58U0L4rVuwbpKQHzNBuJgZPKtTm6DhL4t5r0WLUAnHjNLPaJSXVdfBo922cT/jJv6rx7I
q91t+7StWINrx3X1aPhWyPRtLpJh+vIr/4EmLYxoY7lgizRB/ynu0PSv3ae3PexXnBqGk5xB3AKa
fD3MSGKfMDBGnt927Vc7m81jkwF/gK5AR583dKOzkSxvixqvbU7QZ8dM1/gyYZwGX+BzOJekbqM3
8SjD15oFqKGXjsWYMYaAkywloJoP4BuMbzsGXusWsGhVNTUvi9CS6pIAFBvY9taLv5A3/2GpNMgX
fKc0+MTWXCerLOhg3qSABJGCHy8NudOwEgnm/6J5+QAQu0iW5vFNKyVJfrw0n0EsCAhm/6ppZbdC
NVHut9q+LaC8Vi4AhyTJtqaBUESg+c6PwSmVzdtExMLX0gWxD9EbCwdozzF0AVJf47wAgvO25/Jq
d7p6qdINCnRgj2Yf3MguM0DBb7z2q93ZLTCXQJsFZ/pEj21qd21P3nb2vJYucMk2VinHbaNrsEcL
/1Om9Oe3PZFXTLcJCrBJ/KINmTK7FZ6p9SiM2co3Xf21bgFfwcKq0T8GPpAZeN5PJYGvyp+cmC/7
5A9SkdfKBTEQQ6hOY5yr9RZVSs0qeAFP4QKOGhtAogGAKtVw7BKy/O4C9+9fl/+on/Xtb1c3f/lP
/PurHoBOwV7s1T//8qA7/PnPl5/57+/58Sf+cnjW15+7Z/P6m374GVz3999bfp4///APeF2D6H1n
n6f1/tnAyPPX6+MOX77z//aL//b861Ue1uH5l58+fwOZqRRmnsTX+affv3T69stPJKQY/HwR3Pj3
f/wlv3/Hy6f45aeTaf/21+5vf/3yt79+++Offf5s5l9+StnPjLEoieM0ISl0zHB0++dfv0J/TlO4
/iQhS+Msxcr66d96zCo0v/zE2M9p9vIVDn3DKKQvo5xGA1749UsRVFxAh49BCgBPlf/0X/f4w6v6
+6v7t952txo1t/nlp195uX9fL7g2bipG64WAuUbj7HXZQPwqh1Rxe2hl0B3CemuO6I86oBYNuxKa
fGI+ofeWgrnYDOhUBUGqyojHy3nglPaFzSgvBCP9fZi2JcsyftOMDWAbzIaCken2pLGgdoMierUN
2lxnqSC7Uc/ifiVmvIowZg+GPxiByRCji5NG1Q5sQ3IN82n2FDlxCGn7lFK25Csq4oJ1KMiqcHmc
BvNJJu3VNOnpYrBRX6x1N+QoPB+BKTCby5o/cYvSO/aA+cFwqA7JSs2NHexSuoT0OToCV8bHT04M
55e/m4h1R8YImHdZ0OwwKQU6lprfs0CfpGzTcshS8yVteXuxMBmL/UKD5TRvvS/DaYvlHl1bNOtf
sv3PTU2bA+g0/IqnQ/RYp4AJM2fja1k1zWVKh+G2dSS7mGZKXxB5Sr9XYuq/gP3Wg1wbb/yz9HN9
DTa1eA/YXxa6nb44G3CwjyYKoJcvAnUeSWv6qbGwxqhEPd/zrJPlsjL2Wzbxv9riV+LrpI3+Pv//
s4ERv//1Bs4/t/YrPAHnz/0f7F/86O/7N/yZAhqGXDVjNESD5b/3bxL+zHlEUcWnGeRP6csU4H/t
X/pzmDKeZvAVQbuSvcT63/cvjfBTMUYSIkJCgnSb/m/2b/wr+/rvGzjJeAhcicGDEzaoaKq+VpAN
cchWJgGk8BvIWYEGNeYuBoPnM1gc1XxVtT7i7+Q68/mwUFpD/3GlM9tDySEzJffEiQdpMpcVKvE1
KUFZ6NhVq6NRPcAjrdZzUUdBPZ4w4wyxd5SzXdBnuTZhvF2B/gUGFj5lok5NDaDvIujHkYM4xMma
7OXct9ujGGd06RwNYnmeDOCVckNfB6DzFOM+aD/Q+nKZ6g0sMR0zWt1oNNtcCbfV2H/uYkTIEmSp
TVyCR9YCFl9F1k3giDv7kARgJ+wga827+oUCppy7MEGcVuh8O47920TrjQENQ5ddkAD0RySgCzgm
fHJnHcJZ60Zaxs17wSg+VMbQyT/4pjLLZRVKN5YRdCPI/sXjby4CKubDGmx1e5YdEuGHjMFcaM14
ow4DmcP5Jmtiq3aVVKTb2a2CMAzU1Mfb0KwjQ4O8XVlpTTV+Y2SD9fPQc381hS1QPbJ0/KZPqAdq
viVgaA3xylQRMcDwuQ4h6nGeAH9ez8AAdZqjG/l+gie1zUkMg819nUQgxpC+g9Pzwgn+vwEPPy3C
pEviYrMWaL3OvH9uRG3cBfiCMtjJehHqEGIgdL6puA2aC1Gva1ZGjcUMlB2ULxeLicSrQc9LemqW
IaqO47BYiEY1GQXHpQrN0b80VjGQkW7NJ/D6sKJG13cHYgJFwJlb6yCfzajlsSUQsDmiC0xLWICi
qdGIkY7v+9m11UtzPCyhEgc1J/iKtObbujHQnIiN5k92c6ov/7nxb6qgXfN4piGatS+dfxDGmkNT
Z2tQGgxEifv/9z1/mUzwOqrDpbtlyXY1o5oYQZfyzW5eqyTYtW2X02qcABk3FyBIKsDwWsIGUfWP
kRjKDs/G5jFwX4lRhw3E6SkJkmE/gKq25ehUYxgCTcG4Ofiaqk+eYXOgrwYSQdbU8uuio/j8D0QC
3A2mDyY4i8WFD5f2OZlTjKr+xiYIOCHzHlKH0p4luNvLM/g8Eg3tZH5knTkl7fyMfuAx6Ue06iJ6
n+rwMcFs07RnzeQef2MdgB2TfJArv4IiY/wB5CxwKukANz24M6TgWmrH07sIxxIBfNeXNMPxm6OA
prToVCBFPumtvRxV4HcVJMfQPBpBWrzUE7ZbE83q++/8hGEJwRuFeylGMPJMspdG7NaSvczwCX/j
K4AvkKa5jlz1JLr/w96Z9citHNv6F9HgmCRfq4o19CR1t9RS64VoTZznmb/+fJTts6vYRBHb9+Lg
4uL4wTYsb0VlMjMyhhVr+eEXKRGevDFxK7sIbAywaU9umpucMPveFvpt2CqJAf7G7Ku93ttxAFSZ
73Lvt36mOCDpleqkdUXnH+TcbKyfJd0czfgNNDYp+0t8Q872AX6UVPXf+IZGYarDaWU5r7ZzaAOQ
Y9vfI51YW2ATz6ANVgIe92TkXLTi4Rqyoa3yINh7gRbZnwahnEBjsV11YtIRiST3qNMo2vhEdi+B
jZeyglgDIFsw0138sJP2o9JnJ3CsGWiocPwheuPQ9EX6K81Br0OZgoMQim7vjKraZJ3d25umcMVJ
9UqZ5hCNUHoS93QNBffLLMGC0tKJD6puh/e61eWf6GsVjkertO4LfGRmPJpNkT3nhRnfUNW4kQDr
OCpAgLbsrUdVZWBU5EMNcxCo2TBvd7Ymef1GVGrwFX1g62M3wBW39aiy2M9xDqMr0Saic8zG0IJT
pKYHvSnZoOJ621QOpjKYm6IW/Ze8SJXdQOsdR912R0stjFNfpSN9cwBkCk+CqfyK6vA2UTX5WR8B
XnzwKyF7N4PQwm6XG4y4gLvCMedxbH7lKjOdVGcfVdP+WJn46af/EOhhRtno7jkjHTh3iy7eJdBD
7wAP0FcGv79zszLQ7v4e3GNqr8iEu5ESL8A9Iq3q0+eyLE10Tf4G3EP3bd/fjG4JoNUPaAffqoE6
vDaJ4dPaugr3AFjnPqieZh5W4R60zeoO+aXWze4u4R6xngXxxg/7Xt0YhkT/7X/hHv/TcA+tspoP
gRJ15u5/4R7/P8E9LGgtbtumc+Obvwn3cF2724OX9j6qesUL+z8M/PAbNbzzxyTN/i7w4yw//Ffx
5KJYclFbI5/TVF5UWFGnf2liLufaKVYKmivLnQH1cBeITcPLyHjHphq+DsV+KL+a6RpX0FRS/yu9
+7dNYVkyJRqyu1ldXEWeTnETbEbqWB7iMXC3sJKDalDGR5DF20g1GWAt18jspn7S3CxGNd5IslXw
EPz5WaU/BnDTREqfwwYf3eWF5rjyXeL2j9c3dNGKraAmowgVxM9sbtk3a1nKqjF3XLMqtrprxRtG
BSdqpzUF0T8/+N2CzkzNCtKpp0EC3LMguL8BcVADAhf5wdbMUwE7w250vV2idMbOhVqCb9ow+eO+
BML4kYOour7qWbv4n9/UlA3DUGTDNCksXG5uZbpFFuV57iT6hGWMXQjsArkkUq0zbdtlpbVXOl3d
M0GobeTCszdG5v1sfH6n3yliE9hayTxPrvXO9V92WTz+1w+D9ZbiIqULAGWXP6zJyrip9CJnKtR/
S2rxDCK72NV29jnw9Rsplv4eRegfg9QvFM1QTZUaypz1Y0D5RlEjDJoc5R5EVMQQD4Ddlf7j1OGZ
fXzM6KZlgXmV1XmLc2RSKeiLKndGhp3jXD4go7hRzae8XFNmVKYWwTVTsy3M7LDSI6PMnTZnrqEs
Dt3Ufif97gRotEHaqlq2TUZ9C9J3pdfy3rYO2E2AvqZIIquUnS4/nx7T0oE9s3dS5ZecUc0t4uMU
Jarei1T9Hgp/Lyd8TtLQ68fm/eWaDFPeFhTBqBrNP2NqMUrktVXvmIq6SaUejkppM6j3bh/vsuBQ
pHsLcHdkvOT5Qfa/J/WKH6Gadrnpk31Lw0VCwK2KOQUns7udMmZ5jzaLd+oZQsKOntwPdvokVe3G
rgYGF9daW+8O1czozKNAs0bZu83Yba4uHcB9rYpT1/MapP3KBq+Zmn1YBSRnbkfkpEVUJ7e+Ouib
MmDUD0z/SG0+W/OW7x6daWk2XQsbpI9pzuWoEV0o65EhNodE+U4O/A0CWDu+Iu4JxVcPaNzvlRP0
zvNg0ZJlVVWoZQIInb0EXmTQog2S3hGScoOlTE6PvdsiXlu+xLWy1SN5MxZ7EYYf+Q+5/MBhYmJj
+lGSm92O9prCytKROv9Bs6/bU2WrTI8fFGQmw0rdvdVqO4yq2TdQ7nGebXVjBTeyZnL2lfW0F3WF
IIijWgwsMnmfqt9bxnQyqWf8mrSMUUkGg1Z2/t0bPNt5Ok3nL73S6rroGN5zmpKBVlk65QKSz+oG
mRlmdmtEjkoGc+7t6nc+9lvBe9BTcZWGt8B/vf5T/vBZXvjOPz+FwMqUZaECWbz8KSFDh65fphy7
BKfVD7cRMGCDAiHVzO5Hp5xsLX5t5X1qfJ0OpclQTcN9073yJrPzQ9IV24icvgLYOx2KrAz/rKDo
jIeGBpLkGzeWjciyUm7r7KdUUh6Oy5Wu9B9NxSuLmHNrx64xFiWz4U4LpHSj2o9G4jGRGdxRS3io
KfgJjjJnpy/FbrpLK3s4fa5r5ucXybJBh+e4wnJsP5tidEaNb2n1p0y3HVVx98rwYnb5zmNX6/q+
C6lLNswI4DCNO3MId9NMUsg4aNsXhxIIpOLXGz37JsvmrlqTjV3yM5b83x98zp/OME4yyVRTa4sk
fHfm8GWlJDl46rMQPwDzr8Q3f7Q03++OCf/O1DdR59G0rxZ+V8gc9rG6jwu4ZZhtq7IHm9vFGvEs
vvYNVPymHOW9KaVr5pc/zl/mp/04i6p7gOBlaIZ8HD++qd3vZnVI4R2Yrtp0qbjc2ahta4ZnhuGl
DxjtqB/NbgUZtLwJikYF1FZx8/PwMy5Gv2S8rnekRPniydx6HGmOl8usj3jWmqvCDyvTfQX55C7q
fl4/oss3RKH1DJXQ9F7Pjqhr6UZR97wuqSzowaRHTClGCn0HCEjxrJX3fqJso9jaMF21WzG+eOTo
2ZFtmIYu5sDkEpxlHigcOcmU9kX4oCPvEuBm4KZ5rZThWIo3IhZjCLYhYyfMH6UOPy9vzLugkW+M
VsDaEmfb9Td+8Wz89cPmLEumXJcUu3hwal+2HQ+diN0gpcHHlfUvhRIWn56GIb14c97vj+UyKNLx
Xw+tp33PXH0jSvNhCO+5CI2W3GvdfdcdRL3XIsXBKdAhfODhG8rueP23LKzY5qcg9sLoyPRfLm8D
fa+YErzbO/lgnIoiu3Pdv6fZSX5Be3YaxCHVsmxFnyc0fh1nahf1BE7CjqG3sH9nWb6yjIXoFyME
neYUuyDbM72wZ7fap7GZykXDrU73pvy7NTvYqr4RMpiNvsOndLAACfdPwECpfcsQ7/V9fH+kifZl
yIRU4CWcoNk++tGAynTjDaSTdrulZv8Jgpk32PQ/54O3D4fijZrGGqXotKhLTzoZpUJgEfTL+vyt
Zmi59fIuGByoxu58w3oYke3Y1NrfU0T85xdUNdAxqm4QGMwPiSoxeiE3EDQURb0ZIv0ki/Dp+v4t
5E2sRZiqQdJEQ3aevlShpdGaJX3RzeyhHPKNWr8k2Q2z/hv8IV8Qrp631chr8bOdWZ1u6tmx8fJg
cF0xWTWSD3mk7/laN0kd3k15xNC0e+FFz9dX+j7CZKGmLCxBoA32YGayph0cFx2ed8rTWkKnULH2
dCs3bvT7n9kZPvi6ycVV4mcEUCWZHH92OdRQjXFCrBJFkB1j3w6zIB9wLl4f7mE/+UkAf93g+0yC
NdpgIlTgkoo6vw110CsQs02vSxt+DIJ6Oz0tk08rv0aevhLtLd6CM2Oz1VWVUme0U1mdPBy9NHFQ
Id4yh3W4vqYlMxo+BtSIZQjU7i+PSssdE/ow9E4WDD/ifHzNaFWZbbXyMr93yABczszMjofPUEkJ
E3zvyEn2msGmQa5+fSHT3zD3GhoFL0OjoMlaZtUR14RYoAXM5UA+9xP1nAfbKk5MvjPACE3edVuL
qwFvZ2FHBx4z2zQo4ZoQKhoe1GBk+FGY5aZKisfrRpaON7ggsEGmwc7N+TpzM03qQnQ9c5HDltSk
G/Jbb3xUs+JQTMFzsGJvcQOBE2FJJYB699bQ9lX0kLcmjMQNciGfc95v6Bk/M1q2crYX4jSOgyUL
barTgXSapWOR21tSY+eDI3R5O6ViPemgZvlgTtINXDobqPa2uMUyP6w6x8WPZ5uWgldmmG4epoWM
vTEoFQ1O39EQDPtagQojGVd8xUIozBL/MjMPugoN0kyrZqzVdMsjE8dTpksqNH3I8qthFM5Ud5CH
F2N44Bm4fnSWPqXOVKfF+znBwGZ3wQ+Toa2gL3Igofoiu/KnEqGB3B5uYE05XTe15BN1FYinLQuA
avNTk0CgyRBkNzgRdYsij8INlHwP0xujF+PRzqLddXuLSzuzN1taZ2md6k/2ALLeNlnzUBbu3tKT
D4MUrAyNrZmaLuj5K+qm+ZiCb3J8JrC2sq/cNH72TZXrA7Ch/+DynW3jfCyk9SK/bvN2cPLKuo94
Ku2sOSZl9iWXqpfrO7jkV3TmY3TL1mye6pnzCmEEFEZeDrAIRNvYd7cBeBpOJq+0BQukkqxFyov7
eGZw+vOzfXSt3K1cgUEhLMCzU4mk07aND3FHGK7NAy2eRx1YpW4rqs3c+aUxiK0gQVemjxa1+1Tp
7jOrbiCgQv0JhhzYFaKVtGdxO/GawMAsoN3zdhZguMqEOGdwYLxjYjSxwPmS1UVMateev1PRshTK
sFLPW9xSS1ZxoaqhGPM8F/R2ACUGcTmcWx/soWICqi+OpVV8h8HJuX5elvylbtFLomlDajd/WGVz
kKWQwWByKQo7U3HH96ksXDey+Nmo7tMR1AXw+NkZSX2ewDFjQT1d0E0cVd9Ip+2tAH201VU/omCg
aCubuLiwM5szV5LJeUhcjE050cBvjelnuJX+E/d4ZmPmQ5SKidzR9Dkdyi8rlXfkcdDS7EaDi9Ar
n69v4lIMTl3935s41wyqaimUGYsfHKve09PYWzJ0UcFholMpdIgT6oo5n5WSz9KHI8k2haXT3WMW
4fK+aaXs62bA6fBb4yjn+c6sq4c/hXzwab4/rhQhl5YIXw1poUZazwjDpTlQXVZgF5gjj/K0b2rW
Hg2om6glsNBxaicIe+XFWczhzm1O5+jMf1V+TM/asnsHCr2NoYktlTzFe0lCBDXkO9K4IX0s4aq7
/jEXNxbYG/ElmG5t7qY9iJXMfMxwZHn3yfCsI2A2SonR2EMXVw0b065X9nYxZDFUAjLafJCLzH2n
qneprJE7Mveo0aomSZUPRSs4NfrU1IbrZuP5cQ9bzFg/QcFov07v1jan0vKk+NWaovvyDvz1c2b7
3qvwHfsDUQy94w00hR+rkdIZFDKNApNSLK8kEEvuADgCZQ4VMAYNv8vP3PBGeHlMwBb71S87MGBB
HYErXv+qS46bHEU1BDkkdZXpfJ+dJWG4duNJxeB4KqpeZS5vLVd9bjqPkbA1Cc4VW3/O9Zkt0NuQ
ZrXYYjp7q8fMjUNsRDAYS/7KyVl6A89W9SfcP7MkqSHNJBlL0OA5eSs7AHi/D0W2kahzCHopShCs
3cpFm4RMpOEG/zFvJJrwviNDn7K60P9W2OXXQcQnqAxBnQp9J3XhDYjxO6iCnSmPSYwIodPue+2n
d1MEp9jBc0rbgv//7eilx+tfefEonf222WvmiaYldSS9ATT8wcMjxWnx9bqJya/O011m+Y0/hQjZ
mIcdEDwYDOhMYYdQflitdcfs7K3eirfrZpZX8peZmXv3asbPgoQvm9r9w9AK+M3H5Om6jcVzeraU
2W6NGg0K6vaDAzpw1/jyI6Urp+mTcNPGa+CjxffjzNbs/kEa2FqxSSw6wge3ZzyrOWp6ha/ry+oe
rmgojphK2wI9Z/4hLoyVU7vo0gQoEabVmCybqx3Dula3fjRxHek1Y+V+ek/UeFMlMLNqjKVtNAUe
4Ou7u3BQeC9tBokE/TBGhy49jloOMXzHU8JEh7NTm11QGp9KnpLrZhauI2AbTVEopeoKQ3+XZoSn
62WcsrF6b93a3D7ZzF7DiBBOyW6aur+BFGytivAOEMMVo9lEr0HICvn8tNtnbgeap3TMxYjbCWPt
e9CCXyuV48QQGLn3NTiRuJcSyK2E2PRVtRYXL6/4L+vTn59Z98dasUtDhvIofJqSGmYRIN870Gm+
AcQwln9rev1PtRrdME3n1JjTHs9uYlV4jWp06oD0MZN/inqkqL1iYvGonJmYraiVcpkpH0xASP4S
6P1z5bef3EA9XD8qCz6FlTARZRuEN5Q4LzdOKdIAZjG4osY6dgoPPuPMCNeepEUjVN1tA1glM2yz
82jKVQ9FCWeDieOnqZokZfbX/2AdjIhpjDOAMpwXsQLFikUD59mk/7kr7OYmNdQV6agF1zihJGVy
WZyFNpfpdGs1kseRLyL78TaSm7tkAgRBVispz9cXs/jtbYvbpICR4BBcfhSpydymDCROcy/dV8kX
PRXP1pp02FIorShnVmaHeBjDXrZHOIOF1t4P8QvBc5l84d+peBSp6mCRqP76ypaKjRdGZ25iCMo8
kHWWlmg5c3X+rqvHk1KPt6HsHSeUhyTrsGa13Za5WQ+iRfPL9V+wtLcEKtxemcNIgna5t66w4r5C
xcgxG/CPKYz8hrvN0C+6bmbpsKgwpDIBamJlHltKZWZrSmCQQ0ND2E/cZUVy1wiYz9y/JwL+T2c0
RcmkCVxinPDlirQusA2yZspVkE3lHSJqrSd+X1/Okn9VmboCFE12Kc+nT6sSYsNyLEZH65m0Itvx
FX0rANl4cLW5Qjm03YpjWrOoXq4KkQtJy0MsZjFDZ8BYxS5ypegxNav6rsmLN+gyxp3rwhV4falL
X04jlDM0IBNkkDNnNUIY55qaNzrGkPwUUe8f9SH1XhmQKR2JQZzt/5m52V0vIRutkBUfCZ3zHt7x
oT81DUPnCrN1Rw8uU+e6vaXzr4mplwEqQ32nPKYjlFINTTZyMP19a+oH+KePNJtXljXd41lIDLXC
v80wAX35+bJYtjpbzkcnLLVHr6/u5Dq6LYlFkK8AbqBH9krMs/TGaCZNTyDNkDDMCXFQTB6q1pg+
m1XcQt76RcmtlSO5eDIs2ZjQ3LQTtGnNZ0FGPehD0jGw6/St/SflD5k8rhnZFUQ517/S4vbxAIA2
0Iky5l7K7IVU+KbFCwCS2RLhQS7T2z68h0d3HRu4vC6T3QNYACXPzIFA91MSlgJMKjt7X6XBd6mU
HnzPOBTymgL9mqmZ962bJlO8IRgdWNFeZJtGOIUbYUtOUUFRfX0P12zNPpcLoZMuKywrDOrG8bll
G51e4c50R/9kNd3KiV+8WABpOfYTxH0edEtppUBlytK0OpXv2y5QT3YonUhu1xDJa5ZmrlHErRoE
LS4D7K6/zeQBIRKp3o2qvxbUT7d0fovZI55LoUAlPY+qNIinh7DDCSdht1X6BzJDh45ZigxBBSU7
/bMioaxpldvVEHvJ/5+ZnuMrI7lkVBTGak5GuOml8WiIlwlWGdLaSuN0X+Qrt/sPROHdYkHU4/mB
y70DEWVuFTTWgKTbtKw/zUEaMcAox/hXCBtyCjyZd2CqawKbU6iuRhIcAGsQ6fc3ny6CKlQoJcBS
cCkvnYzH+xNFMjR+kSEdWlR5ekt+HHzKFs1ro64kGe83+dLY9OdnHi0GVJWqSH45IDXC9HWs+41G
0zd122MWfo0gLb1+Jf8IZl/uMQah3JHpOBOwzC+JVVdqX42l6rjRuO1RLHY1GQWDPeFDnp+QGHPQ
AnwAlybHL4BE9SxEBrBnnji+CW3/Xsm5wwbab6s/7H36evnDZneKk5hIicEPywFk4/5v+l7aud6H
EF4GMTVRjX4fBca2GH9f35L3XsqE/2cqQvCmAImfFUFMtWwKq6Yl5vuh5shyjWAAPBOD5Jm3etIQ
zV239/6dxB7PCsQkOrd6nsUA7dej0IadSjdSxqyZymcKfxQrl+n9wcIKKC7DniyRM10eLOSoESqM
Ie/yAzhsBFwXW70oHAgOIMRso6fQJdhplLXzvJDTYNcSoDwIOUhnZ9GUlfeS6JkTd7oh3ZXkZ7r+
pS/2sR/tquE+S18D6XPvPl3f0vf++NLo9InPblGaBYUC1wCLzdNPvVEeqrK/z2Gr+E/M2PZUOCL9
nGfRIxzyhIMoriPJyNiNqdV3cMZ3p1HxvBXHv3RImLNh2IZZDcGDdrki1aj0wkLi00lG9VMYF3fc
j5Uwe/FTWZRQKBqZ9Gvnji6mQhWPamU4hYrMkC6derD9eirvGz06WqP6BiW2YxjlCVLkX9d3cvr5
l16I5qmGVZvMSHvXdY9iieRsugOuYmyDmmy33yrIPNbZfePnPC8nTZJXvt77aUAwh5au0x+epu7e
ub6sG8sqyRvDUQCOJnn8qXUfVX3chf2+NL5iuh88suGHsHqZ5k0ttJiltY7HQvp9+SPU2Yf19EQq
en5EkFZUdIujUd57gXHAfJs9VKw/tPZRvx+lNYrX9+8aloFiUwnD074bhowyaLKHwoVK1gx/oW0G
hFa6VUcoxsfkpvShpvgPvvGZvZknsGHBafjQHOEcObpQbHJ0COruALHY13asD1CUBNsGgaPrZpfc
+fkyJ19x5gvQeBWWT/7tGOURaYmXpDe2bjHcBYW5YmnJ65xbmnmdPJCMoWpYYCiiu54p07iP3ix7
DTCy5ApALk31ZEhP3iU9+WBCG8uYKkSjxi8LBaxEbl+v79maiVkUgpTlWGgD1FbMTXzuDP1n4Frh
7rqNRXczVQYNIivePjEFAGcfZuw6Q86md1bzEMOyvzfZU5Tcdd1zrEa7gSwrbzr4a1dgSwsfCdwy
FVZyUoozc7xGkamIICipgDCUUYO8jT/3sfclRx3w+vIWtvDCzmwLYyVAX8jFDtT1L0BxPqMMunLe
Fk62RvHH1BWmKqjkzrJEuMEKfewT4SBy0W7SiuG1smCaBNr0b50BH9L1FS3uHMM7xFqk2wycXn4v
hIgCpK5Qo7ZE/yHX0X7TCpS/xpVAZc3MzCFqQPMYwWbj3LxG89XMTrpkDduwSJzr61lyvRPK0pgy
C0jc5s83D0MLyMWCJFmFCbC199NB9LufZk4VTWcsGqRliE4nCkW7sl95bZc+3rnx2TIVF41lkJaG
o8bjsEMsEJsmw8J5zsAuvPfayrlf8PZASXnqJvLKibzu8utltpoTDMF4DpziQz/GexkUWMXgdzbq
Dw0sztc39/2DjouCgZeGF+/LuxGTTkKfQimz1kngKGO0R1juJy+H/5entkPjDFCnhAridaPv9xSj
0F4Su2jKVD25XOPAAvNYS1qmzb/nhXg0y+YkF89d+njdzp+k6DJcYUaXmJ2xCHrLZKeXhhLJC5Qi
slsH0ezjQEGjllANuVO60rGDEAZM42Bl0pbW10hNz/WRB1M09UhqSiY7oV2nSck+S59Kz9t5ZnMy
knvhlSfmAgNf+WzzzxZROmEOW5G+2kyz5EblpNkN/4ve1siIRnu0PL/JTN8C9bH4G8N4vLXDxjH9
lcUqC7s6UaiS/gKpIxOePvWZn9Zkyxd1Dpw7tb1wZFI1S8pNqgT2DdMp1bM8Nr0OsCjVJwE/tbst
Gq+C/BM1UIgUek1vDn0LwVindtUH6L4y9HHl0n+ERE/KVrLn974D7lYiSCbwp+LIPJnNkCnueTeB
eJnal8z/JZflnZGv4RcWXi7muMANM1cx9Z7mqC4mGfOilik7Wllr7ryxtg9Zov1O0B/bFWhQ/2x9
tTlFpVXfBoIRP0QzVsB5C9+Ek6fQy6BRyFDJtBFn38Q2uygffWrGhZduu9baxUZ706dfeHFWLvI7
vzEplrGpClMDNqCJmdeX2iAVbk97SPalFx0BlMhQnhj6f7S6Flmh7vn61XpvzoDWEzs2ZIkEObOb
5ZaGlMEXARs5aoMM97sf0yj+OPjpLlTbm0RStf0fg/93CFYvSJWXmZb/HyRRnh4zBXbiKxSsH5s0
fPt+zr763//Qv8hXjX9ovBbgvRjO+hdF8j/Jk4X9D1JdvhHuHcEkMGF/ka/q/5DhY7XoY2jk+8TC
f5Gvmv8wZf4ycPB0tSnzir9DvgpahwN+5oGBhmGDRJhkFQoTHM3lBYhFqxVMhnT7pu7Enddnar2V
IzdGtD1NxQFR57CEJUiDO9BPelveR1bhuTcwaSb2oRpHtLBT12jsE8zrGXRwjIynOx85YXfX6ahO
/yjboT2FQ/htsGEeDIsy/uxV/ajd5yXKU3FlxBolRzV/CyJgeL9aWSsbFDFTlIKVEkHbvFPTPcQ2
roYynxR/gZXV2yDgCWmh5wf3YZwYv9w2iJ4SdAZrByZTRPqU0O/ezN51P0kKk8IbTUVyMasby3Mk
e0BsrcundFiSdHOgJjYWwT6u6zZCfl0ekJz2dGTV6jIJpY+ME2nWHqF7+ylADyihvqf2KEK2bkTm
EHeusjFTHyFAiHp9+aMlpAjhL7J9aB419VeTyIyrbsYySl0Yjz1P0OywJ15XJIzFtvcKhAf1WIkf
LD3SHrSyqG51tbJqJMIQ4AqAk6UeouFVod0IxmlRji7cmDEqDYVXW+rb59QNSfBbr+3uYsvqNkF2
N0YGKRriy12cxd7WKOJwU4tgp6CB3fbyF5WKsIv4ma+puzzzrN2Qof4FaZDl3ZRqKnuw2Hr3lo22
o+sa6Du3cLv6cgXjtFGFN2iqx8emsqGtVcfi2OWTMFrSlI9Ivce7UhfuscklCo6FRPtDDcK9lpe+
o7SdtotNeASR1BQfUFNMNvSykZ1DW0uqkReDG1HoB5FRIFAkj3qJLCO4rXfhQxbneEy9+q4PxMy9
0W96l9AHPRjmWuS96kXtRnidfdPykLhp/5irA1w8pnRIg4OGQuY+7NRnvbEFCnn9S9dBJMBodJh9
9uQq2qqhotwVdZLuegCvG6WWs13aCm8X+JzoDay34UvZ6581F3GtbGpQCCuxb8suP/jaL69gKxGn
U7pbZKg+hZH74sYi3McS9A1Rbd6Dx2q2CgyNWWDcBkWO0ldkBF/EpJ6cFFq0E61k35tevFNN/0FF
/vdWYzgV0hK4LtGVVjZFZ3k7W0YH3NDSAVHv8UcfD78T9Ag37SDL1lbxdPlg52b0uzLBsBNH2Nlm
KHP9o4JC2amG/YONT9ruyQ7K5llBe9gEvh2rH4ReJ9swyQMwTUHwEEAp8KHPzO5U1C5inW1n/apU
u3CEXxrfPD8MvytFVdz2I/g5r4BbXe1L7RY1a+u16DV3j/sJ9nLui32fdqWy0TT/dyJRfI4quTwg
kKfukdtJSXmSSTV9QM4UvcMHZNqMYxoaFXAN2GPl0HxCL48BJt0KtzbMzE4/qGLbRk37SDmdholi
JTlYqE77iiKg/joEffXS4sY2hWJIG8/OjZeOAQ4Gn/rsu1p60k73Wu++iNP+2BiufDT9qjolCdce
/nVrB6m5/4UzbL+JOK9g4SDOzg1d+xnUrfQ1FaF4VjtLvRXtSMUlVAP/TpbS5A3kDkLcyOXqd1UC
9gKQRvRUWHn2O08U81CWVvwTWnRvI7eG/Ukb4PoMkSr/4cJivYs8u7kt0iw/qWWuPQhPdZ+q0eTX
SFVB5F0bj2qXZLeFmtu4C1vaA8g07mSGXh01KKs9jLs+M9OFdFC9BllwuyyLneIX1WtRKN7NJBv3
5iVVvE/CovjoDYl3h3AjXiewS9iVrLG6gUODCW9vaLytHijisZNcxKxjSfqlD0GzhbaUubnWVYu3
slOhCLZH6yvvivSlVHPpTkRl/Q0hwPyAOLu3EVxnB01TSKMYXIc2NS3pa0DJDHUwlPwbPeg4s43n
3fmxUTr6YPu3GVLN+wK9+cc48zx/g2qm8nGABuRHqOrBfrBN/ylxYY0VITUvRkXkbd334Use6u5r
XJvJwYVi7pTZY/5oSI1wZNhckU6UwxuolcQhi8f+Y6h40R3oi+A06riYTa1b/gHKgtyp0+qp7Ixu
4hJXbuVoaG7dNkKg1S+FdipaV0O0uAz2fuTLCbWByvugBbaOrGzhRW+lpJk3LbI1B0YLubW5UrXP
SWIMe9kam1+TqvSNOqbqXq2NbFM2VvVDbrVxE1dDZm9jE7qYMXGTB9ku1F/SgMjupoy0/KEPUEoM
3UlyOGlotXZ2kuHok8Y4EBc028YT3DMraV+jLtPQj46yLR1oD4Xi0NtqhdnfWWZlbHu4gtFkpzBc
bWAlH99QWRuq+1BBetHqyl+iyX1lI8yK4V/JbNNN4oW7Smo9b9MphXaib+TvB9nrTrqQ0AUOFRft
3Uqg7VdK+oMfFR3uphY7hCnNu7DtzMdsKrZsXJTN9yhkQnVLqJ8cB3m0tq5lQ8CTJOKL6qnlm1eX
/BVdFW49pbO/a3nPiEMbau6nKIw8IHWZ/9twUdSx62pIP5S2nNx0lQdRjgxv8SauXfGYl1GFeCQA
ils3tNVXoVXtS42W8tZAidnfuZqn3qaN8J/0TK2OUhQN3/uBDQ9G1IjjkpHJpK/6Yte1nKJtAQf6
MdM9vlrj9WC45eA4JH14VFPPvQ1gf3eMQrcZAgk1znvYP/Fq+/e9YWybTj4GeqV/pEJbHLIys/pt
IcvuTlghjjgrqycIt7udW0kl29UqHzwjQmDTaIMHWxns7SRifagSo6FVySKKUNJfS1oIN2ZI/gPz
C66qM0unltuJ+jftIGmPxE4fs+go/ohrV8QMut7HJ+r08qFGxtHJVbjvdC0Nf5DW91uTEs1tnJr5
J0FBKCV8CbO9D7Mg4ztBtzWi8NbTvygV6pIo5CZAyWL3sxTX8huvUM3dlqBlg/lYic1tVQjrdtDz
unZGEVhwkgTDsTFV9842xzzYpUiHxjv495JTFoU3DaJyxEX1p1yVPBU6XpNVEaN0MBZYSQAzSdmN
9abU+nKLZL0OPZKnjM3GCke44Alxwk/kVj7a3IPwrU2Tm/6pQQv00a3b8KZOoUTeDErtbUMirY9Z
PgJqKrQgsfeh0evPntRznQ1J/SDFSU3a5UneqYNzbicpCUhBU0FqYUjqA6fsoycs9T41/Axq6Qg6
pygy+p8xKiXHcSySfKtmg3HoRze+B1eTHE1Ea+4ntfD8Ia7tZ8No29ehNzyUVPHzmwChYxR1+YsZ
qa5ghSHdN2sn9/v0zVBs5aebWkG2K+TM2qqJGiKsaw5woruC0hDborLoPol6eaNJoSZtPdczt209
Vnck0YjZJ4H52AwohiAYqvY7lJ/5si16fE6XWd4h76Aq2OZS0RS7lkGKXUgXj7ww0nhHCfH6l0k6
gd86atrXNvsv7s5rOW5k69KvMi+ADnhzi0I5mhI9Rd0gRImCdwmPp/8/lPqcLhbrZ4V6rmZuuqOl
FlOZyNx27bWwLIuxIq10K6OZ1igYGL9KNc9vayeUv9XZ1N3bSl+Dn6ePX3tamRWeVRjIsic6I56y
0S6bvszTBSQ9iu1OemQJ7p0VP8BL0z/azFcZQFbS8ErI2dC4lZRPxItJWgULKfVz1cVnT7YLer6+
jKw62KFR2j8JVKklt1BbNLsjw4laNzcRnq0G09ypYdhvnUHiFWpF3VwAfIyRPTbHBP6XNLhJozK5
ypI0CV0U9KTrNIkm2wP6X+wmxPkezFgYb0Vsj56wu/y5jtVmk2Y5s20K+OQWmbMGZ9bpVca0ZWGC
3lfNyFrYcVh4RhknjxC0mPpb2lYRqt2a8xZyT4kKej29YPxcCdywTBXmJ5IyWNhRF6KgHSWauqRb
F78VelkMizyr7As15Fw8qPatVae300qXjPbCiYqsd/uoNh5M2jt3aRxL8kLrfS6VpbA683BRQqEs
eY3LyMRzORHFWLjSnbcgspw3MxyCZidEXrb4h0xnnqqQpKtWzA/Lhr178OTarn45U2vEy7yvTH+d
p/1UwDhfJ1CP5ehZU0wr+rssmUy+HrLstBebYpfHyL7X0TAgYmrUkG9Fgy+thS6AOJQ11Yday5RV
o0jJKowtZQ5+6tibGmih13EyEA37haF+afKIpFAx6jtpUmg1o+ocCMhDZ7UN2WykYOnD5M+eRl3H
vWrdY5jLLRmlYTwg4J5XC846LKCq1JIHkfoiXToqXidJhLmOcj6LnGtxuphk0d2brS4jO+CIOdCf
ZSVyhgtD1w5q7k9PRchLdYGFacYIpvmSZnLqBkGBREURd9Yu0gT5SKGUmJO9iIVvyo++AunBQOyi
a9fVLHWh1WXxMxUwxq+0vQyGUcQRYUleFF4Z1cg9N2kDBgjmJrQ/UGRAQCOaIuGaYd9oG0mEDeDo
QVsEZkIWIvFUUCqRnEK7zGMnqG5UctulWsZytix7lAiWju935qooG4zW1KO5DLNCkXauPct85IOi
Tq6fylWzjmxTXEoVcB+fWeXC8zs1+OHP6iC9LpcroiTukLZXDsmMOWDTAe6tVFHLG9+J7OHCKVU4
12qACIgSBSghDAzw9C5vYpLXfWJmt7ikzlwbkt126B0pJGiwIAtl0Qs7uu7yblijRmLnXy2Ne+bV
RmYXXpc3iJ0Mgl3B8H9d5lNyicQHUXoDsd+NpgSyw4CZNADy6AbxS5RldRMVvRJfwhzA+6QRrfC9
1LxA2dkeTG8C49Uv8gIBDldHAeGh6G3rJfdrbGs1DdW49kvVoGXdGVO9cERP/wAZDDTQ8claeW+V
KKtMoXNvDnUbeVmKz1kEmoTYa+p09uNgjKVXChQBkCqZAtyE6hP41U4JE3BRCoWypoxpS40e2RrT
z7V1b3XlbRPjokmUSJVyOdYCV5+ksPwNdvijmtzpatu7gtz/Q7pmVNec/XzC/66KdBmOr2/i/9x8
h8ugzRMKPUflud8/4O/ynP4X8D+my0iRNVmGruO/2mbyXzP9jg5ejhbdvgT3H2kk8y+qb1TzmGLY
V+BoOf1H2kz5i/8Xfw8KjLIeOLA/qc79bib9U52juwRcDuUhyIzo785Sau+rc1jLROuYlV/5Utw/
FmZi3Ge9hBGUfab+l3IaiM6z9obS3xtNB9W5u7KqtessSbQv0d68otpl2OtktrrKSHHJa2dbjFBQ
tNP8qIxn4bFgk+1tt0wAx0sJQTGL2bgHupqs/ImuqRtJU38nctlGM60OmPIkbsM/CNA2/jpkNhOV
mLwWv5Ih0Acvq+eXUs1OJghgY17kdVC1ixH6tmaHkrDzhrqvg79U8VNSrmJvLDV7BUeHH5PQnXkE
KgQb2JA6eDoTQ3xXMJ75QJSEnSnUqLuwoBBfwRjG8Tg1btnCo1+Ue0+KSGH8ZolQxb/ufS1j3vjd
1G+VK3j98Mbq7JiVus9Ra5jddTY7brH34Y7UJY9JTkzTTrlFODF7e0vO8tDrIgkrEyYSEQGIEKKD
xHSaTZ47+XM+Bw/GHEZ0EcpTgmbNblDhJPLM0peus0Yh9sjmMMSZAxJtDk2Kqk2ihT4HLDQH5thl
DmOiKLV26K0b6/B3lLOPePLCJ/qZ5kAonEOivFd0qlTUT8Z9sOTvA6diH0SV+4Cq3gdXvd9SqHDQ
oiKU6fpHIiHtmtHsdjkAJFJdex+jDSHhyqKepBbKGII4ew7n4kYgO2V3Ye31pg3PRJKkxpfeyOhU
OdGU36pabv4Sc4w4hoI6lYDniahrjiJt6rnIsJCBeUXZBTspE9jWLoHl2O3nEDRNGRv20lDJxELP
4nBNYuIvq33kivg7UayvtPZLM4e2et1NSwZq6itL6oV/GUNAULht1asGfrHh4DJJSXwvaht70cZG
XHjomik/izm+nvahtrwPu8M5Ao8m9rQY40F1wedo110dkVBmXdaUu7wey+tpjuhh6EqvlTnKH/cB
f6iYRBOI3/70+0hm1ndODSSDLAGr7sD/lzffBQRh153p9F485xb+Ps0o54xDARsO15AfrB1kW1w/
nANXGWHLVYlY3rQMdXS92QXaM5mZRLcISEfbEbC17Roq0iTwP9nxg5zMrwqlmln/ppKNctExvbEo
9mmTaiCZ7Sb7dIrymbA8pZND1XUa1c+8OCyTbqE0+rRoaZrDkCuVvptQ62Tw3nly9ADIQztqxjeY
BrMrpxUGsmRpvgh7ybhqJyuAdgRC2E53vjVwOC0ohsg3ei+yzZAVwbeS8NbLiTeuWguRQ7J/rLMr
Mj96HONIWYRCKnpXCxuzYRkju4lSRbqQGtHfjHox7SQnhjGuGftX24rCV9KL9qlSC7iw4zRsAtfJ
mpCwSYT3DBc0SPaoHIEEF/7SRPFzpgvph8JToq65VDPhSwtKO8QoedP0OoOZjfKcmI3zRStBirnF
6MOvY0/JtiDf3abNGHw3Am14Kmjg6guEp/QbymGJ5/RRdVW3Q3NXmGa6mZTC+KEyhbrNhuEHhTn/
KgyCDiZf0QNwUHzjQgS5RZUERS0BIB+6aHdgRn0b14b9RaA5foleHeUZH52yWtW0u6aQ4S029LC6
04YsfQqzuN3UiaX1boa+lu4mVULXN8m4rSUR2neDYZDrsbO/KJPdqxRuDLXw4in1r7UUJNBiaCIR
e+rgi5c8FcMb1Q9LXRG61QT9OifB3QSatohVYV+mNcICMzqjU1xVbuNxpVlkxC7QFe05U0JlV/eN
ka6ibBIo55l+tELsUvhbO2aYb121oYgu7LBE9j3paqoThtU77gy+oH0vNLNCeMkXt4YS1wmoY7W/
ot8UrImXefUoyfUkf3XSkx0hyYeAQEU9VXIQlZXaun+q04TeSwH5njAnE25k+XIyzZF0JJb12PPH
PquoQtnNA+N3aenK5Qg/hD+1vANi+fE1MjRxE4og/RUbobQScjQ+KiUJAYpKw1Pa6oJszQqlb71w
hm+apM4mq6/Dl8DQOnJtWtc7vYXoHiiCtQwLu33RK0kpKBhTRce6lVaGV5G0KwnR0C9KoAZvY6dQ
GuyLcXhs8yEZyWhT+1tc2VrjAt6Na5h6rXBtB5O1HJI42MWjP9oLozGHayUirC/Vuv7R2Wrz0GK0
F9Fkld9qp6ecNXZwbwoqvj+IRq3dpEm0uWxj9NJApwSbWHRUOj38OrTddGVnFmQlRlMCmQp04BVq
PGssBil08kp+a8uxiqRgq/1Eskhyo6bJlUWc2NZGy1L7bkTN80sFhVLu2pJq/7AD1fHCsq2/NmE7
CzRmtX5p2QhTEQZpV0qMO2VsqrgbcX5bEY9OTDqYqevaVChhFmXJM5GHANiCpBhVSf9bIMQ3iCK9
LoJC9rpSbq6GKB6u9CgSwiO4yO8aZUrvA+Rnt10ulxcp2sDDolMUbVWmnXMjIocWSleo6UrvbOIC
PxXhNhXyj6CXb7uWFl1OeZym5ZgumqRrlqreJ6igSdJNERfNpvGThrSZeo4XVxplrVqjsDdNvVUu
hri6kwKdUEGo39Moj5dh35auYo4rhYdxZVdOfmnnLRlcZKeENmEG327WK5C/q3J1I3VqvIzoXFxI
qLzjrHII0Z3pR51LE4eK8ObCnMJ2HaOfl1E2H6ZrRNHKBa+rvq+ViUpyYVahm+S271EvsBZSkoar
rIkqGmrVRFFpFMFO8Svn0h4p+FOCSezbJGyVzSSnxoOMThhALCtn8DRp03IXy5P0VZZKmkZ5YIuL
trLyX5FVfLWAan0PYNK99BPZf1GyUns1B2d6mEqzw9TVdHEQ2n70o2RWsO0EuFNHpkkVti0T6d2t
QiHZDaeQECtBPa8OjIaknWEyJwlzpF+hxy7pTOjThs+IuUxQBC/Dqd4EJfPNjGYUw23b9soGfTrj
xRIa6ZMNhd4VZXld80QNz5VBg/RXBqHXqx7E9l0r8aXsatDXaQnixjWiNP5iGi2CgY5S3goiQKhP
0KrcyJMVv05qHKz1tgdKUlExQZCvT3Z1U/kPkTrJ9apoei/DG0djb2yEXriO3gPS8dPEcBmOznad
PF5E+LS1kfGTLL+dqIGU0rJAxHGlhkjc6Yag5lbGr7XmP2tU1taNUsoPlh3310BBS4VMf6jx4UUZ
LVD91K7K1h9uTDyBESokv72/EGmxdpxBAcUbqa6s5TtJmYbH0BxsVysxBKNhKy+G1kaPrRQ0CzGM
0maYuF9JrzTrqaj7Td3q9UJCR5Wra/qW72qRbz2lKnoLvtT/TEKE+cAqWystb5JNLEax9ttq9Bcq
PLwvadL/oFGh8Z2xnljaNPlW2kVxbwLJd+UY0FISqleo9arPyPaY3zkF5ysu3HYZbKa/qkvJXZii
uGPnU3QJIr3cWCgRX9HkbvtV0zvOSnHqXRH0SOmlGdxzUfXcd8MvIr1Ly7Eyajr55A1KTM8jkMQP
ObeuY6PLtp2eGgQm0Qvzg9Z9Q5tvDb2j6SbEm6sh0xehbxi3uIsfTWD5CzO3JKRDh1tOIr/I5Zz4
wyCe2yIV+IVKLc/EaQqUXtV24JNjmKdgKFdhUTrf6bxCLNUl0z0FEb1f9b2Tf+mFSdw1ADTcYd5W
QSs655ourzX/muNWgZLeD2mXL/tJmx6isXwILCnZqCZABQT0hqss65KN1OndtygyKYU4tNo5KmSh
mjykJVVXtnwdhnkwukwoljh3p+lz15kgZEXB2twMjTy+VKqfbxGg6yFKiiiI6KRkcD9KzkVtqcOi
idGQdieJ5hMXLsLHd7DTLcRohIjH+rp6FTcydizI+601Gr/SqEkeqcd0dxOVjxtbM+rStWWCg7Ie
JWsx1jE5xmTo1o47RkPEL+3vI4BFAP1+e20lk/rFUKR63Sly7wkzDmcJXaBtVdG6IwjMRZ8Yz+1E
cQldxGZdy8NOoeG1CIfuGx0YsjvDfpqkXPJMpTIg7lZ2bduYm1HMQX5gpMb3rm/4g6bFean5FHuR
ltLjFnV9zSi1eKV06eDG5DKg+0wMTk20zDZ5kIwWNUeMoWvaPegKeBQIj6AeNGtJWk/6wGPLRkS0
AyiY0MFut2ohBG3yFHngQSM1oxZPzV1qivx1apVxF06kpzYiJpuuNPuXDKdTupqPWGXRY6HTQp7l
vx3mx4s6eGviie4d0qHuNPTWZgp7c5MFeXiRN3Gzzey8uapg8kBn1LKpH9YREIUkfhsS+TKOwK0g
HxwgO9Pp8XVK6/FNqccOuZSsra86Gg4Pcif6N1tODNgFGtu8rvLAkBdqE7c/JMpq3SI3c1zbYGrS
iqq4uWzMQn4Ap2SsfYFUgtMzplDZgUQdGzUHueYfkWN/jxyElSHWtxaN7LyofoA1kIz7PozuIJBn
lDaZm5a6E/yIczJEqTWend55UbrkdWqieFvFZvE1zBVzYUp1+oiWgeKldfKKz9aXsVNTkhOBpgDy
k6wLfny2iesJPVmkwx+asqFCEXE5fUMWb1y5jqJt6CcPIz2wwGMyq3UTJj0e/ar+KUjgPNIN5cLO
1Xpd5OZzFDk8FJpRudopa8mqdBQ2QBT9rtXLgzW9Dq1E+8wO7xKIN2+MLvxGl1pd2IXd/bDRf93m
seDPt2B5Bkqt45IG5fwL8D6KlWpJL7Ftv4hSVX7qWT0jUzLDXMhgpzZpMGkos44RmcdYyBtiuXxw
I0ird85UtGva9vSVuyZVsdqV5OWIxj8MldN4Vqe0D0YxYZBKo6VHLAl5Yzb2o9rCqFcPRn9j4YjW
ESHQro8iyRNKP3g5wODdgDAxhdK237Yx97etymAzQIi5Vc2CF+w7lUTbo0+Cr9YkJCIbouREKN1j
J+ayftRB9zZYte4FqTJs67oQmWdURca6Xcvf1JDj9WAR0AJrtdamoP3g5tNg3zFiUL6OESSYsLi9
NjWi7xBl0eowh42v0alG6lUoKzFOKvIIJgPKKwbk8p8dlMa/D8gi2bwuhjL26FApq7SPu0ca0CoG
ilzlJdZQH80bO60XBVKqNKYpPNsLYaVFdm/LpXKhOk3ygMhc7zlEvItpMnOvCXmgmlYb92aUZlRh
hl8wovGw08jY+pY1eGoQZlSS+WKQmE9rItL4kX4jutVqNMzzM/3MAcFUv40nmqYYZ1ZjI9q6DtqL
oIjpQPXQAA2XseAqkVQyJjD0mWa+GiW8GGFX+iRDih1YG5KqgSxFo9o8k93di0hHkUQMVdxv1UGb
OxBGMiSwd/Ut2tW06NHpocJCzNA1+qukKBT//xys+f9dYdigSvsZVvM+yn+GR7Xg33/m71qw8pdC
0G2ZMoO8VHhnMPDfUE3zr5luCtAlw3XwLc+Uhn8Xg1X7L0M1oOd20JrSmMGhRPt3MVjVgGqCrWQU
D5QR1Of6nxSDP4KlkYCYR/pgv2TKmB/3vhaMTG6q9Yx0IK/RXiPW6NTrdFjFtrlhqq2iJmxFNHTh
mj44o5vfxeZDycgPUHDmYcj1mVWZaWWYMHq/7JSgzl7rTBTSN7uCUPt7aI6Xk6yfoc/5AMR+v8wx
qShtL0NN7YQZkjAiYK2CnZFD2k1TaEW69PXP90Q5fS7io4L54SgDSx86y2ZPvSAd63KKGdXlSP3g
/2qZ/Rc9AJeX/tDgp3JGRWRrSYSyxehdj/05DvBTR0c9SkUDw5rFLGaI78EyI3WFaYS2fwlX/HWo
Dg/FMN2nfd27QWWcY9A9dR3AM8uMfKGUpx8D5ovIJ5mifLd0wu6ma6HLMc0re0h/o8lpOwVvxYlb
92HshetwuMy854M9WZkG3qpmT+BFgceuLfBqpjXbyCcjXU9OuETe4s+/1uGSR4j5WPiFYhMkL+U2
2JokLcI2VjEx+OfLfJhnw1hwcLCf7sVJj6e/ck0gGBR37GxqL/xJWgZ+dIbO68Q3ercE1urw8EIp
8c2pbPhG8q/STKP12OmrQBnt5edbObfO/PuHH6mV1aTvWMceS/026ELyYDqaF12YlWde7J7q6Z9O
GPd6f2xwXyPhYM3m9v1aZtmOo671VA38b2G/UkL5SwOvinrdSIuwvBCFz/QZkU21yvKXXv5j3sH3
yx/T7GsAMqlh0Hb2qYe1SriZDW4mP7W0tFBdd9X6zDdkyuAQl3+83+NH3QQpPLw6C9YXqezBtOzH
xo061V6R3akiu/0XX9LUmU2ieQm519GX9PvaDlOLSykG+nqSnD5UZrgVgAY+X+fk5T9Y5+hZ2woh
zZAwpC1V9nU2Og/92THlU36SQZt/9nL0jq0I3Gw03/7YaVfGIKdLQx7XNXBZWvBuZ3e7sKRpZI/P
0Zi+fb6/jzNe3BNkLRido1HNVMVRw1aB1ytqUjono69/LzQZtF1rXkqdcZsNydXkG9tRU7+SZCr7
QUlZzZewcq5BRpNFMv+W5OIqNZIzr+fUZYIyQpnjB4d5kqPPK8gsEy1hFLTW4tdKB3gy+FQYICgS
83/QKXoEo/L5Ucyf8vjBHq45/50OjINSE2XrPlOuodPWbhjQ6m20l3J6TFTKC3++loX8JrprBCh4
wfdrwQk+zlTIxtKy/Jd2UimEAnaLtCfn3BDffHmOd3W40tEF1gAFaqCVmL2PxsuOaeGKMo7CQFe6
NsGXf76tU58NkZQ9Dyfh6H7u9uAIrToBGcKcNb5WvgwD/cVvjQUE5MR7+ujDtPrHzALcXktjSm12
Thzk0T1powFIamIbS00ZVgNFRNlH5ZHmFLOYdr02qTJaVbn4fJenLsrhokdHShMgt9LAIhiztWe5
HK6HELi1mu7o5Zw50JO24XCtI9sAR76pZjUb9Gc2d92+LfJmI/Mqk9heUnPYOUDgWy1eqYUp/tXi
hrHnx4Um4tg2SBG8EJpEgDEm5bZVkByAVFnaqk4Zu5PV71IruktkxWMa2LnU0yL88wAHKVxGEE0F
eVrrOJLXrLDVCymmCKRqX5Lc2RDKrf9d9LFXy9IBXPMcjh6jbTOqM+qpuZxsZIxTdS2P1WVaWcvP
r83JxwH9JBpCyOMBRX3/5hnVb4CBluYygKeevOfR6eV8IUfqPVnzk0XZcjTPSeqevKoHa87u7eBB
Gr2uRhPU8MuppBKeAzbcR1Yo3NITOMeofCIE1mGlh87TtGYS56O7ijkbZEOCRaYv7uK4JcgCq44i
Rg7W3S+oizbxZpK2n5/qRy4XTMDhqkdm27AbuXdmDw161ZgnNq7RtH9g2jxz6d+DtZPbVZTIj7XV
PndyELtSGXqh3LwW9Pq8LhvOWIeTTxaoujFzHyrILB5950FSLGaEeDW69FRkX0h5lcLfhs3zML1o
0pOR569n1Sbm73hs5RkHtiC2UCkGmEdXWIaHLrLpdy/BZhUbVaujFeWa9edHffL7sgTMIzaMVfLR
Il0Bbkst51Ahaq6UlKaOIr8NQQgsIR5/KGXFWBgiRJtQD39+vvKp7WEE+MwWM/eQWr+/xv1ox3Ed
9+aytZRg2YnklnKkcsYnn/xwSDXNuofzKOs+oj94LH0UmOhPTXs7sA0CfbqqnQgAvf0g93G1kHTl
y5hZHijhX7TJlH8R0TowNGg6vK5wJxzlC6Br0KGmiMc9/jaD3jx5DBdjIZ3zXifOci+bAcyHTgWn
+v4sZ6bVNM06BKeZf1LC8DHGsH7+uU5YHcCGs9KtaZMzHr8AsCzoQk+huZSCeEGx/0GtQyYJ7TWC
NWfu5Ozgjy7+u6WOMkdaE5FiNZG51AzpSwdVQtTAxc8gzjlWl1MLMaQ0gygtVH+OiR/iwugZO8RJ
NEElIT0XbKtWtbzz0cWJV2ZgQollNNb5QIilDNRUSW+gqbF30fS9Yeq3snp3gKhDsrQ5moJX5ozN
OuGaWJOclclqMFcfwlFG/RxAPEyhpc86wAAqFrPZsnaArJfQDZ9Z7iO9o4EwFLYR2AMVSObJ39/B
QZcsiCCw2a1fezpUDS0N8oXJ2Jeb92m0kegELJqGzrKtJhtL0rZAiqy7PqI7VuZjyuBjYy2sLD1z
m068DeQHZPgpsADMuh+9jX4I6NuXlNlMU3cjHcACYznn+A1PvA7aVYgCoeZE1uwcmVFDGrPMN0Nj
OQQazDOD2t6ip0bcqkvRqug6+8xpn9wUeTLMCuzqA/11yAyXHTKTsSzL0GIat85urDj3zxzdifcB
+HcGEYNGxQ0d7arM6fQ0UD4tE2Fc8Agf1CHZZqgmfm5a5sL18YN/t8682wMjDTBFJWEmn2Es3p2v
pq/dRpns5fJcZ4NSsDFkl6JbIq8n/wz3xomn+W7to2sL8KdjpIY9alEIVkjr18zsPI2mvTXzeGtb
2Uueqxe6PYVnDtc6tWk0GSFXIKviiN9v2m87vaeGA5NZmK1oAFpuXD3DGpCSEbv6WG8/P+ST3/Jg
uaOQanByoJa09/f2W53in7o1fRmic+H9qYsJhv2/uzryeGWhDGEgY7uVeDRWgIHlL21SGK+fb+ZU
IQ5mfTAP+FYYn45LRb1SZImRk0V0lvU65PAcgBzdyAN0VpK5JDX+AbpsKYXNhU65BXDjFae6E/o5
jqITRhaqQViKePpQmR87XjNOMgotnCqAYXCrQbMWdQAdRPsMx7NwMx8kxBArZ3KoU9bmcNUjB6mq
BQ+TAaslc4m3kgUaKvEr2LWytFiCKT1HoX7y6kAPosLFM7OEHD2RqtTBhkSJiepf5pVK5YXgKhq5
PkOKefIlEiNBgk829cEbp30k9VrKSzSMFLxpWIDm7r2krJaT6v/QFQaIICRdlKNSLj+/TicvLRWp
vXuefeb7p2gNpRXo2vwUUQBf+E3Sur05vXy+yMmPdrDIkZFLssAaoRQgqulMfafEaXBR1/m0COti
8ig296vP1zv51Q7WO/pqsZTGZZPDlGjq0gMQ+ts0UgfXKIvY/Xyh06eHEguBBnoXxzRNsQyYKmVU
a4ljfOnyaV3m5+rQJ/eC94YIbFbQPeYRgsNElLoz4CCi1OvDkY+kKt+hhr/5fCun1qFy9zvZpUhy
ZL3atLNKnDf0nRDFDZ26VCCs0yTpz2PpmRnVRiRdNz9yPqaDE0g+QdtSdM21IpUocoTRD9s331qn
WP6LLZnKTDxvghM+/joShYJ+GHlVkm/dRWCAilK/ZlDkzDKnbjdFXSp2BnkkijfvnxCKgWaEGSZU
aP0dLQmJ0hZtkAE/+vl+Tt22w4WO3GYVaGUHWw9WAmETJwoHEBrFr8/XOOWaD9c49pVqRYU15/vU
OsVGNbGaC1NMT10gX0VW9RyERnfmDZ0MgQ6WPKZjD6tE1aSJ85u7tPTVidOJ1nVyrDmcrtWdLq7n
VCHA9KrGvzpTHBjtdUv+QJ0o62WSt3PvVqrhq+mZeV4ZSX6O6fQjQyMZggPXFPKZBjHycQNAsWDV
jxCqXo6dMacjrQylijXcVMobxWSQBJT/ZVNyhdqe+aAnb+fByke3UzdCFBzZPYxL2Vat9K8idm59
AWxW6d4+vzsfIwKm+EBuMC5PhRNI2fuHMA5+5as1ADNYxilrTAxnmYjawwKyiSwNPqbJ3jFz/scC
Xcb7ZY9CgjKCygQQCGRQiaZZbq6r9Y/SUejY5SK5AEIJRjGMyqXWNHAOfb7lj0+StS2IIaGz1n9j
WQ7Dd2a01MBOJH1ZNOlt2ITbkUHbM2t8fJLv1jhufRaaFShUrvVlPzZ3oeNfNT3DPAywNWb6bBL7
fb6lE3Wj9+sdfUbBEM3YKBCsp+qbUpgLuxpXc+ajTLHbA+0spOZiNCcivDPMnicPE1b3mQqWx3gc
2QJvDlvwFdwfaFC4OtKyA8p15jQ/vgd2xxXlyVOXwgO9v6Tw6Q6B0XNbBBABN20NjynsVa9P0Hi2
56RNTwTr82q2yYuA4A3W+verNRXBsd+wpSYddA+SCN+NciZ4oG5wmXt+Cbr4oUV0tQk0D6XWa7VO
foopNDw05c9815PX6OCvcvRMUCwJOyEMfSkXSrrIwjDbWo02XcC+Vq/lJmdsVeuTM+b11GnDs8tR
w6dn4tff718aQsZXgbIs+758IsbwsrK8t/3mfrD+WFodM3C41JGhc+I8ECkgsaVVGy/GyEAkDlj2
/RsCtDNJyKmLOofM0K2btHGOv2pqg2MOCp1dBdYdBa5VzVTcmXt66nMdrnH0udquo35UI2MRtjKD
xpSHtcoGUZ8wlFDb2xIMxufvfv4U70uPnN/Bpo4fRpRQ/Is5v5LBTWiDW69rK1CoTvz8+UJzJHm8
EO0ihqvnNwgP8/s7IbqgzRTAJEtdqZqH0LbSXVpJJXXwsGTMLJW8TtbVi6LXnNu4Krsz7+DUx5sZ
fSlHzu3440C3gbMrUEdFhy8HTFNCdlAPzZkLcnqL/13DOuIozkpTrZySNXRJWzBH6sKAP4CJafkX
g91aKFyl0r3Pz/Wk4T7Y2THDKYFHo8amjGmTR+ZiFY+4IsufbItsvKtcOZA9f6DV+eftDBCbpCa8
b8BBKHO9/6BA3kFfT3SIonRMt4UKepf2Tf1vvtvcErLh8iRNPro2zUiyOJWEUHqjUBbXLmFO/uM0
fN7IP0scvbmiiEUVqwSDTSZ+mlL/Ra8sxI0ZCeugYUIZ6UI2+7dANc7kXqes5OG6RwfoMBPClANb
gx7pog205yCBgFmT2txTje7759fklGGZWXBhwwWS8UGAY8ipGHchQC6K440d7Qi3C6e6kKv75hwO
7uS+/lnq+BmoSmDXut6xr264BoJ/F7fVc+vU3xrlHKf7yVd9sNTR7dB1X8qgpwJYwCSsW1TqNrad
+oxNPmUiD47OOrofsWZk5WCyiFOpK2AOPfNCTeWCpToD0zq30NGFqAom0MacpN/XU3kJCdLFEKb5
UkmdMyHX6YXo0EFCSyB73AYqIJ5jFHm+8UN2PaG71ULgLWKEqD6/dOfWsd+bCKjumAIvWKckeKxK
5Y525JPRnZPRO7fMbJcPqumpVcod1JycG7rOzuhcmGW1JTJ5+Xw3p56QBmc1mRx5yweYDr0BvWB4
lox1SO8CJGG9EVHT1C+eFTncQIlyBot46h2hqvi7UY0BP9qWr/lTQPqoQxlQMSP5VKTSLTz+tvWv
XMisxsHAFwA6JpffH2DodN1gtgQB8xhTR2BK+i3yVT1+bVPYYe/M4Ip5nn/juICQkH1DAo6ExtF1
nwyH7j4knkuh5Ouxby60Ovw+H+kk6Qw6x+kbGSWEEna8qaOzyjWnTAeqnLgLFBRoSRyZDjkMhUbB
HY2QJh6ZnIfBToNJ+fMrc/ITHixyZDp0u03yJiIQNpNK3MaJlj4UjgXjSS8Vkhs3qX7Gp5y4oxQM
abjO/ONs7WhXRuqrsmiZVugYu5bdOkdVLlXhc85ySMnhiW1WNrSJr59vc37HR7EdXoWeALwlfFFz
PoaDBygMpoO6VnB/BukCdhwYgOVtE4uvY6K9jo7xP6Sd13LdWpZlf6Wi3pEFj42IqoxoAMfQiFaU
e0GQFLXhvf/6HuDNziSPTvO0svPtpiRuAthurTXXHHs71k/tLcee9M2Yh6dMp9gpXneMaWGz6Cuq
kf9KcboMYrnQeVfZWDa7XRRtPn7SU6MevN+ob2DpyZZZY8bXWVH3aILSTU+8OmS4SS2FeqJadySH
RJXF5O6zCvNRJB3sAlYs8QFV+Xhli0P2En0yRD57OYUsLxfTFnuX+Dxvp2FP7zbzKrdKiiTjiSvS
kWzdu9/isE+ERMqMJr82NxqaBGHcSgVhEg331PFpicHHtM+/jnbiWTatYkZ2Yhkd2eC5sXMGrwo6
9EgHO4Wjunm9lBmuAkVyZWPe0NN1MzeXoNnchz//wIQoVH91ooTf6lv10MoubDAwmLD/NqfpzpnK
H6aaYRdQJ1RK3PjEsx3ZIvCcJwRDxwLP5/D7pvWUNq5YHRPyNiCdjbNy/zCVJZeA7vbjZ1unysEy
JQJbJQEodH6v+ijqmFdpHpmbvu+v3TnV/DZET7/ufXzaPdaGT1m6aDtKxMWpzX5dGL+Nja0WeZF1
Jh+2UY16q4QjGogNjrwbx238EQqjHZaPA42Q2PM8OGMTNEW/o4K4byUeph8/+5HXjKbsn+O/RlFv
tqguD4ekHqS5ydv8Mi7Nx0qrLqIwulmKU6Hm0aEQeAkENmQLDkUEJWbU9VJ3fNE0uVnmL709BBHO
P+P85c+fCdgdmG6aqlBjHiyLyplGfO9dY6MomIfFeX2/nqC20vidVIcT8/TIHv/KOCcIQ2v/myCw
maK+wzeDQ0QZPtWhEky5uzFDm+1AyDMie1zh4+Ls4yc8ckgzKF0FKhEaPXgHmx/Kq1zv4pBZY3Z+
K8VCg7z4R1fm/7Xp6cQgh5lWoNJT6HYMUs/N2VAh/Ai1P49ieQ7keDyIxs1xPVbezD5VUQTuAsx+
/OQUHEuMc6w4/o045d0gB7dtCzsy2UQMUplq601G/4znO8qS7tvHH+XIGchJryKTAR1BEvzgDMRw
FMIExjNkN5USMFDa7LUZv6hqxvbEUI1raxzcE8v36Dfi29JHgWoJM6j3L9Bmmmdi5tk0N6m3qpI/
0nx3Kq1/LJWCjyDiilX+Q+X1YJQe+V0zKIwylco+a3AfLhamm21X+Emb2VUtTeFVSmh6eKTvMa0+
VTE6usg45pBvChAyh3X5gbiyimZ2KZz1KNd0Z0OLmabqkDkybe1hqoYzDa36iXBwfaw3ezNqjr9y
OASEq+Xh4cstHSfFFooKo53KR5XWazyC53QzR89Owuil/qMucGaYCsM5sakcvvG/hqYMR5xDthxC
wvvvil/+JMKC0I3LRN4ae9TGjfVNVINXytAPJxkU5rQ33LuPp/DBFv3bsOt0e7MeU7AiPULVtXPF
ulcwMuR62rvRLm+WEyv/6EgmLcwmokuoSwdTKlflUCQhyRCB+YxRzdCj6HnIkyRQRhymP36sg3vS
X4/1r8EOa6rZDEKGTjJScgoO5VLbW4ZBvOiceKaDxfjXMC59PxzmZJQO0wdhXuMePKBesztxnhTZ
FzXPv/75kxiEZ1h5Mjco/7z/QJgoN120FqR7wmxFaz/3qnNuJHQBfjzO0Qn4dqB1Rb6ZCYU5YH/Q
MNBY/pyclc6g7rnVLl2KA/QqxjPT7/mfFhBf3yCN66TUyYeToT0YFcvEGT5lY60B01WniPuZQPfj
Jzs28d4McYinnIrScAuLIdQ8uiUCvBJjfCk6c5uF5v3HQ62/7eH+YXDXcTRuOybwsvfv0FZKNApo
3jeNHu7k/NqYHLgdIEBzdC6HsP6RWPPLx2Me27PejnmwgrMkJCpgV9lM0EsU0LPVdWaaqAW+mVK9
CLsX5+zjAY+sLVS+JCroyqf75VATFoeRo4Q2uE+8lzESmbDVcq+BopwY5uBwXWcGjScWff9IByz3
UFRcWxGzPKcAZDfPeBFtaQXDACFABRq5yonvdvSRHCRktHnATT48bRrHwgUVZASLDLPZJr831Pgi
Ftil/vmrczlY2Gm4/Ovu4e0HvWAOZQYZRGuTMwvpG6pFYKb2qSrvkY3JcFlTJOhMIo3DicgerJhJ
qtFFU8BuGt1vrWb//PhZDuPx1w/EQUXMxuqy6Jd/P9mZ1V2q9WStunC+zQbrjIaSDnFgeCGc6JNa
9r/sMuNaxKuUcv6eW+GptstD4flfv4IgE4mcSmMmHpwp+EAVlM5I101DcTmM+bmu5tuc+NhT3OHr
ootNhNfRkndPqoUUfhIBzlYXM5V1JM87rjXTiQ989L1jtsHH5YT7rYSf2nLKRE2ay9Wbu7TWHyU0
iY/f+7F1sZYOV3Ar96LDZKGUrWsvyUK6JzbUTWQP1pNl9fI7TpjxRank4RaXJ/fzx4NqR3Y2XInJ
vXDMsSAPa2uAASwjxMePLO+UXI6ulZ5NQwoNaSz4vAuGcl5oYrzjtnr0VXVsY8v+iI8z8LQgr4XY
DkrS+9w1GlBS9eTNdo3ZYubCKE/zU1q+Izs+LdAsY0CHzIvD5Zw38+A2LctZX6+LyhdRJZ+K9NmF
gP7xaznyud8NtP75mzOzV4oE62TkDaUp7tfPrckq+HeGsFGFuGuq/VDEl+FvrFhQpDZLOHT+FKKb
wkDf/3gQXf/94CKa5aDAvoOGkcO1DGVoGKKYzRZmo/o5L/LuGtlUVuMjNGA3ZsfqJ7NbSrg/6N/0
2AKYamra5yqdCnzWhrbzDacSQedO8dcocq2LigjwhzPa4JfojnkY+9aGNOQM94scNW/MJudEyfno
N3/zBAefQo2xiBlyJmil21+noSNbX+a3Rtuj9chOlfCPDUZsgvJpjU9waX//3YdOanoTkQLIZokx
v/41Qi7QVuIarsaJUtixbZZX+a+xDh4sSnJMwnvGEhV51UG39nGBu3Fjd0GvV5tIl7/wttqsZiEi
q780/bD7eHIcf9jV/AeCJIWyg4ctCw4YEAH8Aol2o0Femaq0C7oa7XLSyX9jMFJz7Oy0FJGkOtjR
+27InEwt6ckQ5uKpqTgb+YyNJfbLyQ7BY3vam7EOM2GVnbh5Edacxpbw3GErI5Bu0Q+Aixu0Ap4F
lu3jN7l+qoPrIaY1rzJZLlBoMN5PG8Wa9DgcEy67mTgPWwOYlm6cqHsceyiaIxBkr25JnBHvx2hH
Q2ljmVmbYhD7XjWuuDfpbbKxq+Z8NZNR9RMDHnsoUm5c02hJIld8cA1oJqkUZk0nHVo1/dzuQ9XX
zHw+sUMduaFxn+Zkpe2JGtWh+kGXTeNgqoyknS5kaU/PWS8DAyz0x1/o2Fxnj33tdVxlnAfTj1tS
EgNGsTf45l86HbjKdQoWwK2SIjqVZTlykpsYRnBA0SUKwPxgMDWacfdPaQ1UsxqztaxPdokjw7Os
L5j6bQwGZx6jEy9y/aGHcxCPPMGFaf3f4ROmeSa1HLfYjWkXP2M1fAoFYFBtmnbT7O7LhF6LyEAs
ivjpxOw/9gmttSfRWk3JfrtkV4OmjNHaLICRv99E2hcZ59B95uVEiebYN6SHHK4zRxmiw/W1vzmU
c7hAqcQyntwCpr1ZN1KtEMmtdONik3XV9uMZc+yp0Pe5xFgqQdFhDnAppqTKOvpvk27Wt8Iyb5yl
E148xc2JE+6w9LTedslLAexlbXMgHK60IkudWXIN3oyK8wVwxm2HkGBM8+tkmn8MRb0xxuKmG9SU
NkfE8XlruTjtn2qIP/rAqw0SSxH7ssOVmC9TF64Ta1PjWe+p8XDV6NXNfBI8f+wzUoAnzFxbC37L
xdVTYcu6poFancPHzI7ajTIP+7DECCBUxK8//4r0rrHwSa06v8UybqXkKYbNvFr8MT21s/Z1p15T
7DvxDY+8PIuGMeSKwoFuf7j6plKbs5Szj86/un/SMiOhNF12tRF0VTbff/xQR96gw+V3jRWwFcS2
6v1CGGXMjrnAMmpL5YIMk/RVgxiMo2PXOqE8sbyPjSZoFNPXhDjmdgcHz+K2HRyWzNkAY9M/031c
no14Vl1ZcMv8aiTzd2LAI+/SQUFp42+I5epv30xtyykk2HI2bk/xyctMxb0E0NXgvK+N2ueP3+Wh
knldfIJcBJEPglfbPnyZXJsFPimt2AhDhjeuNeg2juq2dRnHk81FpXRSL9RsZ68kcfZQVV3U+Hpf
NZ9pb02/yC61b6Y+F80Jaczv27mgiElU5uiU2fjd3n/jWh+TpTBjZA62fjOWdo9Puobx5zJerycX
dt9fmyy+Z0s8tQ/8ftF4N7Khvx8Z0cigj5BaXlMMahP6lgIrmbmlh+ml2hqY8p6SN/0+xdYhXXcN
fVECHGaeZFzBYku4iS5asl/LOrYeb5q8PUsj5fnj731sKPdVIwhek7zrOvneHCKORjK0NNahFjX2
crMXHq3j+F1HeQ5Arfr+8XBHsq+r35G2Ghtyzcbl8/14mdrltp4WazLF8Njngym8RZmYGOgqDO1T
WuO/EuF2q5wY+PfbG+PiGsp5TD0cQdf7cfOlsJu6z7ncl6myS8jIQ4Fptx8/3dFBEG5QT6JJzD5M
e8VtnFkJ9ugbGBs/rFy7beTw4/9nCJon3j9HXUxxTBcawhsZPlVj/l1rxKnS/bEZT8P4Px4Da9X3
Ywy9DYc7ZoxXgygOPFvQnyUWPxZV4IZfhvLu44f6fYd77afGSo64HL3HwYAGSF+JfTNReZ+DFtGi
K438VmUs9R8fS4IthGSJQchlUe97/2TomrEwcSYK9ZilL3Wyh7PgjcmpGH2dTO/vngyDbHC1cmUH
PdysQMpIw8pIXTVzig5rLSrI6kmNflqcTbntcPCeumMfmXoI20wOP40SLVe090/WmW3plCT6cbuE
ZyOQymjzH/btcDTwWGvaZD0ZOGoO3l65qGquJrTUKF37udXFdekop2xPf48V1jGEy7Vrdfc73B+A
f6bVQj5iMxZ4njpVpSNVheYMezWYtfgRU/pTucwjWyAXTd4aQRc702HBrgMA5ZYlya1c3NtdCPEb
Wljz0E1nH8/yY7OCQJ8tnT4har0Hn6jOTDlGDrquCgCBlbvn9EZ47H2jLaG/Oh6WcOdRsvt40GPv
8+2g61p/s79HldGPeVqu5+YQdHYe2HOCbfnggcReawz/xmhr+zwbOyLIw/SaAPJQKXQ8UILCbDxp
oApY/TD5cRqZdOUOnYe9aHEiMD92phBordEsofOaK37/jD2ksNywaDShpJ2gBIRQmg7LtzW860X1
TS5xC3tZBbisbTU9O1UnOrb0dBv7JVKBbMjmwfDzgm/4WFMfSBzlKW+1LtBkZu4/frPHJil6mNWi
AGciDrD3z6gZ5QzSarVtrpu826hGn9xyJZacmg18+pYz/MRhdmy6kh+gVEru3RaHh5nR1ZGbwdPZ
sBq9NH4xUiuIKzNYOBCImLzM0a/oTtz8+XMSYSJLWItizKT3z9mvnnxLFGEqKrjJFYX2fayVM6Kz
2M9H88Sl8tjioEUQ+ezqTvKbKQIe9dWi23Rc6jAJ8vXqUcR+C4Mnar9wwz+xFI/Nk7ejrX/+ZilC
vw4d2D6k/Cr3y1Abl27inKoUnRrj4PUVRWhCPWGM1JovxiL54YrhxHI7/tLQp7LU1kzVQfzT4K5g
W6sPUDPKF2m0V72sk22sGXstUc6FGE/FP0efCcE40BGgNGg03783YO6lOq0m4nYutU2fNUGJsdqJ
j3OkMoAElPuviZh5TUMfPBbQlC6JB5M3lzci349TlW+FGhok9i0Zfcm0ys2h0rbZzZgO0belGfGW
bPLmoc6F8yQAbT4odPcMAQVzK/PqHDxUULl1n/gW4Me7VpmjxUv6SJ5bbVdcukWTgJ2Zu/TEHefI
60LKRGYUDR2SokOthqCbsYgFdfKu5IotcBQtstw+EZMe23PX3DVihtfkmnHwurKZ1KelAZeS7ryz
6FrwnFEGLU7RhQV+vvwUIgbA/As0w4l96UiESs5rLV7zhC5n2zpB36wjqnY2nkKks2GUlfDsFwrn
TpSAB8aIuN814IkhBC61pgSK22golc3cbLxpmoAqNqab7hduUHfYWo6/Pt68sMNi7IObH24XNImT
I+NGcShflK5Y0P+QvlVMMQHohnSReQie7EfZ2m0HvyzRFa/veul4cZPbdyRC52+LiJsLbsClGWBW
3t1XjrU05/bgpKM/TmqiBrMNb5ZkWyHxL9aHDuycV82LAzB8ag3l1jKzmAL4MOF/kphadCYjdbpb
5jgHE1c44MEmOw3gw/ZnrrYobjCrCShMS6HC4cg0uwcyJ29JT03Xk67Om8YspjM3LZTN2DXTvnUw
4fRroxtIp5Ywr5y+/z4l8bIJ7Sr/QqFW7kc8Fu6d3C5uUcnZ3+A5TiwY0YhrThHzs25EboBHs6Qd
aK6KwFBb7UKbF/eGcuv4pOCCqfpqvQyPihVql42hqNdCcYBCT65+O89Df7eYWpz/qOOhvC6KqQr0
NA+jbQV1FPQ51dYqKEDWXheKqEHIOHFa+hCZSFJGgK/mFV7l7rWxNAGrA7NzZSSCiY1l3CwWuqaL
FO8oeZPOaQNnpFRhzIo5tnVcm3NnvCDXb5u+RsNRcd7rSbbSCMP2V8LvaXyxq7FzPZUagT/Rnrby
4dU7GQ5AeyM8BS8qS4vVQI+iblc2NoRdXcz9AIMsqhoi4Sb9jh51fBzYeoLMSUrdW3pbv57qdCbQ
i+tn0cqawDyKVc9O1ebBCPXU9G3of5swkjE0ztG6E0oNmS+ZBb57g5klzcaJK3g5mW4VvzpDqRRP
QAveF0svcq/C1vVzGWYAzaKm3zqgVvykU4sHTa+WL1qOQa9Bf4zhTbpELNLPy49BF/UNRMliUwOt
vVK1Qb0cHLOn+BzNbYs5lKVtwpLpZckxeTCXZYGzooJA82adXXfTtXnzXRtpNYYZWuyTEZ6g2joF
9ahRkfq+Kwd6V0ddPyskCGHPgjX7S5LI86G/ZAkQtlJoqDNlJb4WeZ/fVX3Pi534HcRnCrCD2GCF
CIKwNuDHnLVpGT3Huqz3vS6G1psnZcy3dWrgVwc7+RLMuU6YqRemn3VRdkGZIKYzyKqGyxndP9xP
Gi9qEPa+nkXi0bYTRKBO57TVVUxaLt315Zg1vrRCoJ4K7cX5xmqM+QlcQ/yijWrJy6PudlWFcQ9P
2IRAGUaoAqfETdKgniHdbbib3BWhkeZny6jlV/1ojQ1MuQ7OkpVN15oYNPxfamzMl5X7Ggu3eWhN
oTwiJWISLjlmudB43SjzsrhGD2UrCoi6JVLxHa/0n2IMy7UD6MUUdV2dG0ahfqYvueV2ns0LFrMi
eelz9KB7s3TpbIPO7sSw9iZzb80qWfUickcvW4lzQeNAg/pUZIneAZwlVfdgjhZQXChM2XVcWPNY
weapmj0vut2Pedu631lB7nOiGHAKoyhtcfCnzrqtXRHWCWi0uf1ZuPB5EhLkQMGWVvVE1T7Yr0x4
5ZUPDw0PnvH4yo1XqpUh37zy5MtXtny1YubXyfK5fGXP89PU0XdWJH39SqdvX0n1+AbBk05eCfbt
CrO3Vqx98Uq4b2Z9dnfTUik3KMHmGTfeNA2rYMHWoT43bVoAz8y5GNu7Nomgg9b6JJcNWdL+cwKA
CxhMOldkRUOrt7dqosXlNu6iEB/2Yi7Os6Se40sEXrYZhPiBz4FrFXAi+n6pv8WxaeAQEcbJjcRO
KbzmVtAY57okoL8XbSnrXZwL+yETK3e7qeR8ldA5/1Wd+3DeYPFfDcGopK8Axt6uNnPW5xZNJTEb
mbnk1QUcQuObZLrb28iqASMtpmUqvt5m3b4H0VkGeN9O7j5qGsHKtOR8vuDolJ5lxdAYQZ+0zeOU
6gRXsdMXhV9rqV35md1b0MAabLECLrWV8r2n4jtcli291Z8whZ+SoJf9VPt6GGIrknAXcbze1haE
/ZkVNhdqphm84SZz5o0q2lD60pjkQyodamXZMHTntO9P6O6aRN64HW4rftUt7otwqg5XrEn33Sil
FQHsQHLWlm5/r8eItHzZzKK4cPoUQlUUyZpNzNWndj+VPT9SzfXMi6UC+Mmas+l2HNTKONfMtOfA
4AL4szfjjrBYy79GbhouXhxr2taVvF+KTDCoNHjgQVrU4U8ujPa0KaK2+7R0mvJzxH9njcbk8GnK
lUJulnbKbi1jjL/z17PAhMCLywLtDWdKosTnS2PzGewovVanUIFUZqTqS5T0qSeYMV4MCdPv3Tg9
oxk+uhyUXomCrjPqnW114a4QsUYn2Ig7NvC8b0s0pTcuTGi/CsOEFxi3Ez5OcQT+uFN2sKkV6WmL
Odc7s8+N712TZ1u3APZFW1UbXltDlgcw2Vxfnc2vLVjYTW5qO1mHTFkl3qhhSYU4sRYfrEP4KdQR
vjXt0vkVGNtfsjeWT7E1Zp5jKu2voYFvWzaJwfV2MNOzOHPK54wWgpestZ1bgYfPd+CtNtCvHmNP
FOE7w17yzy6oVU/OyCEGaLjoO03zxqo765aUgbuZIMWctdOUbDs5tZtWccxL21LKizK3rTNjFKnw
VHyyN+qSFQ/NGgOJoWh9M3WXX1QUFd+ZY/0bZ1F66YQUT8rOVgIr5kSbomo6dxv5vSktKOytGm/i
cozuZJpXXpgP45VcDQ+a0Jm/a0o9+kSU8bVejMV52hnFRi2GLVjYs8IqnjsjoXWXXqFAK2X7SNZU
uWsK+5LMmenN6vQUD0noD2v2O3SlGbgsnKCoRbdhK4qCNg1zQPHRXNEuVXwrVVn5+STdPe3O8VPC
4bYbrGj+EmnLdFZnvbgNu8zaiabrziI5aZSEWs4aWhOToFJmcaEakFOHTF0B20pIj7QYvRpF5S6z
w/HWdPXlfGgd6EVz6Gbnsto9d9A6PIe+Z99Vm/isW93dJxPqm7PrXKwffHtMQSPEkbzQkqbyC8Ed
oc4Lg0NSRt9Ib7p+VAz5bnYduaERwMTksDYvh6itPRsKeZCkTHAjCZtgpH7kCWf5Kqap3MwwcDdq
xKlJm1jxUo+qHUSO/ZxbnRvE6WhBa1uMrd4P+l5LzfzCslZnjwLEnzEkViAHI9tyl478ItTnOyes
wCGrsj6bZaZfWVVjba1QMa8o2rQ3g64/ixJ7efSa7XU4iJba7mhduWyWRJoO159W1TYyB0k6J56L
1cY8Nr8m9pBgmWhTmKbxPlQaUl3C9JwB9GU5O/aODm4NEWA9UgSIssu5boqg6aQ8Z/Wk4D7R+170
Y6XQwCrGHRGcgpYwQcaVClme51kXbmFZWix+s5v9uNOSnSnd7CIr9Om6qkJmn8KkiGKqyV5UGOre
ngB6+72SkcuO+yj61RuNjSgTcVFkuPMTXmVNAPB05bdmNCMlZuveueqiXcduL66JFuxzUAzFLp9U
67xKXZX5My7PfWW0X915qP3ersVlNTHz6fYMt/3kJnsDPSNn45Ru6xkIACocOvAda96QhXa3LImO
CotRYYXCHWKu4nYLZVTbl0Uu/AU94y7Tbcmtcyx2WVZkG62Kc/L/PQ+Oo1gQxfNrbNezb1WW4Vdt
15JgmLUbB/3NcwxcAhvZSMAHNowHS67YR72nRtp004bDFjWmIi1qwGpXeU04Fs9uZdpe26yBVwoi
vclGbYMsKd5nw1xsu7Av9qNYwrPBiMqreLDyfZ6INvZqLnLeMCAKbDJl3hKZTfs5ie0H3eKG2qhV
5wtk8NyyDSxf9Lxq7qwuLv1cl/HFzPr+mS1Ju11mXJHQV7wsQzNfKq6SSQ/rkWJPnbnYWHmobScq
Fr5RD7EfJc24GRKhB3EGxbLIV7ZU3OdXFXvm90HNh0A2RCreCLq58XSjFd+lo7VnVLekV0TsnDVx
4xNeKumFzv0UMqY2T5fWoLSXNWWqnSFT4RslR5IddfV1rSzTbatFyXbpptnrJpfXhNWVH63HlCWJ
KCxnrXVGA2RhA9kViCESZTFc34Ybe9w/qXFSX/L/JedGJ8IH7HN/sKMZexdY6d4C0CaCgXn0YjRO
ft4i6vLrEm0srOluLwc0JWPp9D/dREs/RUNkbPtYyEtOPcuzSWJf17YrP41R7TwRX1dBbkdzcpZ0
YfFXa9R/vWsObP/+3/z3c1nNTSyj7uA///65JPLJ/3v9N//8O+//xd93L+XVY/7SHv6ld/+Gn/uP
cYPH7vHdf3CdiLv5tn9p5rsXxJnd68+H2bb+zf/XP/yPl9ef8nmuXv7nPx9/5nERxG3XxM/de/qi
SV2I9O5/vR3jH/92fYj/+c//tTz+/I+LxzbK4+boP/0HuNH9m76yF8kI437uUIb/P+BGx/gbJEfU
SA6SCMukRP9PcKNh/c1CcGKz+P+yhydn8g9wo6H/jV4iUohofFzk1qbzJ+DGv8p3/8q+KPRC4inH
OPxabzNCbc7epNjWuOvjpAkmdRG+G8/53kTLC9u30JRtQdcDeV0QF8IjwWHdzLkcub8ZzfhjBbk/
6L2CV2NUDo30WjtrL/XQLMEOEadcGijq73MtH65IOHXazmyrxPbAV4/peo2PFTZHDRBWM8YcsVj8
XEwZYuDeXZwLUWmt46tN4f5KJIjEs7jASdQrOcp2Rr1k29iFH+whl1Tvakedl4eqENPOMQtmf1h3
39SKa4VmKO5zFU9ztR11OZZem4r2jpWLjJNmusIPk7y4TcsUXjE9XNfzVI1rbJlE2r4xosjwJMFw
AeO5d2hkSdmxvKbs69hP9FjXCTB1zaDez93HE3Cj3F0/zGqQyDgbd8iol896No7Xje3UvwjC508q
+4e2IWAI0wBXjfILu2t4X/daR59bb7elT4V0AlYSjUYwmmqkodPSIt5tt2h7vL9lQCDC4RfbqnQu
dGsIF6482nKfqrPyotoJd/S4iMZPIXaL2D3081R4uRObT+OsG7MvYhiCXpuY5h4vBDC5bSvmhYuL
O/WfRqZiusk1Z/xJHCM9yxgyz4C5cKEZbC1DnjRfONlGb5wb0ewrm3uJ11MIvqQKjYe+gslct22i
pZ58MeGx8WAOtTX6bluIFwslgYHhhcguGqaj63VhQvN10immE4SpjPdTWBKK6XDJfavUisLLmqaD
ET4ureG5Iuv7fSIU9WeIqf4jfHqNfI4irKBUNOOX6nIMwfGyyjoYlhy6JHUeVYEt31ahVw2I8D7l
QyGMIEvNShAu6GUZTINl7l0rH8KtrrDkbqIY++zAZDoXmzmZKDnWEZeDTSYa696ISS16XA0ReXRW
S4M+zj0i8/SpV1/GuS7PlC7WVK/LF9kEtSycAlhdaJ1rsyNbD38i9y6bpmccpsyzWSutZ7NYsr2q
Zt0dtovV5dTLNFioBN6YmXTJm4lq+jIpiXykpBCf5XaTnlVziJe43hu5l9mde+2krn6fVW3Osy6R
blDwGVxIg2HWcdNcxpKYrYmpXNpuX20givZ7N1LkvatXa+qzcl8avaQreeqU7otL8PMEQ2h8kjge
bO06nK+WSo43cdEq591s5TcJm1znSWg7YKtBl/xQmtmYvM6Bcu3li1peZnykYMxL+YMfAjo7UtWb
NtFMfzTdH2mRVpusqOzLZchgXvd03sWDyC672bB+CFOS9Sp6SWK8TerV8QBDgAoPJj+OqnTwtVSL
Zx+ZuwWe3ODmZ8RVFnAX5qt1jh5eJonDRcMGrx3RwFNtpkqEl1arZY7fKGpNiaEhEQVgq1MfLayj
H2yjzzcqOZe7cslu56IYfTlNFalAUWwtOHy0Clh99dm2Bvcir7LJl6YZP5e4qZz31kIcPvTqjr0u
OxsSI95YbcwVYUETrEMuCDKW8sZCqRjUo9NsyoUYrZhTJ8D4QDmnIcj8nsk2m704Mpudhaufn85Z
fKWY6fIpx07/2m2VJohIltFh3LR3lki4psghDECbiwkbopTodozMGzJu6WetVaIXzSlcgNpwrynl
6u7Fkk/JHmlRvAf3Ou4KUyrnlRtZ+7UBh3Tv1E51gCwm+SStfEw3mjEuT1Jx2z029vFdrkTJ2Th1
tyDC3SzQYb9nnpu4+neEHO5F2aQwnyxrtm8XlW59rEHG2q9dNT8XXTsX12bYTV+SqYx+JbBa7vrE
CD/r1ZRmrI7RfZLQy32lbfA+l3rzOOa5/fXNsXzz11n2FhJMmeNdheFfZ9xBwcXMujLV0i7aZ6MD
TIEyqe0l1ShdX1Q59Xx6P5cLRynEjut/e4600zkvdRERDNpdcjVWi9J5hWDiB0kfL/txqalVRQCC
6jnVMz9te9rFRmlrmwy0zmYwq+iCRUW2MsyXdt8ZMvlhcJO8DtGG/SQb2d3qYa5JX2kW4XCgJXMU
TER1qaf1Y/ijdnqt9sIsL7fu0Cwu8zDPqi0Rp/J1xJhDQ/5lOZnXoX9oty3+obk3k4Kn574ydk4j
FnY+Pv+9ZQ/yCv96C+2MllgXXaRrhL1qd8OiV0FbKtxy76XpkoSFr5RNQZMMXqJ0NvCjGBb8iiSy
CPFMen24wzrzYl2L0mnP8boSW1crW9Nza7QDW8oP6VNedAhOtMggzGoTmVwklWtfFpyNW3sssnNN
iQeYpOX/Zu9MmuM2si38Vxy9hyIxA4vuiEbNRRZJcRBFbRAkRWJGAokZu/5v/cPeV6XBkmW7/dob
R7zHBSNsUmAVKpF57znnnhPWl/TFEQ8Y7PsNfy+744WE87mNq0lNkHwP5mUBQkVLw2qcbgGlGN+V
WinOImCEbGNkWcyRPJiICsOWsJPLXO+tw5i1clUNflIEvl/RzYoxMsqNL62MUtyW4j6tu2ZaKL8Y
5oXozG7dqnp8b41pfOhBHMQic/tuDso6Ut3CCgUes36vGercq+PhAVC3UDs1uF52YZL5DKJgzotQ
T7w7WvTywjYSjKQyj1jAdeGF1RPeMnFPl4bEfC2kQ4FPzkYVDGOHDDSSmnltaca0kb0e3VWz177L
2qoidC8qrNuC1Pgk0CRzPUZV5uNKYzvFtajW+D6zDazhluwLmVnawReafOG4N5qHmRgaGymHZnXN
ohx1hoCSuAgBofKy4wiwc2d8l8Ge2mea4dQiSMsiYn30lb5JWo0dPqv0D43tJYcynhVT3nWSc74B
NnVbRmATiJgiwb7I0IcCcEXM73s0WwTXjwOaBp88sNuukvUh12PIiEwjpphqrCiWkZZxXhRZXjqH
nilAWhFqzb0z5rVHvElnm2/1WdYf2ybEVk3TAI4XvjfUwCNZU2JSm5QfBqsA0U4YQn/1GM2xAjNs
HH/lRzV100Q21XRZl/5Un5cM0cCK4Ht9P4Oqvu28sgGFV+W5Xjaes56KxE4xLdKNlR971AKiAwZz
nCZ89IfauBYld35FBAvnqCp8O+cUoWUPwijXXoGK57WrOrWjTs2hnPparrWwHFfKNSFMLa0VyzYd
O31Vp0I+mn5dGVdpH+XY7oF681/jlRR5NS3KSg6M3FQqjINWIabAMSC+CilQdia4xiVuE4Xi4G5c
HUrOAOdTIHb9wuWS0R27MK9JV2b1rmJVNsvaD/NXSZjDtTJzulzgK2eZhzXGACniW7cbjZVSo8am
pFo8hcwqWoRCFzKYIiWWEVDuCjdyfxFWSWYHNg/pY5xr6iwbZyMKRn2et1qr+6+T5YbTBktJdzzo
aaLd9lrPVby4sXcRz4cIDHZaY9OaXbiXbaKep9xHlwYTGV1PYqiiwDQS/8wDr9pVrQDgAcgyN0Jr
ukVfuynukd64ipRRrxxSxGjlU3feMUBKnp9wu5UvtT7opqY78KKtPeO24r2btPXKz/xyTYlgglES
KAW7Hs4hw1tkoEAZJ2y0WXctrU5rAiK8JRxCndc88SJ564KAAqf4FNtoue0zGhJs/u0sXBlO+ERc
gb8RCb8CIt6siF6KPpBz3D5NR8/3QEv0cBlNRvYhQlH4Npr1BuzAKtL9IDUCwakYF1PUjrfjGF5N
cas/6CKP39qJ8pe9MVInho497r26H7Zw39EZVioZ991J9iQf+/ECywV7IzNh3NdqdutAMuwkgkQr
zDXlVRKBIVsVVWmU9s9+lognux/8LVnD0Srzx7Q5sAUTBd0DcHaqp1IztCRtl5E5Y0krj/WWKBJ5
K2F31znJEFeOM1o31izNnes02pVsbHPFvCYPYJQ6/W2tURXCy8M5OpHnrdyxj28rPQkfYseY44UX
dtXS82mEgqbr/YSQJlFclFMV780wdq56BCXM+vLMJgHzXNnB1sxuGyexeZEY8+gFYZmmlyqvo2lp
i0Ijw7Fzd2EB87UMu7S9mYw8uevyrr/yQayeeXb1Kz1W/kvdxM1aYRqLvb4xxVqgDZZ+b7SyZVfK
0p1dO3AtQuBMIHpq7KKlJ0i6zmgD+N0UBqcjWqEsik3o1UWQ+dq4MyqnWoZgSmdazpvlBK4dxkzK
mgShCNkCsRPdvaoFzzGaNshZ/ESXiWjzm9DIvds27rQsmLrKaAKcqR241BQs0jTGg6R50RcAjETn
Wm5c3uoc1mvH6tMraRmvrqsguqZoyrJAepm6HTutPZ+s0X0HjIaDN2IGS1HAWQNyWVtSy+OsFGQK
SnYpfQ/RIlT+xwyfmsWppPo/DPjgA0lWkxDflJZHVOk7xGeT5BEHYfCYEyHTPpbfoj4///vPsI/7
htEa3N0RfAkmoo5in+Glaf/+N9d4AyYpiLvA4srUj7bvpcSn5e9/M903iPg8RuAQRR5HSvjRF9TH
eoNrCCI/VIJHDMn+34A+DBL+SkFM+O0vZUARbcxsZLm/iRENy4XbD66/YhaE43SqCuc14nGfArse
yg/68eS1a6VMTpxhLhfN6XAWx3O6tHvXfOsMLsd3oatpn0Y1zGTXEql90MLjYd+eDv7iVARAKRq7
opzqQ+wlyW02DUVE1XwsHUB/BInjVrGNspnSoqFtaTf6qeSIT+WHCxAMYSFoT7pjfVIrGZ2F1kDN
cipf3LxXzEk1ZW+fOcngUeLoDuVOnWuUPm4+u2hLC4W7wMKMuOXLEIFR8wDbUr3MljW9bWX0yhkg
6gCrabkrocrAdkJzJhSpRBuSi0HGAdkuNm6rLhOKjWSXnXN4YT3tIG7aaWZ3yfLp2mpEd52kTKcs
KtmxLytXun2Q29O4MTsVLdp4dhZ6lYudG4feGbqm7EpBzB7sOpbnqtTUuPKdcmbI2ErIr+1B1Rie
saQ6DGE5Yb9ktQzZay1t9/kseoQoVlg5cmk4RcFmW2RGvc/HtFtnXUIYdpxqxftSNe1ZAyy2Z4Mt
dpFXdjstKhuDu23m77VamOfpgEkH5H/nPOih77SBmQ/4Rx5hrf2E7yLpK6lRnet6Li3QDyJLIPxp
LwI1pdqOo923Aqa83PvYk82dFfb1vInyOb6P6xwsx++6zg7iWi/dwLR6BhArwxjeDajSDkakacum
i2u4IptFJKb+HURLuqOZ0DIYVH9k04/dfVyn5bKFK9vmbhldRHh95QEaXIimyYqWlWx0tfYy3z2Y
iI+8gO56dJcw5KCXNoKEpUqA9oJmzlMsCWgpjDMUcJB0PRDcjO6nhVJ2qqkftwB3prXDKr4xL6u6
Ugf00CEVOAVmhvbL8C9U7eZPZNrFr7Gm5LICBLylf6UV9nNTEVufZ94mrcM0XuSRdFfhpFfVAlAo
2VqlYD5Zk/W4ByEb48CcwnzfDb0zL46kcrPIZSsvRGr0DbJoUL/eC8eroarNealNWrbpi1jsdNCR
Ze92uYV+CtxwXZtmem4qXbMXhmzNLTR9vOnHS9WNcwTy2kAOqaafzzEpReVdFIQYidoS2aJ2ivTJ
rTNo2dw8G8Zk6ALC6vhXklf4tqLvu5+yViwGZZ8Xvg/PYsz3SaN1iy4KAfP82L8Teps9jSrmk6HF
iEFbRZ8GchDJMmcYZsHnXi6KJrPlfZFNCFmqQjy1TT47waTnD2Bs/lmSpFFgGeFVmtWsqLiEX43N
QYfQwn4+A8kP7WNWzkwxr9naZp7PoW2vDV36YHoarUdSaktpO3Jje7V5URSetseBBEVOYqSrMcfj
1yqbFvVQ179aGRSRGbXmvktjuZs7P9/2vL6lpaWvRts0dyb00tYehMK7hjDslzrxUcGRDelfdbpu
ro9H97iYXa/a6yFKJmRq3TZELQhXiyAAsjZJx/PZhLMpIymWfh9mh9wmVn6VDmXNvOUYyWmBn6vW
Ba2jk9EX95q+adLJJ4wgqZEyJI28NlIr348synPPa9Oz2U+ssy7uPDQPVde891mRy8YuvWdnCo0y
cBi6vwQ58K7LQrjbtG1RF1jIHAArNeOjz9Jaho1evmWKI2OnnJkRLLLI2gq7re4wdEg2A4ziOd73
kNNx5hbBYGRzA/CM94Hupu5FmfnOs56QwLlSPvoeR7XVh1b59gIFUHtbG03zPEZ6deUg+Tig0Jm8
xZCl0UVjN4yBSjfeDLZgyEDLK7MNZsbSP0BUp9NCdvl45zC2qAKbg4Lmto4vi1Bjk+oqFwkheQ0E
8cEpSBIc0VT21uSu3L72bjTLpAunEoseXJGxo0RJP37QnFj7kHUWHW1Ka/au8lNnE3uVe+kLx9z7
45C98nrVFTDt9ORj0CmDmUYeGDVROVCF8tpbn0OLE6IZ6B3NiNIXifM0vfUi5a3dyR7ezZbjrN26
LB6ZgvVVUDXZEAV0tEMb4FFYMvFZm9GGj2o41yNmPpduEqq3iTIdCvrKydKgnfMBNlSObb6quhjL
YjfVOrnpaA/DXaVaEVFVj06+psPWL5BkWfeGO4DVG43IpnXSF8A5o/IiM0gM5Z0l+NcXC2mNTbuk
I1BU5rOYzUVnwAwuQrj5h4EGLWVnjIVc0OCEBxhME9S4deIdK8SfF9JI2scodjkVB9vTr7Pe5f43
HkqoICJJeGuMRf7OsuL6uqrzBpEbPhDX6WTR3Og9UBcDZGcJsMKlfkTKkxNozioAQFf2ULJVGl0+
gJ2AsSPFSuJVMsVuHAyqictVdILk9RM8752gekRt1pbeGwA/O4H5+QnYlyeQ3zgB/nwKABujL92N
o7fedZ4bVb2cTyQBGKb1mhaaby9LX9Pv/COfkByZBe9EMsgT4ZCdyAd6Jw6vusPJD0PCFOi6aeNF
DDz/akQyuW7nKl1MhJkk6zppZrIB2UMfixMAUZ3AiPEETPx/8Q1TxgjB7xXf65ePL+oxz6ef/nkk
bSnAX9TLx59uVfL0mP/0T0XZ/X09/uWSn+tx/Q2FNbMxfMMj+0S2fqrHHQhanOpI92HOzAWlYTjg
S0FuvcFW4TSUyPCecI61ekOLf6zVdWp1ruc5OC+x9VNif2GKP0PSnwhy2OlfgahtcRzI+JmGPfob
YkeBwwBcMQ64P2TttTzjzSANtJDD5GzsCia2yUOVk8+Y5rfxOKCO8L24IE227p1HfALGt5kNOeel
lX092hnFoaJJWY+6LtR2BoiCQitG62CbLrRgUQ6dz8mYjXCPoynkEtQfDWmTWHGLxsW7GU0UopS4
E99r3YvcbUI+F7oitCMLdj/TeXLhOYqg1LNxaRUalO3QekW/QNsSd/tMhCWWGspOV5UW+/OyL9mu
SbdL1byMfJk+h7EsNrVOWX9mGlq5DOvEPNBdZ7e4C+v7xs1lccNkyCyflW52D3MJiL7QYSpvC2GD
V8EdyBEJC7+9ZtYBhaGl0ObtnN6TzFXZITt21q8NvXDVPhRzSrBpojeYtOKPHK0aFz/4syllZzcz
hJZBZTrFcFb7c38NmTvsClypp42nmU21o2qq4kWLBp0ZArO3HoUci5oq0SS6D3MxPVn5heNrG8Jb
G7lx6Ym8zUCQi31t2C64fNao4bkczWaT2IDK7JUVNHIMgKgtQULag9f4hIs1WV0B8/rz/ODMlbhv
EGbDZgml3oOvl+ahszuEnP3xVau2ieRK8Hb3Fn3NszCOpZGNwfWwnFAtvqMGae0NRw72QVktJvIp
IkYE1FS4h6y1bKSPqTu8DG4nb60mL4EJI5FBZKCXu+KpeRgTo7pAh/to91nxkokuPYTu0DDAZuNT
CUex57zqqxXx4ta0SrUUS1iUQuhyqiZ68d1ZWwxxcp2U6MYApXMM90QIMF+5YOqj3JFjR5FWJPNO
V27FHRT3iYmLbt5rzmJInNdkTvAUK2JjmaZhuow6WT51wr13ZMRnrrvVWyQOznnXlk+656WXbYHn
rikVYq6ZvqaRNfxJMU2H0rXkpvaKaJtnTbJKbRfWpnHNi7bL6BtcdATumuWE4qEpTG9BwVFHa89V
4cc0ndSTDl5zSNrePO9KK10KTXGrMZRrN0Mr7MdJOpQJhtKdLbDitnc4lIRG8Vk6nPK0YMW+jut2
08xTcz4PjE7znN5BWHp3Cs+2pe8U7UbTfOPSVBKr8CJzL2JheY8e4OdGUwZQW20nG8czJzjloY3Q
ZwjOdDQhTRWI0AGW68f+Om6i7E56sBqdaJzzLLSM82ZiTZJrJb12UdcJikbNm7ugS21QZIhSwqdF
e51YmXff9sq/n+ZYXjs1sTprs5vot/LEycqt1okuCUp0nc6iUGV+bsBD9wsjQtY+T5Kyre5bhYYv
hS/PsNcwA92R5ms1lNm72CLuG7ZN02OGkF1x08wK4anTmxurVXrLVFEo9u7oPUworD6wy2i3I9q4
VVIr7cFNoscYXw2qQa/cMIroHY1sRLvEFnp+b7RueuaLcnjfqGS4nMQ0PpQiS88tsOgdiKp4Mr1w
Is8j7vtxSZU6w7935q2YGwbKMOHhKI+ruQpSbwrjhc+IxNJ0NH1YVpOhbbukUuvZoCMJRvTCG9xy
TJyPPCuG+yjmfUlY8E7UvqKDZTOrbRXScw0qV3S6k+MwrKDRG2MzTK5ZmhTjGcO/lkMctxvu0BPV
BbvGnGzRNI/HK+oPyN29Ooit6qhPG/WlTLDPnqHGdokA+2VtLouJiUFEZHok7q1Y6kCSsXZntdVl
pxtXhZ8tphb2hIG8JzcjbTnDDCdyGoQ0ZW2KB7QgcmszSnyvd1K+0lFgdmsX4tADc2yTtIovmTcp
gthztq5NZ5IbXsjsix/vlILyk7lTvPNG3KMgYWqaCiLdL32Ut7QbjgUNOVCvJpEO9eZ4awdpaVWZ
VKPwV9dRUarLmvHKIwU4Rzup/MhE5hFhROTp6paGPLxmzMZYmV2vve0ZxjvOSkTDq22PxbnTeuIc
3F7v1ugxxFkThfpLNE01hpMN1aymqT36C5/Pe07Ge0rkFnEgyEWax8M+B85gaoJYYH3O4oMWZfo5
esG9jkoDbWR8rdtlcSFaP1+VzsCS9PMRN4CyKyHjW2XoS6+v8hWBP8kqd3KSYqZUQUCgJg782BQb
PN1qdvQ0vaYgR+AbSUNweLelXKlcyndMtyNSGO3K5jk2mKfr3dSOVxUg9c2cNyG2fNVRq6pbZw72
Yjqoj2FsIQaQm3dtMS7SIj0ypmoakET2Wv4+VWESL3EalNZiBuWGFUxkvWlU/xxxRs5BZqrpbYWX
19biGEN2W6oVohbUKgjhk600y7INXOGN+zmr06tpakMRoHuRO0mBcFcUXXPDNyYa2nks1gnRpt3C
biN44kT0+gXTSCkTBu3UbgEo2I8cfODdoPdYqynJKze67oariHmgpZlqBvRa3gxngJvGg6P0jGAU
KWn2Q2tXFcO07mOmJNp8guERVpu3DN4nN0LW7iZVcTosBafhIso0WuI6NJdCL+J3nMnNDVtnjkhd
6h2RVh5yV9YT/RvoPEIIcn366NlLE3E1RX52p9NzsHN2tVhCohThwmzS/LpnLufGxJh5CMI+zN9B
r3ePYWREG/IBzIM5DQ7YJ0AV8tpWLd0Gnfk2trQi3Sb4WawLpiNfJhTva8LjLMKKizK7qSonjJey
te60hLbTMaxEYDXZCJQUVlZdALGgxy+GkjhnxKKklzEn9aB8s7sNGeRYubrLmmUEbU6gB7pm2SWO
fYsHIed6SJzFcxWNHw2jEltkYt4DQo60XHMm5kzhxZ1/LlClnY2DbhuQcc6Z76EJRX1VjO2lz4jd
XRMVto3inIyl/31vckieFWDSa/tLned30tBf14v+CSnoN6rRH7SgX2vxI6Z/JZOyvZX/3S99KfJ/
/ULfiUufZVe2R6lqlMjvuYJjeMZ3wtLTSzoJW3/vCjlDOm33Ee2p4SMd9WEXsAg8fSEdzWUJO3H6
seO9oSXBItsguO74Rd/C3/vmDv3WPfj9t/ej6vbH63z3Bn5TX4tf6LHj+4P34ReX+eY+eG9MwyRj
2sXO8vT1/X2w3+ApdJTLfv4xwqC/1n1wDSzsvE8v65Pa+uvC+nE5/PZtcN7g/UIah2t/+rzppH+5
HHxUlTiLn77+crfh83JAg/xHHovfvA+m+eZoHYS78+f7gK3IN/cBwTX8momIlojU4xc//sstB+z4
fyk7/43d4bdvg/UGisk7GjZ9+ry/3x0gIFktR+Mo/dNt+MvtDnyEWIHyqv/cahBveO7hdX1s6E9f
368G442O9Y3t4iZ8+gKS+aOr4Q/spF+PHMaK8o+nwyZ5ab4ZXviPv/BlL/7xAp/32N3Hv/8NB7qv
wNPpF4+DDZ8u/fJ10OEf3y2V0znwzQ+/nAvf/vPPb/DHP/2rL+rL/9wmQHTqOZ5Ob3f6/DI/jUvc
JOXH+FuE7uvW9/NL+WEg4+vn/3tXvurK9PHpF5f+tH7+7KXP4unpRf109ZjFbUc26fD4iz/z6Wn9
s3/mP4+SfP0o/7tb9AeVC3/yryCM6J7jX5FGfDnr/+x9+u8x4D/5znZN/u9/Ff/+19O///Xx2xXw
87n1+2/t1x6nr/XYjw/Zlzrr1/7Z9zvI8Tee85dH9Y//AQAA//8=</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8E8F835D-E85A-4206-B34F-3591758D8587}">
          <cx:tx>
            <cx:txData>
              <cx:f>_xlchart.v1.8</cx:f>
              <cx:v>Sum of TotalAmount</cx:v>
            </cx:txData>
          </cx:tx>
          <cx:dataLabels>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gradFill flip="none" rotWithShape="1">
              <a:gsLst>
                <a:gs pos="0">
                  <a:schemeClr val="accent5">
                    <a:lumMod val="75000"/>
                    <a:tint val="66000"/>
                    <a:satMod val="160000"/>
                  </a:schemeClr>
                </a:gs>
                <a:gs pos="50000">
                  <a:schemeClr val="accent5">
                    <a:lumMod val="75000"/>
                    <a:tint val="44500"/>
                    <a:satMod val="160000"/>
                  </a:schemeClr>
                </a:gs>
                <a:gs pos="100000">
                  <a:schemeClr val="accent5">
                    <a:lumMod val="75000"/>
                    <a:tint val="23500"/>
                    <a:satMod val="160000"/>
                  </a:schemeClr>
                </a:gs>
              </a:gsLst>
              <a:path path="circle">
                <a:fillToRect l="50000" t="50000" r="50000" b="50000"/>
              </a:path>
              <a:tileRect/>
            </a:gradFill>
          </cx:spPr>
        </cx:plotSurface>
        <cx:series layoutId="regionMap" uniqueId="{CFEEECFA-EF56-4C09-9020-2937174CAEEE}">
          <cx:tx>
            <cx:txData>
              <cx:f>_xlchart.v5.12</cx:f>
              <cx:v>Sum of TotalAmount</cx:v>
            </cx:txData>
          </cx:tx>
          <cx:spPr>
            <a:effectLst>
              <a:outerShdw blurRad="50800" dist="50800" dir="5400000" algn="ctr" rotWithShape="0">
                <a:schemeClr val="accent5">
                  <a:lumMod val="60000"/>
                  <a:lumOff val="40000"/>
                </a:schemeClr>
              </a:outerShdw>
            </a:effectLst>
          </cx:spPr>
          <cx:dataId val="0"/>
          <cx:layoutPr>
            <cx:geography cultureLanguage="en-US" cultureRegion="PK" attribution="Powered by Bing">
              <cx:geoCache provider="{E9337A44-BEBE-4D9F-B70C-5C5E7DAFC167}">
                <cx:binary>1H3bct22kvaruHz908EZ4K7JXHCJkmVZ8tlO9g1LlmUSBHgGSZB3+932g02vOMlIsBzNxvxTNeNc
pOyl1QIb/XU3Gl83/+3G/+3G3l6PT3xj2+lvN/7np5Vz/d9++mm6qW6b6+lZo2/Gbuq+umc3XfNT
9/Wrvrn96ct4veq2/IkgzH66qa5Hd+uf/vu/gbTytnvZ3Vw73bVv5ttxe3s7zdZNf/HZgx89uf7S
6PZET27UNw7//DS7tt1NBX+/bp8+uW2ddtv7rb/9+em9H3z65KdQ3He/+omF1bn5C3yXqGeUUMm4
JOm3P0+f2K4tf/9Y8GdKcUql+v1j+cevvrpu4Ov/xTX9tqLrL1/G22mC5/rt/8GX7z1E8NlNN7fu
qMgSdPrz09fX5nct6Kk7fPvs0B2f5vXFb4//0/1d+Pd/C/4BFBL8y52NCrX32Eff7dP5ZK+b68/X
X54crnvtru2T97fjqF03bn8o77+/b5Q+E7BnhEiOfvtD7+2bpM+QlJRizv78+JvJfNs3WOM//9H8
8x+f//mPL3+1qIc37v63g527/+H/ra27qLbPt+MTMLDKza2p1uu/Us6/hjTKnjEllKTidyip+ztG
niGVMpGm+NuO8T9+9bcd+9eW9vC+PSQj2L2HfuT/1h6+ntv6+vMfyvv/gDT0TDGiUsnI/Q3jzxjA
S9KUfnOcsJ93Ifb4Oh7epD++F2zM6+zpk2AjztsvGgw0dILnVw87wftO8U4MoPCEJEUYp/ihGCDJ
M8zAk8iUf/tY/M8+6O/7Fzzs/3Kn/063X6o/9PLfNzoijt5AMvSHe8f3bE+oZwqnEqVSftuSICw/
upqHTe/3rwWW9/u//u/ejx+u7m6idO+H/tVEKX0GOJdSsN9RcN99/7YjTIBzpw+67/803x8v6OFN
+c9v3lv+/3wa9OMU6c+E8uTaXee/ZaJ3sqS//vS3h4QUOfjqvYT23oP+AarzLz8/xSm6s21HEfdd
7p+J4Tcl//mV2+vJ/fxUps9ISgXnNOUcSYXBoa+3x08EeEBw8kgJefSBBKdPn7Td6Kqfn1J5zKQE
TwUSKaU8ZU+fTN18/IjQZxJRAiGbKwafw0d/PN3rzm5l1/6pit///qSdm9edbt3081OQ03/7qeMy
E4KZZJIwColcf3P9Fs4W8EP4/+F6r4zYW5F3iKiDTasiW3d7ekcP/4JweOK7woWwszcFCMdJ85Gk
7ANh41mcaPBQd0W7jjJTpw3PGW/nzNdFkqX1LiKlw77flW4KrNdu7kSuhH/Vs/SC6slCiPzz8PNf
VwqBzb4re9sgTauWUuTzkvy98fxQorSKlA1e4q7saq0nU8wJzzvC3llvrqd1jttLAj7/ruiSJQPb
fSNyuWt0MGvBT1Zum8iFQ5C/K50uU7IyApZS9M4eStmdNxsSJ3Eah9z2nvCey23pCp7LsSkP68y/
DnTuD3HCj8C6A6A0XdfZWFB5ObHksDeJP5nbJFLpATolGedBuYLl6dwlbxaH1DlrZrdFap3cX/tU
VmJRfuY5b+Zfi2XNRE8/xKklwGe37uPU9CBaNludcTe8bNhwHic7QKcdbWt3MvG878s+20nBsxEK
JFHCj7747n4W9eyLsehgP3H7pbbDS90Mr+NEB+gEK0kpPvqschvywqqTdSq+lRS+Jc8POJWjKT/g
xnGAzp31YiKo5nlNXZI5Wu2vSl2OF+B+L+MWHyC0olVS403znGB0LlFyUa5f4iQH8NzZmO4rqniO
V/Fi5Mt1X7o4P44DcC5LNfDSljxPG7SeN6owFzMmr+LWHYBTbPVQWFT4fKHspdib583g8jjRATD3
deWoO+KeLSavCHlh0Po8TnQATFzMGpFE8XxIhHpRymT6mlJZf4iTHkCTcbKgvgbppNg+sXm8EpzF
6QQFwCSimbcC6S1PEPmyr2mZ8QT/GrVsFCCzMlvL/Vxu+ar8dsqXPj0hlA1xbhYF4GxVL4ZymXxu
uXhdpPxs18P7uIUHqExatw908yzXPfmwcvZFF6o+iZMd4NIyQ8tZzz7XA79gll8tZnkRJzrAZbOL
ObF63fJZW5oVrr6ya/olTnYAy4026dKhleWtLqtMLcsZp/N1nOwAlwSJahDae/AnbDoMMv2aNHuk
TgJgTuPa9Z1btnxE622fTB9L+ve4VQegbJjHe1qDtkfcXM3dfIXKpIyybTij3g+XuKasT83o88G4
5qLVYn4/k66M8t80DXApxi0hpu99vlJ1Yzl719j0kYh5NLXvIyZNA1COHR82s85bTsSWZKjCL9qi
UlFJIU0DWC471hQvnc+LeT3DE3k7tT4KlXCWvK9wU3iVzGm/5TQhb6iqMlFUUdZNj2fNu6mPLfg+
jOUAAU3OW6a5flnNVRm57gCWdTkWgvfjlvfa/NIKe4EbHRUZaBqgslRpadXRSkyb2JN0gYOsavkY
aeEBLgvVF1MBlpirciHZXNk9q+slCpr0WGC4q3LakkaZAQxlmZNz3dJfyjouh6AqQGaZmIUlGAzc
MLTkY+urA7UmKpWlKgBmbXg7JNRBSOvdL6gTPJsRehnjrqgKkGmHvRqZBJfSjb48tJKe7NrEBTWq
AmQOnUR46CGoia1/68rql9mIODNUATJrPC5FBXrOKSSzb5NJL59qO8a5KxVgc6DUMOWaLa+K9j33
4u1e2ThnpQJk+rqTkyybY5w3TbYt6pbxyK0MkMlaL9w0WZ/Llb5oUpZhS9/HWUkAy4oKhWZifD7x
lme+b95XZo+UHaCyNLxPsAaNdErvuXX4YG3XnEYtXAa4hEyQKZ4ayH1G+bX2DmfWLW2k8ACXq1uk
KakGGyRLmYmyvR7a7U3cwgNcVmSo1gGBxivsLqnBOZ90VP5NZYDKdEbUVqoGE9yTW7+mNwztccCR
ASqrjk+yYtOW13JBJ4UkNBsS/TZOJQEqF7z1jsPpIVft9takUEGRxny7IPvhkf4o44EERQawHG1D
eo0hNDBGhlPPxXpOmjWJA70MkCmRG2tVgIm7CqV5uc72ZEtaHRceZABOaeqE9vWw5+vu0a8Wu/S6
KNb1PE7rATxr4XGjJu7zveMfkKjfShcHHxFg01E8177kUFVO3KleNc1GmsRV28A/3Y/102gHNO6g
FNKzN+2mT5qxfeTscMTJA7YiAmgmpF6ERsOWo1nn/YJy5NbPa9OcYK1PopQuAogybc20zd2e+6E6
xbw8RQrH2aIIICp4kc5lAqsvSd9mST9/WKGiErfsAKGlJ6Xs927L5dwnOTO7zxae3MYJDyBq0LgJ
04173lH3sR7Xvw/9WZzkAJ6FtBVZCAU/vtov1slbOMvWWZzsAJwVUnys/e5z1HS/dqR4jarPcZID
YG577VG6FxDaavd6qttP1V7G2QgPkGnRqId2B381ldNy8OnET7YxriZGeYBMulO71Ssgc9fbu7Lt
3yGn8iiV8ACZshrUIvtky9u+ec5a8W5ifZyz4iEim14o8CgkH1wCGVYh1pxErzvA5OKSpOALYHIY
yAtUoPfpFpmC8wCS1e5wOnK05XxfPkHS/EI4FmklASA7i9Saoh42spHv6lJc752M9FI8gKTQUGeT
Wvh8TPycMSHHTFfsQ5yZBJgs95oZg3qS895feIXe7OkcVbinPASlHnuNGFhgQ/v3yTCZvJwXHqdw
FsCy7sqB9Z5s+dbpS7jyfp6U7m2USlgASuGU7lADonFLftHMv1OsQXEukAWo1FXKDOEAHU90cxBQ
f5Rq/hS37gCWC5qoYNsGhwe93dh+/1UldogLwixAZZoKPXkDdep0M6+6slmyDQ4+cesOYGmBadyS
oiMQKe1pWyzPe1o94qmOan0gPWEBLIUy7d6LHdKT2tLPeikO7Yify7LLJECfMxUJoyNn7m45hYyb
TaYOKp2S2l9XMp9YV3yJU0+A0MIRg/YdzBHBwVt49mEX6pc40QFCJZr8Jhmop6zcW+PbQ9KlcaJp
gM9SzItKFVQLSzS/KkV6YtshUnSAz5rpbZo0rLrX/XroeA31pS6uLEYDfI5OTlNl6j3Xde9Parv5
87ZLtkey5aNFP2CONEConcpFWTmCR0w292vtx+myKfT0iLH/SHqAUb8pjmUJB85W4JvS1WXGFnEd
ZSk0wChr+Nq7Y6bcN82b2Td1to5pnN8KmUCepdKLFK4zoc5ZZdYMS4Z4G+dwaQDMySU16sAh5nKR
l6RfDiWlcfGNBsCklhSiakEnqy1ebovos3Ey7+P0HSBztWJf57SChNa+a9Vw3bj01yjJIQsI4v1U
SFruuVtbddYAK/WiEG5/RCdHW3vAwkmATcLWFtEe1O10NXUnZWX9K8t393aq0qo6iXuEAKRb37XS
KbjWLAbcZgvqbuZNxzkXEkDUIdHYYYX6MkHurMbqlNDHSmQ/0k2Az7biCO8dxFA11d055/qwVD6T
Iini3AsJQDp3o7B6q6FU25l3FUk+7Jv6EqfyIJBKaTxmVQuXP+3MzxldykOiS38WJz0A6YwKVvYW
asy2mm5TzceD3du4S3BKApiy1U5JkcJBBVX9kBV7+6FE9SPmftTsQ+YewHSqFd3sdrREnb5Z7XhW
eBF5/RPygXxStt0mwL2kSdJkuBI3q2h0XPqMQ5zWxErFYeFNtVWH0tenzRRJBqQhJ8jNc4fLDQrY
RU15hoBUM0wNi3PoOABolaRuqQzYSuvW5TA1DXgAmsQZIg4gWq9ymxYOzpGr4aLf1Cfcq0jRATir
no6QIlbgdzd8nYzJVb2RuIItDsA5Tdh1iwCftaLtedk2eTMur6OQeaQO381rV1QPWyPBCAnqD0M6
v1hM/TFOdIBLYRei9QKp1p646sAFrU92UsUV33EATGfo6ilcWedjYV5JN12NPNLLhnSg0lbcti1o
exD1ZwyJCkb8TZRKQjYQMOmUTgdYdV8VZx4206rkPE50EDOxabeuk6vP8QZs6G2+AIZDXNhBASKF
WLysWwyIZPtpMZmruU5P41Yd4LErJj2rrd1zmdA2g0rIxSJt5LIDQCZjB6RIzTeoKy+Hxhfvpqp7
F7fsAJBFM2GGMGC9AOLsc1ns1bma1zjXjQJIdlsiXZ+m4Lp5ctZv6fMhKfO4dQeQHPrOp2MFjntl
vr9aVk3O7eDjXAkKIFnttMYMSK75vCVVNjVblbVtF4V36DS876fgAJEMlVSQ5g/4Eo3tRdGNUUoh
IRXIV3DbO4wU0jbqXQb8+a+yjTudkJALpGoqajeADfYrv3J6ukiB0PDXe0mOev0+NyEhFYgiVQnX
Q9mQC1PuWQrN2l3WYp2+QIxN7xZm0aXcvXqT4O0gNrteYjXvnypG1othLqch41YIcrp4yuYzv7T9
5UrW6RVFIoGjjkPFORTHqzfbipIuitlKQo5RKlfT7xXc9Yi1eGn58qJM8SPbeHQZD6kjgDvcIPeD
Q6BqlUz1xzEBd5hNg8I2I23XP/JLHs4Hoevmvhl2zk0e46OtSPqJkeKC9+3zv97PH4kOYE+KRYzA
1FvyGtuPZHTnhXFxnSEkDXC/VX3bW9os+Z5+7gfxxu1x51jotryvkBXD/bRLQL9bg3O9rSdE1XEK
CWlG1o/Q/4B9n8vWvOwHChVsEZWakJBklCy6FYWHyvWaiOaEDFpnRq5RwYGELKNKOsDLtPd5Iafh
wAplM2j6iWsgIiHNSFdr6YwDrQyoaU73ojxBypBHcthjRH8AQyHRiNgC4aKB3fTAQH+bdssn5baD
IfK0sWMadXFKQsLRJIuhA+pln++r0yhfC5deQQF05HEYDVlHxZbqdiJDD00cbjtZ1kZkKd/i2IZE
BTDt0npiho99PhVGZ1a6s87q91EuQIUw3TeOiYGVozk5M4ictvXw9zjRAU73ZcXaDxMoPbVZN08v
kqGPOp2QkHbUJKXGA1BU8tpO3GZyTFmVeaDVRq1cBifZYuRJBwtnQDSU7GSFSvahSQiNSkCJDNLm
QZfCNQI43XRbP5HaZ9WI467DScg92s3e2gkqq/mOxpe4GlW2Ixa3nyH5aCt7rlploFPJzHW+wHiV
g/U8UngQShkyw+bGlucVFzpzer8ceRd1TiEh+aiUzC9SgVLWcb+ZlvZcahXneEPm0cDoYIzaoQsq
SabMrtOardMW10hIvmMeNdSOegLpmpg82eoXmq6PuN0fhH4ZgLPTxS7reePQFKo+VUK8VD6uURZ6
eu/HZzxJ6VkB/aZVOk9ZVaa3hYRIHQXNkHdUQzcbViOsG83luXTycqGRuAx5R2OBJ0MNtG3SkST5
UDeHSjbqJG7dx/B3p7OS2cHNzdKLfNp39Rxp8m5lm41UCr8v3OzEAy2jBuF9/3Fe8Ke9XeIyIhHg
chlI3a89kMj2Vb8fBD6UadxdBxFBYqu1WBDVYCeibfTJtrBTxm1cSY+IIGayXQrSTNC7BT3E+4FO
5gPpxBi5mUHQ5HtpSlFIMMISXakWne4JitzKAJcrBAfOh13kHspY5250DJipFYnzsiHxCDYTLayE
hfti+QiV/U/9KD5EGXhIO6oWvhEuCIhe5ZLJbjzoUcbF45B3pJTt/casyHXXX6BtuLCDjNN3yDta
N1XXU71CA7vEZb6M5o2zBD9yXv6Bk+UBLkvj7bx0oBOzJxdaLlPWMxR3rP2OeIQ4UNFnWDhSuzlB
UHHfuiSuD5zwAJpSlw3btef55ueDkO0Vb7rXcXYSANPNXDSlXnierN3LYk9yI+MIzIQHsKwSU4gd
OMz5AOg8OzqUEm9x3DcSMo9cae1UMVAJX8ePxYzOyNi8iVJJyDsS/bxtjK48h/acNnPJwS99F2eC
IfFIzoiYdQGdqA2Iuk2NPi5V0/8St/Agky3WSVVWwl6O3vqMG4uysXdxBs6CiKlw0i7eQNN9MqjL
Zkvfr5GTCEjIPELQgNc1zSLyZu7O6lq/1krFJfcsiJeJligBlvVxVEAv24xjkUK7aVe9iNN4AMyy
rGZXH018Y+6Ue2TzpMRxDYokJBz5BMup22DtLPlIXFtlaTLH3TwSFmATA4FeOwsH7q1g195AeXlp
0jgOPWFB0OTKoTU9msqcrPt7rbk4Q6js46J9SDuCmOYRT2BCA8b+ijJ7ucddoBAanDOxBz4GgEjk
yTi/2Lf1eeH6uLwtJB1NA+omWs8iZ5ZcLqTMgZcWqY8AmAhu2bQ61k4kE91zQid9Ovoh7lxCg5DZ
eeLItFcit6S8KOb6vdlspEoCaDZlq7F0GvJ7nryixmxZbcrpEAXMkHCEj42PRQspitS7Pkun8nwb
Rxmp8SBmLp30CelB463w9tB0Xn/edJLGZVch56jqRnDjDIa+9H0lD5xOzWu4eysiNzTAZt9hX5UI
tI7rjZ8WUO57NZuOf45Se8g8KuaFrTPwGGBkACWHSZk+Y9sUVzcIiUfF5is/zSDcdMWNl3jOmnWP
s5dwAlFP4J5Kl3BkI93qsxWZFtoK+WOntiNaHiiqhowjzxIJ1yjgEBtGq8td1yU0+zaULpkXSx+X
yZEAqkPPBngG6Dg1RXVVDWPm0BR39RayjkRtGggWRy8wcnxoxnI5rGLb8zijCYIoIR3UfnswSVtB
emiKwR5mv7O4DIAEYO1bEO6wgKR/5C+0E+99K3+NW3gQRE1Tym3koBa6CHZViab/6MxavYuTHiC1
hjar1BowSar4r0u7n/XtFFevDXlHdWIhaWlhTJgb5+5gNYFsse8ii54h8Uj6XpZg5yKH5ll/KJyZ
s1XscToPiUdjZxfnoSc8n4uZn/TEAwVW7VWcdwyZR8nYEqkTKK9UNX8JecxzweN4ZCTkHdlVJyu1
sHB+rKrgykxws48jbyXDYUSrL8cp7aGmKgTLNNtJBr2GRdyhJSQfMbsXpi0hEU1LVp4UBMM478h7
uJB9VHtR7cLDmbzYlgsMs9mK7bHGxWMi8YDXxQE8q4TPv5tK2pz6hX5Fy/I2Cpsh98j6tEwKAqs2
omhOZaVvWlWLOHWH7KOhpP3CLQVLcft5qoFAiln39a8X/oNIFNKPeLI1DVCaYYaSr6qP/d4WLyE6
6dNuWeLmk5BwIpEncNxXLehmYtA8T4x0L9LRjXFZY8hEUqkXum0RaH4urgyMffNCxeUXKAig1WAI
TXYQrZCEvjf1uW6WKBIpQUGuiyXQ4LQEnfAJXS5Q6JNFb+JSFxSET8R6084SbiWSaTMvVr+rU27a
uPknJKQiVTCJo4IBoTy3ifroWyiEpEjGDfiB9w3cL5S3JW84tO7AhYrd7HlHgPsKZ5kp0lSCAJrW
BWvI0bWkml6XZh2hhZEMUcJhsur9pa+sUp12ILxS7kQ7eqHMY9SyhzGKQzZSr+eyhGsclpcGXl+Q
tYxMN75NVJdR53CcU4eRy/cfYPPFUJAJfsta1vXLsU2WA/M2bkAMDplJXVePQ03AKD3dtsO8iPWk
JPyRTPdHCgqA2gFVHTUjOMg1Wdq3W3Uja3FiJ8Eekf9w4MDfzSqSPZTli+Piy/md6IdzhONaM3DI
HmKsSJpyOdYWezJm3UDOa5VOUYEDh7OKxhIXm8Mlz13fXqbd/ryi6s1fx40fqSRAKpC8m94LWLdu
awqkKjdkUAeMKi3+Ngn57mXc0AHVcWuhllsAYS1vWvSiTfY4UhUOOUQ1HpxbO9jMuesuHW5fCZvG
tXrikESECFuSjiUwDi7VV4KVz2XcoDkcMoh2O+3IoaNTV+ztzJtL1UoTZyYhf4jgUk2MQZnYV73M
6nn45Lc5LvnHIX/IJ+MIrfqgkmXd3lWuOk+7Pq5oiUPaEGdJP2wJLHzye1aMzbukM3H2HTKGMGYw
mmMFbyhbcuTG7qcJjBGMitA4JAxRVrTlAuPXc6Vg6JRAST730x65mwEycTV4VbRgKWNRvVma+VVf
4Q9RoFdBAIWTM+v4CLgEMsLbDaEpr6FF6OSvhf/AiYecIWMaoCMAYQWKxORTQaoMeuHOmnGPi88h
ZwjY2dUyjjAgVFRug5kLrXvb09VEpYo45Ay5YVj6wsGOOuvZyVKmQNiqSBNVbsEhaygRqDXoqJrG
DG/hFUbnAsVdWOCQNJS00zqYAiBkTF9kdcVfl0uq4kxRBlluWkICrVc4PS+DfVG39uNexZHXcMgZ
Sjxwlk0K2zk3aZ/pfe0PXi5x4A9ZQy1b7IhHyOX6NTkZXHextTRyKwN0iqSD05yEVIV2e5vRqTaH
mm+3fw2hHwTlkDRk6wLeo0Fh3SQ1l+XwS8toVO0JLsXuJ4dGoGWvj2c4pd2J7PgONMc1jhGPQ84Q
UjSRGOoUeY+Ty6b96Fn/PkohIWUIfCwS8O4okJyKz/Uob9ddfo4THdyyLNiydYSBpDk0p6UZNW7J
l8gRZVCMvK9uq+hMy44dc3H5Fm6hTic9xo3txyFjaF4WUXUTAUe4tAi4PYZkQMCPIrDgkDNUpcvi
xQxaKTk6sNa9amcR58BDxpAjeizJhlm+ix242W58M3kXdW2LRYBKVFUjVRT0rV29ZX1Ps412TVy0
F0HUZGo28F6RY+Qxw/imNtS+V5srIsWHnKFkMdgVPeilbuhBG3LZpHGFeBxyhsalnBsM3AfwJ1uH
swReaXChVqANxsWHkDc0pQmMgmOI5du+XrGpOkkrFednQ94QHtluFB3hSm5Ouqzbq5uKbh+joB/S
hnaewn0qBY03pLpakEAXCncizhRD3tAyYJQiDwufhbxyiXoHw8fzuHUHhSFuC4LGGYjNizMLylw5
zOe19PVj7Uc/CD/h0CIutpKLAqhfclo+WtJUcAPdxNpKANFdAHW6qYCN6AuVD7S8Kta4sW04pA7B
4NekZQPcDffDQl6IuUAHzJrtEfj/IK8N2UMuEcat/Qg8QVKxQ1r39LYkutNZ6qoqbmdDFlE1jzDQ
Cd4JAlMAVpUNcs2WRHaPPMAPtjWcX4SqbYezJrAgkB3YZZfATGJoOIlr98QhjahTG8wZmUE9UD67
2Az9nA5NG7nyIIxOWNRaT3ADOvBRHZBR52PdLSdRaAqZRAjuP5vUQnK7TeJkqYr6wIxY4jxjOMSI
w+s0VIWOHQ4G6z6rJw39SHO5xnnHkEnUTNPSDGSAVz7M+hSVzbt9j2vlwSGRqF9wssI0HbhKLJTJ
St10WbHFzVeFhtr7eZFpbInB6QIhJ93cQdl9OpmUjtzR74hEHvlllfAiDCHLQzqmr5CIuzDH3zGJ
BigPG4OhXCZsmYFhflldnKmETKJmWI0pV6CHNHU6ZLutTW7LJO4CFIfji7ZSDKlXEjwLW6uMIn2R
uDluTAcOyUStNXIrMRJ5C4Omr1hbzvkoyjEO/eH8IkymmXKPQTpxY4b0ctUN49so8Id0or31dQ+T
lAWw5Db/Qu5OZdrrMS4HCAcYDbyiNW2OKfp4Q+r0F6vi3j2CQy7R4FtRDsORlbwV11ZUE5TOqrhh
VJgG6ISzZzPsnYWaWbkDUVbqbXyZCJ9+iNJ5yCVK+6QxI9wPQXsgkFmQ489hdkcfh6KQS9QLeL9b
WwzHKwR6BgNL8/nRDsofxM+QSlT0qrVwawaH0JkXl3vjPitamLhTUcgkcpBcGDxDLkrnIclRN3+d
OrdHsR/wdwyiZSpdMRoossypzmsx1MDeSOPm0eCQRGQGb8ZUgfS2mU5MzbZs7SLbmzGh9yMFcVW3
wX9Qetqxy2pMf6XVEsWWwSGDqOtmk4oZDnS9QxdmINeqNJEaD7JcDK8ESvmxjoiL4vVRtOBrFO8J
/zYz4E6HU1qmLXIDeHLn0xPV15cl6+OqnyF9yNJWJHxVcDQvFnfwkAqlFg1xbjxkD3VTMw/7AH02
ralfF+1wuT52jvtBZh5Sh8pySsVe75CZa4pyeD0d/zxPCVRz9mpN30c5rZBAtHUFShI4YuVAeTgv
JmoyDXXQONlBepugtelNU8GOVsa9sWbHZ0CHah/JbxUg5Xu2DFx43EdQ2wycFi0czm3h65dtPxbv
+bgAwRIaLRKbpZbIl1Yy/NX3gkYWp0JmkWuKpR6WEo7WU/NyP9ZgCpjN9oiPPxYrH3oicv+JRkHh
HW0awio0D6P3zcgbktepGqEn1MM0uXxYPU+ydtyn7lAUksHAQ5pMkYYQILvbmnTSKqEwLbiUB3jJ
6sfBcfrIXh335KEnCyIv0tBSvDSwVz0Rn+Blr+aAcRE3+hnKD/fVRufRsrQsaO6n1WS7ZOTEprOM
g3dIQIKL9URvGxgxr9Er1u/kudgGFueYQuoRTGf2Repg6cM2ni898D0LHBd4Q96R9y1rE1wfb3yg
wATmur4BvrB9ZCDCD8AXUo8EvIY37etJ5R4aG9pcK6w+INPBle/iNLySE0ImGk5laze495gbNcaF
tpCXhKbOw7sioYSTzozDy0JYkr4scDuhOEP9jpsE95HwIg9Agaj/g7pva84Ux7L9KxP1Tg2SuIiJ
qX4Avps/39OZTucLkRcnSAIECEnAW/+3/mFnuapmutNdPXXGcV5OREZkZNrGfCBt7b322mu5Ie8H
4vOAqLfFw9fUpC0zc5hWbbpjQ0cfXGTljXCTlG9cqa92MBNhrQKBxZQmTWFqvuVmIG9slb1WSqLD
TH1d48G03stybdjFUDdvQxPC19ykJAmylq+4OMnkuA+D7vO8rW/jDYWv2UmosYLJBS+BreHVoe0/
GKb7N6VD8ID/MfQ40EqGZsVxUGXmTquuuyEqJG/i4IWvKUnmJbiLuoWNaeiQeyb808sczv98NP9x
ahG+FjVaNFlbhf/exc1ov8CISIY5EvORlfPQru/+51/yx1H/xZP7h5l1o4ZGhQGejgqWD0ig55z0
5E0FLrqGP147NBgjWh3CcphMqugEiMl9G79ttYeviUlJ2GV6MQieSczqXEP3cj/RTv7Jw/9Xz+XV
Rl1YJ5IZFlbIXPwXWqlLqKT/Sfwi9Nce3D+ftQDjf3wydca3sHYAojEZwqvL2iRmzgWXNMjtbOs0
F1OX3IvaqqYgiY71sdds0cOButm6LR/WDcqqoKvIleD/FnDtZUSak7Dp+n0VfZrl4LSqsq4ze3J6
puu+iQM1l8PagyO6wnjcQvzaQsQr9kEP5RMr0rxKhu6D3mTCd5kXS1fKzVWqoLavvsRuHfpSKOXf
L+Gg6iuQwlKbV3xsxmJdnb33q9vS71R1VQNZH6mmi153/maF2Vp0LRvFk0tIDG315RZDKv+sgr6p
YS66Tf0H9IRSf1691LrLPYnnasv5NA0L7KlD2LSly9xBzA+2PHzZw/B4U2AtagJaF2ur+QjzTCUO
2gOWeDQrXbMDPMtbWkxmqur3cNcbbzuNdPxm43Hb5oolvbjIwkiG172cCCuyARjjZaCbzt/G09gv
LG8gVhJjWRGdAapq4aHZFa1qmbu0U7aIT55QMpzqVSWWYLQnmcRdwOB9ctnQzUILh9gw1Xc2svWA
ZhoBeTan1jtyN9mwNyfkWTXPu0VzAx+Wdt328PyEFXIZT1VrdlFT6/jT3Ad+TPNJWtqupQlTwzl0
qJXx0KG3ncq++mGsyHfo30/jA0vBR7kc2tj3N0GUBtl58kHW3Vi+ObwA7mC0nsNL1/VxgSHqdXu5
STRXuiIF17x5cNLG+qaWMZdREY0wQhrybiZ6voTCe8I/KDqhHWCN2qrmKEM8ZTD3Rb3nzVbpIU/A
vbmvbUz8zdx1KA3TvnGy8J3vzbdM+2qyu3nsobjOptGcwT/lM0POE/MkxBDq4t71lQTaC+mcljy0
VcNoOeial5MZQlkGW0fw1uMohHdaH+mmCDcvN4Dm3Xw9pnS8rp2IIFRXd9lTFfGhvkh4OiH/NlU9
bfhAgWyRkY+RLhLevTyc4aDxFEjJiJ9MOatYPIab1ubAsi64AE40BQDPmi7crdMQ3ZKxI6eZOzYW
faclzcna2XSvWa14nkUw+c352MK5MIviSufOtUAMW4juP3Wi92vOa16TvAvQRVAmnA4c1gV7CGOl
TxjIRSdtmDZd9M0s2jKq/LTmhHfDYRo8++inZI1zEw+DAn1UcF/Cgba2hyGO2DcxuwD+lDJ5l06Z
1vDqlVtVxmlU66MeB2DnbtrqPHRx9sDW2JR9lvhlbyBC0VwvdRbsA+jt9yeQvszTOJL6Qtim+UwV
wV0pBRG2ovWJZ6c5q4S+HwIYKxUNgdJJubXdmOVk6LLpbly5ums1ppfzyVfkdqkUb0ojw5CXScvl
55GF+mKm0eTAP6zSByMzd9tka9wWNRH2/bIZK3KwbtPLbKP1l66aQgwpuIiUA7oieidXV42HMBjH
87q46mRb5bGCgih4DOaq7op4s1iFWNVUPcK9c9pF0uBokBUkUSH2C/76uZJD5kqjWVximQ+HTLWR
u1lnyTTUYLZpO7DE8KEw4Zz0XyP4gm0FPItRxbVqctdBxWSH2VLM3eWJtaJ/6sZam3MfUI6iL7J5
Q1ub68BXZ5q0SZsLLauiQr++L+Ol2uRhq32VY/B6wnBK2D2RcNw+2MRlH/pkTnjZxKiU8mqBW++i
Pb2PKJrPu2yYzdOLXmp8OeK3iKKX23Og6XbRpCNGc8BkeGgEZjBKZofa5vPUQCKTe7quJUwSGcu3
haBpsNaLfU+EslFBwypLsY5mkxC0caX7urZp1X1KqQ/SYtSRjW6bFIZikvooKrbBJ2aHJ06367bi
5JANfcuLdXIfR59OX6ZgjH1e+14+u4hCzHrkfBU5UWSk+4Vb7Q+rJf7d5km6gZIHodBjNC6iyidw
6rt8mWd+DyvXuC8aJVhyziAIwguGA+IIaKzrL3Qy6h1Lsgfo1CWPs4e9e8GFaeecBUEiTqsdqMmn
ypoz+iSJ3A+sHeQJxrbJhzSdmMGnX5XKNVfTA3cJg5sCw+6IK4tpDxyoEeTDl8h/iNtYP080CcO8
8a0QO+h7zN9UtKzYCGm3Z9rXthi7qNEFHzrYDoxJRS/DSDSHtU9dl2vKsUDGcVpguSxcvrGExDlb
h2wppp6vNUa15FjAz5e2xQDusoI5ro3OUzL5J9jz2Wg/ZfGGpZzNQViMNYGIZgMNkHo/B1vWXaRj
xmkO44bUnD2wDpIv3o3b5cgtyXKVbWFziBNXX1O6aHpJ3RBCWwFOI+rdzNwgzkLNq4UU+6ZtSdug
2tls2YrKRTcUAFP5Mo0sc9v2fJ8RbaI8g5Kp3AspUlOShtVDUUE9mueJ79sLEgjn8k5X440SY7uV
dprN7WalszfMw8g+N9ivaW5ZGvEzMo3gseqDOThRpZo+r7p44c96btCEyjMdqaAgnXHJzbJA+D7f
ZrisXQU80/O7zAV0uvRD6tubyadcXUdWM1M0ZuyvMxhjBFe8nfYjXbuP8J5p3MGpunKHYDDzdlvr
gN1HAV0P2pH6/bDx+YNdU/Gti8IVbd1peFCs6AA/9oEcvq98afJq9AKURt7yUg5SFwLH3nYUD5lq
DoqWi8np9BTKLlfIJ4ABTV9Sjti0oTR9bMQCkXHzxcRxCPd62eZrNRa6W+7jNXvKMlv0Nc7k1Eft
qffBxbqHnB427/giriOac6xmUlpXoWpXST7r+juFIBF2bhAVDoTOHKj9VrIgwtEggoNusmwspEtZ
mKNSQa0QpXdDCmsmTKzkmduSY2K0+5pt7TLmRNo0K6qsik+DYAP8BPxyFZnQ3gdyVXHRbyc9QSuQ
9+gdJUm8N865Po+87s6Ac+pixoxdYdiyYu3NSZE2FT/ni97msPQ8gdkhx7fKp8E0w6cII763Sg8N
VlVUDYkuIx24+h4cMhMdJ7aFfb6kJmz2slWZLKRvXVyO1CZPpMoSgO/BjPWJIyYKsLvsSD5UvbFV
uWQqGC/rdmugsic3vVemEtEBTCw55GzrzLmNDKTew43IE9ZtoIqA22jMoc6XHnUjt7mAWsXUHLnK
0isYzY0I3yJol0PcSBFdMOHIYAsRuz2iPhh6+RSuht3I+rJaOaeF72FtVOIcqe/acUjGcjCheKjp
ZNo8rDybCyMRo3oL47B8ShLlrwOZpbikydRJ923XnZc03drDnKrA3Ac8VG3usuDjTBQSYKJKsHjQ
JeTZuJsN2U41Aivbcz4E+iikTAEa2ajLER6+dcT1/X6KY2nKLK7JhVq0FAcO65txp30oyjbhpmCR
Q85vVKwfO7WOMh+68MtskKzkK2mfWj5lZ4GB8hxStLdSjfDBFUxSpCSYwFGlDHiPUn27dC27p8iQ
8wX5ZoUAR5BU1pteil5QuVvapstFqHwIW3F3XMX1plS7T3EE5EwTljvcAcxy+KVn+8WKj+sAH2LW
S/syOnhY+uqohxHQbTAkaKazGamYjSSkfYMFhPe7ObRdfFHZJq4LtwzGXs3bVLkiMTWcmoaxCZI9
G0bMrdaYHaQ2Rx5e+xMJ+3Qs2rmTKl/otqj9wJN5vGausbaY547VR70piBUvImvSizlFSo1oPjj7
faVtnOXR1sIz0LWm9aWpPG/LcaxpWAiC9BfC7ks4PfKmCkw5El7ZUtdwAMUNLeYBANwgig2q1pcT
5ArdkcWV++Yth/CNjqpQFF5hDZ4ThPhrQL1bdQhi1AeHVpt4fcimqY2xA6gPETzmtbsdG8c+DvFA
sbPWQCPJzqpgLDi0YTs03KkWpTHQjjuwAPIGexyoETnBZLLNSsbDur6vMVQVXnc4b9IcGW197HoS
UDyBjs7XHGlCVzbeV1kxtBl5tGmwKIB6IlH9MbCw78x7gdKryGLRsWukEFFTKGEw0OMWo24cndFf
bSKoQ+TJBg7gMc4a1Z7HhpMHgP4uLVCG9oeUEn4jlzWcS5kMwtxvZPL3uO/wC+MV1BY11BTEKdxg
hZBDPZa7r5tbOd3BJhwA4NLNfi1lKkz6AVPLyXRM8PZVWkwpyeovtpthuboJtH/zeumzh5jrRUJt
uUnCXQC3XVGswRz2+7qH7O3L+WXXM8Sr7FREdU/HsrWQyCtQt4aXou4XhwLOtP25g4DWIyRYeJjr
wULUchzmBYql6bB8zmi/kAbsFe/7o3HwxzwiWen1zkwKY3e4V5fBuF7GDViX1qJbzMagvYGNplre
aYvhpfO2NoHI6bKq7rQscUbLKYUZVFktZOMlQTKNxIwkY3QUnnJbTI420AKf53U+ki2BaqqXsFX+
gHfO4jMsyrvpeeh7R5EcRNv4WSFHzQokJ/Vyu8bNSu6YC2yzg/5Qxcteht0+iVLyUVMyXzeMIapQ
Mto492E3Y7CCYVq5bKOx2sqs19YeB7NIVvJI9sEpa0Dju0MtxWwBB08xvefdNgxXCjJyKBpcvwBT
aeZpH+LK1321oUbquoa17yWNO3sp+zjNPgZtHOmPjnZhckOW2fPjSjh7cCxmA9ZZO9xoN8XiOME4
KC5RGRJVjDAS6HeLzXpaYKoizJ4ZA2lR54JsHnzC1QaXQZpU80U0oJ9SbO3YDtgxg97yUcYZqMEp
uHzpBVZ9hucPZaDgRoRVFdzCcAqeybIKsIPwsmWTtJjTwnvaszVcPXoyUFXLSTLbEFlDND1Ec5tg
0WEgfdFPg7bSf82gbll9nVVFtm+Zw8o13ynFRg1fTCDbCShLxpOqsC0Nbb6memE7M754zwmR+bNV
ZpJlu+DMy9VUA5+pxSw+R12SfFzgDPYC9w91mBR9mmIHoP3k673tcNKuSBXwdwV3AWX9cq4iP+r1
lsA6s1mLDAWSG0rEgqbHS7UcWisSdb8uqTQowOdmpdD7Q3Mz20E/2KiSCbWaAgYLNMxB8akHRIUF
8iMOeNEHpzDNDnQbM49dWlJgl1CRT9IKLOOcu3aNPhIqWVpKaH0GRdS0or5xxLP6GWF27EufYS3t
Gzum/MRjN8DGIc6WCWlTM1FzbxuAXPe9Toe2MHHS1yiUawuH4pYh+KWIo9UuJqQWGZhjM9uu8FoT
cd5gA/OO9omQB+KYG28CwwgtHSKMvNB6RH3CWljBDr1tortBKIfECXBX+GxjFpFdGmJm8Qi2lNuK
qYl6986sJnQ5cvWuvViNR67ZGMLQP9vod1CGfAhCQr18DjGd8I7b2mLOBMnoBMlUy/qy1TYazqn3
4rnv18oMuaEQLUMSpxVWIYF3otr7NkwlPiWHiYAZrruB6yM2of3YhKjEcuYsP9Jk499lmAJxScIW
SeKKLozZMSXS9mrGWxlkrkYL+Dtf5063+SY9w5uwW3wLW21M061btOQhXm/pzRy5ksYjvU2ymfZn
hj4gQ8aE4y2v2z6ewAxtLYWmscGhB0vNjO3pCLFW1KmUqa8LqXu7g2CpieCb2JAMe6vFDhuGCQ0b
VDSYWllQZd3QDL55tzEMc3TBgG/3xQacpy3FNpvmvC0iNohvbcNysLAxfS4AocwnBmX4q9XaWuYw
2fL80kTrBIJjoJkwOexqk8e4NfwbW4JwfgqJMctNk2LEbw+0GGq1VMcVPsLSx7AYA+2tKRI43N/h
EmN86XjAZ8QhQiweOeTpIFTcjVIdw8R3cGK3XCesgCgG+UBCgKf5Ag2Ld4qkABbhFVMBLFkSzU84
bzCnGIGFdQJkrxM4pimWAZKEtkMBDGMS4CAgzEFBxi0V3FmHMCrHSoMgZ7t6rM4T6TdYnJO0ooVC
xLj3zZilSOw974uBG/ExgdraadbVRIuadvx9ZTlo2OOQNQ9jPSaPyqbI40moxGfMlW3vOPwncJMe
BzrUdaMsdw3LbhNXiU9paFtSBl71J/yS9ZatLNghsKo7VcuZIllafFfYiptDXC9zeOrkCmp2xLE0
ikHFcEKRDr5Q+w1pQL2HSvdQ45yzMOPyFULmRTB53byrXxjFnwY1IM2haPFE3zHvWzfvOvD2kVAS
nFKAHDlPClEBK75W2dxemhXVk7QB9IEEHse4myap+D3UdkNfpKjmPOrWwPa2RF8+rsrJoiQYscAC
AjQ4aKc8XgCEFtvSdFCzBsCXx2LZqUxf0zhd33uq7LFuebie51r301ezhBUOi26e64tgNR3GK0Mu
WOZyiVmd2yVkrC0yNXZjHqXAHm7ZuDZXM2t4WNTzkJ42vgTVyfQLhMW1qmrxvqthy3dbcRFR5KjE
LYUVdX0XphSGVJmx3XVsHIOzSVvp9WoZ0/DERg+cq6KRLVB3Qb4ornCQzijx1G0fRfwL6dpWlCpF
ZpLrWGTvYOCuLtBjH6CPZd2ELNOJ5QNgxh4N0gATtCiIpJ7PwZQm6PhOfn0MtfenKpg2lrdZJa8H
p7vvLUYTx76AVjKiRbW2W3fuHGrGs5t4BlRgI3YpVrVIQFp9G0B1KsY7O3DZOtPk0OcR1bs0rgd+
DmQgLtpBtb6YIrUEF7SydsDTTOdnuBOqOoeaSpPmZIvW8RBBverJ8mVxBfK46kZQTy+jKruztgEr
FUp6fCkRNrcrw8RAL1t0z58xoZ/ecSgbPK0cpcZF35C2Ok6kDeNDGCWrPcA/ZppRVHtxH2Pu8S6a
q2YETpSuT5iHTD/S3vcXamb9Luzdfm3GUx/3Xz3DlsgjY/zHEGB9DlQE2RpoAIicOryuUZXeMLRw
YCVmwD3YOaRPHxqyLacRZ+cdhnNMcOqSBSh/m1T+LsoA1jmTxgIgQNZe1MPh67D5fF6BlS1R6Mv0
MGfQrCiSl2ZGQ2T9jrZ185FwLC7BRQ9SVBTbA0wpMe83gRc5FHOn8Cok/I2u17ql10m9rZ8r4NTv
u7gyN8CbZnLMevIhAwC6+ul7XLuHrW0JeiNzXV/IeFMDUOsYWMPYNCe8mCAfDNxbQNDx3VrOZvJd
jscfv6+CbXFlguR5KmzQCpCQABN/ZxuwIuwGhjYKLCKz+wyl9o3ILL8JgJUanDprbQBkjQr71Kzt
nQz94vbbwCK1a8SK1oELo/EJ9jAhxcnNGBpMXXBHsmA+gR86wzOm8sBi42195iuQLEC+azziSOj4
9x4Sa9+i2En8aDI6VVSIuxX4UeguAUxv6Dtao8eC2T1vn0badzT3PYNKQjtNc1XqLJVTTuu4WpAc
rsulXRYhixgtpgfQa9iyX1zQ1zeLNf4TUO6h37tk5M/YWPSYJNt1DwgRwBNRV2ybnMqTgdmbMcnq
K4Tr9Ivq4HL+J3SOf9GRfK05AMHo2QyxAN8+dfSEodi1YCx7m8BO+Fp1oA0BiFDVg4qCJR44pFst
DZ7e1GN+rTtQi0GMTqJTCxDmKB3CEaH+bR404T8JD1Rw8eMQo9+5hRTwsr3WdfQmCjVqlB+7tCnB
BK9mL/e9hRi1ETWFMYp5m+Bj+Fp4YI6MTnWLSYF2Yz7n4DmTtXobLeG18oDeQgQtCeWBYDYPcIe7
0SkKybe9zVcMuG7rEwAU3cuwjQqgrMt3Apj7nxBMf2UG/kFn/LVXySbmWQoXYZa8Az5ytHXo0zzI
miA6dMBbbnvgEWuuM/BRCt6I9H0APR5Xkhi68vnYqcYCLnsZF8ecR0f3fqjo2xThw9fKBaOLhDbw
vd4Bl0a4GQa6E5sN3jROE76WLiBMr02FhA1IfEX4USThdkHRqJJ/8mT/Rfh4rV2AgQuJ7iBYwd4n
92F1STP58U0L4rVuwbpKQHzNBuJgZPKtTm6DhL4t5r0WLUAnHjNLPaJSXVdfBo922cT/jJv6rx7I
q91t+7StWINrx3X1aPhWyPRtLpJh+vIr/4EmLYxoY7lgizRB/ynu0PSv3ae3PexXnBqGk5xB3AKa
fD3MSGKfMDBGnt927Vc7m81jkwF/gK5AR583dKOzkSxvixqvbU7QZ8dM1/gyYZwGX+BzOJekbqM3
8SjD15oFqKGXjsWYMYaAkywloJoP4BuMbzsGXusWsGhVNTUvi9CS6pIAFBvY9taLv5A3/2GpNMgX
fKc0+MTWXCerLOhg3qSABJGCHy8NudOwEgnm/6J5+QAQu0iW5vFNKyVJfrw0n0EsCAhm/6ppZbdC
NVHut9q+LaC8Vi4AhyTJtqaBUESg+c6PwSmVzdtExMLX0gWxD9EbCwdozzF0AVJf47wAgvO25/Jq
d7p6qdINCnRgj2Yf3MguM0DBb7z2q93ZLTCXQJsFZ/pEj21qd21P3nb2vJYucMk2VinHbaNrsEcL
/1Om9Oe3PZFXTLcJCrBJ/KINmTK7FZ6p9SiM2co3Xf21bgFfwcKq0T8GPpAZeN5PJYGvyp+cmC/7
5A9SkdfKBTEQQ6hOY5yr9RZVSs0qeAFP4QKOGhtAogGAKtVw7BKy/O4C9+9fl/+on/Xtb1c3f/lP
/PurHoBOwV7s1T//8qA7/PnPl5/57+/58Sf+cnjW15+7Z/P6m374GVz3999bfp4///APeF2D6H1n
n6f1/tnAyPPX6+MOX77z//aL//b861Ue1uH5l58+fwOZqRRmnsTX+affv3T69stPJKQY/HwR3Pj3
f/wlv3/Hy6f45aeTaf/21+5vf/3yt79+++Offf5s5l9+StnPjLEoieM0ISl0zHB0++dfv0J/TlO4
/iQhS+Msxcr66d96zCo0v/zE2M9p9vIVDn3DKKQvo5xGA1749UsRVFxAh49BCgBPlf/0X/f4w6v6
+6v7t952txo1t/nlp195uX9fL7g2bipG64WAuUbj7HXZQPwqh1Rxe2hl0B3CemuO6I86oBYNuxKa
fGI+ofeWgrnYDOhUBUGqyojHy3nglPaFzSgvBCP9fZi2JcsyftOMDWAbzIaCken2pLGgdoMierUN
2lxnqSC7Uc/ifiVmvIowZg+GPxiByRCji5NG1Q5sQ3IN82n2FDlxCGn7lFK25Csq4oJ1KMiqcHmc
BvNJJu3VNOnpYrBRX6x1N+QoPB+BKTCby5o/cYvSO/aA+cFwqA7JSs2NHexSuoT0OToCV8bHT04M
55e/m4h1R8YImHdZ0OwwKQU6lprfs0CfpGzTcshS8yVteXuxMBmL/UKD5TRvvS/DaYvlHl1bNOtf
sv3PTU2bA+g0/IqnQ/RYp4AJM2fja1k1zWVKh+G2dSS7mGZKXxB5Sr9XYuq/gP3Wg1wbb/yz9HN9
DTa1eA/YXxa6nb44G3CwjyYKoJcvAnUeSWv6qbGwxqhEPd/zrJPlsjL2Wzbxv9riV+LrpI3+Pv//
s4ERv//1Bs4/t/YrPAHnz/0f7F/86O/7N/yZAhqGXDVjNESD5b/3bxL+zHlEUcWnGeRP6csU4H/t
X/pzmDKeZvAVQbuSvcT63/cvjfBTMUYSIkJCgnSb/m/2b/wr+/rvGzjJeAhcicGDEzaoaKq+VpAN
cchWJgGk8BvIWYEGNeYuBoPnM1gc1XxVtT7i7+Q68/mwUFpD/3GlM9tDySEzJffEiQdpMpcVKvE1
KUFZ6NhVq6NRPcAjrdZzUUdBPZ4w4wyxd5SzXdBnuTZhvF2B/gUGFj5lok5NDaDvIujHkYM4xMma
7OXct9ujGGd06RwNYnmeDOCVckNfB6DzFOM+aD/Q+nKZ6g0sMR0zWt1oNNtcCbfV2H/uYkTIEmSp
TVyCR9YCFl9F1k3giDv7kARgJ+wga827+oUCppy7MEGcVuh8O47920TrjQENQ5ddkAD0RySgCzgm
fHJnHcJZ60Zaxs17wSg+VMbQyT/4pjLLZRVKN5YRdCPI/sXjby4CKubDGmx1e5YdEuGHjMFcaM14
ow4DmcP5Jmtiq3aVVKTb2a2CMAzU1Mfb0KwjQ4O8XVlpTTV+Y2SD9fPQc381hS1QPbJ0/KZPqAdq
viVgaA3xylQRMcDwuQ4h6nGeAH9ez8AAdZqjG/l+gie1zUkMg819nUQgxpC+g9Pzwgn+vwEPPy3C
pEviYrMWaL3OvH9uRG3cBfiCMtjJehHqEGIgdL6puA2aC1Gva1ZGjcUMlB2ULxeLicSrQc9LemqW
IaqO47BYiEY1GQXHpQrN0b80VjGQkW7NJ/D6sKJG13cHYgJFwJlb6yCfzajlsSUQsDmiC0xLWICi
qdGIkY7v+9m11UtzPCyhEgc1J/iKtObbujHQnIiN5k92c6ov/7nxb6qgXfN4piGatS+dfxDGmkNT
Z2tQGgxEifv/9z1/mUzwOqrDpbtlyXY1o5oYQZfyzW5eqyTYtW2X02qcABk3FyBIKsDwWsIGUfWP
kRjKDs/G5jFwX4lRhw3E6SkJkmE/gKq25ehUYxgCTcG4Ofiaqk+eYXOgrwYSQdbU8uuio/j8D0QC
3A2mDyY4i8WFD5f2OZlTjKr+xiYIOCHzHlKH0p4luNvLM/g8Eg3tZH5knTkl7fyMfuAx6Ue06iJ6
n+rwMcFs07RnzeQef2MdgB2TfJArv4IiY/wB5CxwKukANz24M6TgWmrH07sIxxIBfNeXNMPxm6OA
prToVCBFPumtvRxV4HcVJMfQPBpBWrzUE7ZbE83q++/8hGEJwRuFeylGMPJMspdG7NaSvczwCX/j
K4AvkKa5jlz1JLr/w96Z9citHNv6F9HgmCRfq4o19CR1t9RS64VoTZznmb/+fJTts6vYRBHb9+Lg
4uL4wTYsb0VlMjMyhhVr+eEXKRGevDFxK7sIbAywaU9umpucMPveFvpt2CqJAf7G7Ku93ttxAFSZ
73Lvt36mOCDpleqkdUXnH+TcbKyfJd0czfgNNDYp+0t8Q872AX6UVPXf+IZGYarDaWU5r7ZzaAOQ
Y9vfI51YW2ATz6ANVgIe92TkXLTi4Rqyoa3yINh7gRbZnwahnEBjsV11YtIRiST3qNMo2vhEdi+B
jZeyglgDIFsw0138sJP2o9JnJ3CsGWiocPwheuPQ9EX6K81Br0OZgoMQim7vjKraZJ3d25umcMVJ
9UqZ5hCNUHoS93QNBffLLMGC0tKJD6puh/e61eWf6GsVjkertO4LfGRmPJpNkT3nhRnfUNW4kQDr
OCpAgLbsrUdVZWBU5EMNcxCo2TBvd7Ymef1GVGrwFX1g62M3wBW39aiy2M9xDqMr0Saic8zG0IJT
pKYHvSnZoOJ621QOpjKYm6IW/Ze8SJXdQOsdR912R0stjFNfpSN9cwBkCk+CqfyK6vA2UTX5WR8B
XnzwKyF7N4PQwm6XG4y4gLvCMedxbH7lKjOdVGcfVdP+WJn46af/EOhhRtno7jkjHTh3iy7eJdBD
7wAP0FcGv79zszLQ7v4e3GNqr8iEu5ESL8A9Iq3q0+eyLE10Tf4G3EP3bd/fjG4JoNUPaAffqoE6
vDaJ4dPaugr3AFjnPqieZh5W4R60zeoO+aXWze4u4R6xngXxxg/7Xt0YhkT/7X/hHv/TcA+tspoP
gRJ15u5/4R7/P8E9LGgtbtumc+Obvwn3cF2724OX9j6qesUL+z8M/PAbNbzzxyTN/i7w4yw//Ffx
5KJYclFbI5/TVF5UWFGnf2liLufaKVYKmivLnQH1cBeITcPLyHjHphq+DsV+KL+a6RpX0FRS/yu9
+7dNYVkyJRqyu1ldXEWeTnETbEbqWB7iMXC3sJKDalDGR5DF20g1GWAt18jspn7S3CxGNd5IslXw
EPz5WaU/BnDTREqfwwYf3eWF5rjyXeL2j9c3dNGKraAmowgVxM9sbtk3a1nKqjF3XLMqtrprxRtG
BSdqpzUF0T8/+N2CzkzNCtKpp0EC3LMguL8BcVADAhf5wdbMUwE7w250vV2idMbOhVqCb9ow+eO+
BML4kYOour7qWbv4n9/UlA3DUGTDNCksXG5uZbpFFuV57iT6hGWMXQjsArkkUq0zbdtlpbVXOl3d
M0GobeTCszdG5v1sfH6n3yliE9hayTxPrvXO9V92WTz+1w+D9ZbiIqULAGWXP6zJyrip9CJnKtR/
S2rxDCK72NV29jnw9Rsplv4eRegfg9QvFM1QTZUaypz1Y0D5RlEjDJoc5R5EVMQQD4Ddlf7j1OGZ
fXzM6KZlgXmV1XmLc2RSKeiLKndGhp3jXD4go7hRzae8XFNmVKYWwTVTsy3M7LDSI6PMnTZnrqEs
Dt3Ufif97gRotEHaqlq2TUZ9C9J3pdfy3rYO2E2AvqZIIquUnS4/nx7T0oE9s3dS5ZecUc0t4uMU
Jarei1T9Hgp/Lyd8TtLQ68fm/eWaDFPeFhTBqBrNP2NqMUrktVXvmIq6SaUejkppM6j3bh/vsuBQ
pHsLcHdkvOT5Qfa/J/WKH6Gadrnpk31Lw0VCwK2KOQUns7udMmZ5jzaLd+oZQsKOntwPdvokVe3G
rgYGF9daW+8O1czozKNAs0bZu83Yba4uHcB9rYpT1/MapP3KBq+Zmn1YBSRnbkfkpEVUJ7e+Ouib
MmDUD0z/SG0+W/OW7x6daWk2XQsbpI9pzuWoEV0o65EhNodE+U4O/A0CWDu+Iu4JxVcPaNzvlRP0
zvNg0ZJlVVWoZQIInb0EXmTQog2S3hGScoOlTE6PvdsiXlu+xLWy1SN5MxZ7EYYf+Q+5/MBhYmJj
+lGSm92O9prCytKROv9Bs6/bU2WrTI8fFGQmw0rdvdVqO4yq2TdQ7nGebXVjBTeyZnL2lfW0F3WF
IIijWgwsMnmfqt9bxnQyqWf8mrSMUUkGg1Z2/t0bPNt5Ok3nL73S6rroGN5zmpKBVlk65QKSz+oG
mRlmdmtEjkoGc+7t6nc+9lvBe9BTcZWGt8B/vf5T/vBZXvjOPz+FwMqUZaECWbz8KSFDh65fphy7
BKfVD7cRMGCDAiHVzO5Hp5xsLX5t5X1qfJ0OpclQTcN9073yJrPzQ9IV24icvgLYOx2KrAz/rKDo
jIeGBpLkGzeWjciyUm7r7KdUUh6Oy5Wu9B9NxSuLmHNrx64xFiWz4U4LpHSj2o9G4jGRGdxRS3io
KfgJjjJnpy/FbrpLK3s4fa5r5ucXybJBh+e4wnJsP5tidEaNb2n1p0y3HVVx98rwYnb5zmNX6/q+
C6lLNswI4DCNO3MId9NMUsg4aNsXhxIIpOLXGz37JsvmrlqTjV3yM5b83x98zp/OME4yyVRTa4sk
fHfm8GWlJDl46rMQPwDzr8Q3f7Q03++OCf/O1DdR59G0rxZ+V8gc9rG6jwu4ZZhtq7IHm9vFGvEs
vvYNVPymHOW9KaVr5pc/zl/mp/04i6p7gOBlaIZ8HD++qd3vZnVI4R2Yrtp0qbjc2ahta4ZnhuGl
DxjtqB/NbgUZtLwJikYF1FZx8/PwMy5Gv2S8rnekRPniydx6HGmOl8usj3jWmqvCDyvTfQX55C7q
fl4/oss3RKH1DJXQ9F7Pjqhr6UZR97wuqSzowaRHTClGCn0HCEjxrJX3fqJso9jaMF21WzG+eOTo
2ZFtmIYu5sDkEpxlHigcOcmU9kX4oCPvEuBm4KZ5rZThWIo3IhZjCLYhYyfMH6UOPy9vzLugkW+M
VsDaEmfb9Td+8Wz89cPmLEumXJcUu3hwal+2HQ+diN0gpcHHlfUvhRIWn56GIb14c97vj+UyKNLx
Xw+tp33PXH0jSvNhCO+5CI2W3GvdfdcdRL3XIsXBKdAhfODhG8rueP23LKzY5qcg9sLoyPRfLm8D
fa+YErzbO/lgnIoiu3Pdv6fZSX5Be3YaxCHVsmxFnyc0fh1nahf1BE7CjqG3sH9nWb6yjIXoFyME
neYUuyDbM72wZ7fap7GZykXDrU73pvy7NTvYqr4RMpiNvsOndLAACfdPwECpfcsQ7/V9fH+kifZl
yIRU4CWcoNk++tGAynTjDaSTdrulZv8Jgpk32PQ/54O3D4fijZrGGqXotKhLTzoZpUJgEfTL+vyt
Zmi59fIuGByoxu58w3oYke3Y1NrfU0T85xdUNdAxqm4QGMwPiSoxeiE3EDQURb0ZIv0ki/Dp+v4t
5E2sRZiqQdJEQ3aevlShpdGaJX3RzeyhHPKNWr8k2Q2z/hv8IV8Qrp631chr8bOdWZ1u6tmx8fJg
cF0xWTWSD3mk7/laN0kd3k15xNC0e+FFz9dX+j7CZKGmLCxBoA32YGayph0cFx2ed8rTWkKnULH2
dCs3bvT7n9kZPvi6ycVV4mcEUCWZHH92OdRQjXFCrBJFkB1j3w6zIB9wLl4f7mE/+UkAf93g+0yC
NdpgIlTgkoo6vw110CsQs02vSxt+DIJ6Oz0tk08rv0aevhLtLd6CM2Oz1VWVUme0U1mdPBy9NHFQ
Id4yh3W4vqYlMxo+BtSIZQjU7i+PSssdE/ow9E4WDD/ifHzNaFWZbbXyMr93yABczszMjofPUEkJ
E3zvyEn2msGmQa5+fSHT3zD3GhoFL0OjoMlaZtUR14RYoAXM5UA+9xP1nAfbKk5MvjPACE3edVuL
qwFvZ2FHBx4z2zQo4ZoQKhoe1GBk+FGY5aZKisfrRpaON7ggsEGmwc7N+TpzM03qQnQ9c5HDltSk
G/Jbb3xUs+JQTMFzsGJvcQOBE2FJJYB699bQ9lX0kLcmjMQNciGfc95v6Bk/M1q2crYX4jSOgyUL
barTgXSapWOR21tSY+eDI3R5O6ViPemgZvlgTtINXDobqPa2uMUyP6w6x8WPZ5uWgldmmG4epoWM
vTEoFQ1O39EQDPtagQojGVd8xUIozBL/MjMPugoN0kyrZqzVdMsjE8dTpksqNH3I8qthFM5Ud5CH
F2N44Bm4fnSWPqXOVKfF+znBwGZ3wQ+Toa2gL3Igofoiu/KnEqGB3B5uYE05XTe15BN1FYinLQuA
avNTk0CgyRBkNzgRdYsij8INlHwP0xujF+PRzqLddXuLSzuzN1taZ2md6k/2ALLeNlnzUBbu3tKT
D4MUrAyNrZmaLuj5K+qm+ZiCb3J8JrC2sq/cNH72TZXrA7Ch/+DynW3jfCyk9SK/bvN2cPLKuo94
Ku2sOSZl9iWXqpfrO7jkV3TmY3TL1mye6pnzCmEEFEZeDrAIRNvYd7cBeBpOJq+0BQukkqxFyov7
eGZw+vOzfXSt3K1cgUEhLMCzU4mk07aND3FHGK7NAy2eRx1YpW4rqs3c+aUxiK0gQVemjxa1+1Tp
7jOrbiCgQv0JhhzYFaKVtGdxO/GawMAsoN3zdhZguMqEOGdwYLxjYjSxwPmS1UVMateev1PRshTK
sFLPW9xSS1ZxoaqhGPM8F/R2ACUGcTmcWx/soWICqi+OpVV8h8HJuX5elvylbtFLomlDajd/WGVz
kKWQwWByKQo7U3HH96ksXDey+Nmo7tMR1AXw+NkZSX2ewDFjQT1d0E0cVd9Ip+2tAH201VU/omCg
aCubuLiwM5szV5LJeUhcjE050cBvjelnuJX+E/d4ZmPmQ5SKidzR9Dkdyi8rlXfkcdDS7EaDi9Ar
n69v4lIMTl3935s41wyqaimUGYsfHKve09PYWzJ0UcFholMpdIgT6oo5n5WSz9KHI8k2haXT3WMW
4fK+aaXs62bA6fBb4yjn+c6sq4c/hXzwab4/rhQhl5YIXw1poUZazwjDpTlQXVZgF5gjj/K0b2rW
Hg2om6glsNBxaicIe+XFWczhzm1O5+jMf1V+TM/asnsHCr2NoYktlTzFe0lCBDXkO9K4IX0s4aq7
/jEXNxbYG/ElmG5t7qY9iJXMfMxwZHn3yfCsI2A2SonR2EMXVw0b065X9nYxZDFUAjLafJCLzH2n
qneprJE7Mveo0aomSZUPRSs4NfrU1IbrZuP5cQ9bzFg/QcFov07v1jan0vKk+NWaovvyDvz1c2b7
3qvwHfsDUQy94w00hR+rkdIZFDKNApNSLK8kEEvuADgCZQ4VMAYNv8vP3PBGeHlMwBb71S87MGBB
HYErXv+qS46bHEU1BDkkdZXpfJ+dJWG4duNJxeB4KqpeZS5vLVd9bjqPkbA1Cc4VW3/O9Zkt0NuQ
ZrXYYjp7q8fMjUNsRDAYS/7KyVl6A89W9SfcP7MkqSHNJBlL0OA5eSs7AHi/D0W2kahzCHopShCs
3cpFm4RMpOEG/zFvJJrwviNDn7K60P9W2OXXQcQnqAxBnQp9J3XhDYjxO6iCnSmPSYwIodPue+2n
d1MEp9jBc0rbgv//7eilx+tfefEonf222WvmiaYldSS9ATT8wcMjxWnx9bqJya/O011m+Y0/hQjZ
mIcdEDwYDOhMYYdQflitdcfs7K3eirfrZpZX8peZmXv3asbPgoQvm9r9w9AK+M3H5Om6jcVzeraU
2W6NGg0K6vaDAzpw1/jyI6Urp+mTcNPGa+CjxffjzNbs/kEa2FqxSSw6wge3ZzyrOWp6ha/ry+oe
rmgojphK2wI9Z/4hLoyVU7vo0gQoEabVmCybqx3Dula3fjRxHek1Y+V+ek/UeFMlMLNqjKVtNAUe
4Ou7u3BQeC9tBokE/TBGhy49jloOMXzHU8JEh7NTm11QGp9KnpLrZhauI2AbTVEopeoKQ3+XZoSn
62WcsrF6b93a3D7ZzF7DiBBOyW6aur+BFGytivAOEMMVo9lEr0HICvn8tNtnbgeap3TMxYjbCWPt
e9CCXyuV48QQGLn3NTiRuJcSyK2E2PRVtRYXL6/4L+vTn59Z98dasUtDhvIofJqSGmYRIN870Gm+
AcQwln9rev1PtRrdME3n1JjTHs9uYlV4jWp06oD0MZN/inqkqL1iYvGonJmYraiVcpkpH0xASP4S
6P1z5bef3EA9XD8qCz6FlTARZRuEN5Q4LzdOKdIAZjG4osY6dgoPPuPMCNeepEUjVN1tA1glM2yz
82jKVQ9FCWeDieOnqZokZfbX/2AdjIhpjDOAMpwXsQLFikUD59mk/7kr7OYmNdQV6agF1zihJGVy
WZyFNpfpdGs1kseRLyL78TaSm7tkAgRBVispz9cXs/jtbYvbpICR4BBcfhSpydymDCROcy/dV8kX
PRXP1pp02FIorShnVmaHeBjDXrZHOIOF1t4P8QvBc5l84d+peBSp6mCRqP76ypaKjRdGZ25iCMo8
kHWWlmg5c3X+rqvHk1KPt6HsHSeUhyTrsGa13Za5WQ+iRfPL9V+wtLcEKtxemcNIgna5t66w4r5C
xcgxG/CPKYz8hrvN0C+6bmbpsKgwpDIBamJlHltKZWZrSmCQQ0ND2E/cZUVy1wiYz9y/JwL+T2c0
RcmkCVxinPDlirQusA2yZspVkE3lHSJqrSd+X1/Okn9VmboCFE12Kc+nT6sSYsNyLEZH65m0Itvx
FX0rANl4cLW5Qjm03YpjWrOoXq4KkQtJy0MsZjFDZ8BYxS5ypegxNav6rsmLN+gyxp3rwhV4falL
X04jlDM0IBNkkDNnNUIY55qaNzrGkPwUUe8f9SH1XhmQKR2JQZzt/5m52V0vIRutkBUfCZ3zHt7x
oT81DUPnCrN1Rw8uU+e6vaXzr4mplwEqQ32nPKYjlFINTTZyMP19a+oH+KePNJtXljXd41lIDLXC
v80wAX35+bJYtjpbzkcnLLVHr6/u5Dq6LYlFkK8AbqBH9krMs/TGaCZNTyDNkDDMCXFQTB6q1pg+
m1XcQt76RcmtlSO5eDIs2ZjQ3LQTtGnNZ0FGPehD0jGw6/St/SflD5k8rhnZFUQ517/S4vbxAIA2
0Iky5l7K7IVU+KbFCwCS2RLhQS7T2z68h0d3HRu4vC6T3QNYACXPzIFA91MSlgJMKjt7X6XBd6mU
HnzPOBTymgL9mqmZ962bJlO8IRgdWNFeZJtGOIUbYUtOUUFRfX0P12zNPpcLoZMuKywrDOrG8bll
G51e4c50R/9kNd3KiV+8WABpOfYTxH0edEtppUBlytK0OpXv2y5QT3YonUhu1xDJa5ZmrlHErRoE
LS4D7K6/zeQBIRKp3o2qvxbUT7d0fovZI55LoUAlPY+qNIinh7DDCSdht1X6BzJDh45ZigxBBSU7
/bMioaxpldvVEHvJ/5+ZnuMrI7lkVBTGak5GuOml8WiIlwlWGdLaSuN0X+Qrt/sPROHdYkHU4/mB
y70DEWVuFTTWgKTbtKw/zUEaMcAox/hXCBtyCjyZd2CqawKbU6iuRhIcAGsQ6fc3ny6CKlQoJcBS
cCkvnYzH+xNFMjR+kSEdWlR5ekt+HHzKFs1ro64kGe83+dLY9OdnHi0GVJWqSH45IDXC9HWs+41G
0zd122MWfo0gLb1+Jf8IZl/uMQah3JHpOBOwzC+JVVdqX42l6rjRuO1RLHY1GQWDPeFDnp+QGHPQ
AnwAlybHL4BE9SxEBrBnnji+CW3/Xsm5wwbab6s/7H36evnDZneKk5hIicEPywFk4/5v+l7aud6H
EF4GMTVRjX4fBca2GH9f35L3XsqE/2cqQvCmAImfFUFMtWwKq6Yl5vuh5shyjWAAPBOD5Jm3etIQ
zV239/6dxB7PCsQkOrd6nsUA7dej0IadSjdSxqyZymcKfxQrl+n9wcIKKC7DniyRM10eLOSoESqM
Ie/yAzhsBFwXW70oHAgOIMRso6fQJdhplLXzvJDTYNcSoDwIOUhnZ9GUlfeS6JkTd7oh3ZXkZ7r+
pS/2sR/tquE+S18D6XPvPl3f0vf++NLo9InPblGaBYUC1wCLzdNPvVEeqrK/z2Gr+E/M2PZUOCL9
nGfRIxzyhIMoriPJyNiNqdV3cMZ3p1HxvBXHv3RImLNh2IZZDcGDdrki1aj0wkLi00lG9VMYF3fc
j5Uwe/FTWZRQKBqZ9Gvnji6mQhWPamU4hYrMkC6derD9eirvGz06WqP6BiW2YxjlCVLkX9d3cvr5
l16I5qmGVZvMSHvXdY9iieRsugOuYmyDmmy33yrIPNbZfePnPC8nTZJXvt77aUAwh5au0x+epu7e
ub6sG8sqyRvDUQCOJnn8qXUfVX3chf2+NL5iuh88suGHsHqZ5k0ttJiltY7HQvp9+SPU2Yf19EQq
en5EkFZUdIujUd57gXHAfJs9VKw/tPZRvx+lNYrX9+8aloFiUwnD074bhowyaLKHwoVK1gx/oW0G
hFa6VUcoxsfkpvShpvgPvvGZvZknsGHBafjQHOEcObpQbHJ0COruALHY13asD1CUBNsGgaPrZpfc
+fkyJ19x5gvQeBWWT/7tGOURaYmXpDe2bjHcBYW5YmnJ65xbmnmdPJCMoWpYYCiiu54p07iP3ix7
DTCy5ApALk31ZEhP3iU9+WBCG8uYKkSjxi8LBaxEbl+v79maiVkUgpTlWGgD1FbMTXzuDP1n4Frh
7rqNRXczVQYNIivePjEFAGcfZuw6Q86md1bzEMOyvzfZU5Tcdd1zrEa7gSwrbzr4a1dgSwsfCdwy
FVZyUoozc7xGkamIICipgDCUUYO8jT/3sfclRx3w+vIWtvDCzmwLYyVAX8jFDtT1L0BxPqMMunLe
Fk62RvHH1BWmKqjkzrJEuMEKfewT4SBy0W7SiuG1smCaBNr0b50BH9L1FS3uHMM7xFqk2wycXn4v
hIgCpK5Qo7ZE/yHX0X7TCpS/xpVAZc3MzCFqQPMYwWbj3LxG89XMTrpkDduwSJzr61lyvRPK0pgy
C0jc5s83D0MLyMWCJFmFCbC199NB9LufZk4VTWcsGqRliE4nCkW7sl95bZc+3rnx2TIVF41lkJaG
o8bjsEMsEJsmw8J5zsAuvPfayrlf8PZASXnqJvLKibzu8utltpoTDMF4DpziQz/GexkUWMXgdzbq
Dw0sztc39/2DjouCgZeGF+/LuxGTTkKfQimz1kngKGO0R1juJy+H/5entkPjDFCnhAridaPv9xSj
0F4Su2jKVD25XOPAAvNYS1qmzb/nhXg0y+YkF89d+njdzp+k6DJcYUaXmJ2xCHrLZKeXhhLJC5Qi
slsH0ezjQEGjllANuVO60rGDEAZM42Bl0pbW10hNz/WRB1M09UhqSiY7oV2nSck+S59Kz9t5ZnMy
knvhlSfmAgNf+WzzzxZROmEOW5G+2kyz5EblpNkN/4ve1siIRnu0PL/JTN8C9bH4G8N4vLXDxjH9
lcUqC7s6UaiS/gKpIxOePvWZn9Zkyxd1Dpw7tb1wZFI1S8pNqgT2DdMp1bM8Nr0OsCjVJwE/tbst
Gq+C/BM1UIgUek1vDn0LwVindtUH6L4y9HHl0n+ERE/KVrLn974D7lYiSCbwp+LIPJnNkCnueTeB
eJnal8z/JZflnZGv4RcWXi7muMANM1cx9Z7mqC4mGfOilik7Wllr7ryxtg9Zov1O0B/bFWhQ/2x9
tTlFpVXfBoIRP0QzVsB5C9+Ek6fQy6BRyFDJtBFn38Q2uygffWrGhZduu9baxUZ706dfeHFWLvI7
vzEplrGpClMDNqCJmdeX2iAVbk97SPalFx0BlMhQnhj6f7S6Flmh7vn61XpvzoDWEzs2ZIkEObOb
5ZaGlMEXARs5aoMM97sf0yj+OPjpLlTbm0RStf0fg/93CFYvSJWXmZb/HyRRnh4zBXbiKxSsH5s0
fPt+zr763//Qv8hXjX9ovBbgvRjO+hdF8j/Jk4X9D1JdvhHuHcEkMGF/ka/q/5DhY7XoY2jk+8TC
f5Gvmv8wZf4ycPB0tSnzir9DvgpahwN+5oGBhmGDRJhkFQoTHM3lBYhFqxVMhnT7pu7Enddnar2V
IzdGtD1NxQFR57CEJUiDO9BPelveR1bhuTcwaSb2oRpHtLBT12jsE8zrGXRwjIynOx85YXfX6ahO
/yjboT2FQ/htsGEeDIsy/uxV/ajd5yXKU3FlxBolRzV/CyJgeL9aWSsbFDFTlIKVEkHbvFPTPcQ2
roYynxR/gZXV2yDgCWmh5wf3YZwYv9w2iJ4SdAZrByZTRPqU0O/ezN51P0kKk8IbTUVyMasby3Mk
e0BsrcundFiSdHOgJjYWwT6u6zZCfl0ekJz2dGTV6jIJpY+ME2nWHqF7+ylADyihvqf2KEK2bkTm
EHeusjFTHyFAiHp9+aMlpAjhL7J9aB419VeTyIyrbsYySl0Yjz1P0OywJ15XJIzFtvcKhAf1WIkf
LD3SHrSyqG51tbJqJMIQ4AqAk6UeouFVod0IxmlRji7cmDEqDYVXW+rb59QNSfBbr+3uYsvqNkF2
N0YGKRriy12cxd7WKOJwU4tgp6CB3fbyF5WKsIv4ma+puzzzrN2Qof4FaZDl3ZRqKnuw2Hr3lo22
o+sa6Du3cLv6cgXjtFGFN2iqx8emsqGtVcfi2OWTMFrSlI9Ivce7UhfuscklCo6FRPtDDcK9lpe+
o7SdtotNeASR1BQfUFNMNvSykZ1DW0uqkReDG1HoB5FRIFAkj3qJLCO4rXfhQxbneEy9+q4PxMy9
0W96l9AHPRjmWuS96kXtRnidfdPykLhp/5irA1w8pnRIg4OGQuY+7NRnvbEFCnn9S9dBJMBodJh9
9uQq2qqhotwVdZLuegCvG6WWs13aCm8X+JzoDay34UvZ6581F3GtbGpQCCuxb8suP/jaL69gKxGn
U7pbZKg+hZH74sYi3McS9A1Rbd6Dx2q2CgyNWWDcBkWO0ldkBF/EpJ6cFFq0E61k35tevFNN/0FF
/vdWYzgV0hK4LtGVVjZFZ3k7W0YH3NDSAVHv8UcfD78T9Ag37SDL1lbxdPlg52b0uzLBsBNH2Nlm
KHP9o4JC2amG/YONT9ruyQ7K5llBe9gEvh2rH4ReJ9swyQMwTUHwEEAp8KHPzO5U1C5inW1n/apU
u3CEXxrfPD8MvytFVdz2I/g5r4BbXe1L7RY1a+u16DV3j/sJ9nLui32fdqWy0TT/dyJRfI4quTwg
kKfukdtJSXmSSTV9QM4UvcMHZNqMYxoaFXAN2GPl0HxCL48BJt0KtzbMzE4/qGLbRk37SDmdholi
JTlYqE77iiKg/joEffXS4sY2hWJIG8/OjZeOAQ4Gn/rsu1p60k73Wu++iNP+2BiufDT9qjolCdce
/nVrB6m5/4UzbL+JOK9g4SDOzg1d+xnUrfQ1FaF4VjtLvRXtSMUlVAP/TpbS5A3kDkLcyOXqd1UC
9gKQRvRUWHn2O08U81CWVvwTWnRvI7eG/Ukb4PoMkSr/4cJivYs8u7kt0iw/qWWuPQhPdZ+q0eTX
SFVB5F0bj2qXZLeFmtu4C1vaA8g07mSGXh01KKs9jLs+M9OFdFC9BllwuyyLneIX1WtRKN7NJBv3
5iVVvE/CovjoDYl3h3AjXiewS9iVrLG6gUODCW9vaLytHijisZNcxKxjSfqlD0GzhbaUubnWVYu3
slOhCLZH6yvvivSlVHPpTkRl/Q0hwPyAOLu3EVxnB01TSKMYXIc2NS3pa0DJDHUwlPwbPeg4s43n
3fmxUTr6YPu3GVLN+wK9+cc48zx/g2qm8nGABuRHqOrBfrBN/ylxYY0VITUvRkXkbd334Use6u5r
XJvJwYVi7pTZY/5oSI1wZNhckU6UwxuolcQhi8f+Y6h40R3oi+A06riYTa1b/gHKgtyp0+qp7Ixu
4hJXbuVoaG7dNkKg1S+FdipaV0O0uAz2fuTLCbWByvugBbaOrGzhRW+lpJk3LbI1B0YLubW5UrXP
SWIMe9kam1+TqvSNOqbqXq2NbFM2VvVDbrVxE1dDZm9jE7qYMXGTB9ku1F/SgMjupoy0/KEPUEoM
3UlyOGlotXZ2kuHok8Y4EBc028YT3DMraV+jLtPQj46yLR1oD4Xi0NtqhdnfWWZlbHu4gtFkpzBc
bWAlH99QWRuq+1BBetHqyl+iyX1lI8yK4V/JbNNN4oW7Smo9b9MphXaib+TvB9nrTrqQ0AUOFRft
3Uqg7VdK+oMfFR3uphY7hCnNu7DtzMdsKrZsXJTN9yhkQnVLqJ8cB3m0tq5lQ8CTJOKL6qnlm1eX
/BVdFW49pbO/a3nPiEMbau6nKIw8IHWZ/9twUdSx62pIP5S2nNx0lQdRjgxv8SauXfGYl1GFeCQA
ils3tNVXoVXtS42W8tZAidnfuZqn3qaN8J/0TK2OUhQN3/uBDQ9G1IjjkpHJpK/6Yte1nKJtAQf6
MdM9vlrj9WC45eA4JH14VFPPvQ1gf3eMQrcZAgk1znvYP/Fq+/e9YWybTj4GeqV/pEJbHLIys/pt
IcvuTlghjjgrqycIt7udW0kl29UqHzwjQmDTaIMHWxns7SRifagSo6FVySKKUNJfS1oIN2ZI/gPz
C66qM0unltuJ+jftIGmPxE4fs+go/ohrV8QMut7HJ+r08qFGxtHJVbjvdC0Nf5DW91uTEs1tnJr5
J0FBKCV8CbO9D7Mg4ztBtzWi8NbTvygV6pIo5CZAyWL3sxTX8huvUM3dlqBlg/lYic1tVQjrdtDz
unZGEVhwkgTDsTFV9842xzzYpUiHxjv495JTFoU3DaJyxEX1p1yVPBU6XpNVEaN0MBZYSQAzSdmN
9abU+nKLZL0OPZKnjM3GCke44Alxwk/kVj7a3IPwrU2Tm/6pQQv00a3b8KZOoUTeDErtbUMirY9Z
PgJqKrQgsfeh0evPntRznQ1J/SDFSU3a5UneqYNzbicpCUhBU0FqYUjqA6fsoycs9T41/Axq6Qg6
pygy+p8xKiXHcSySfKtmg3HoRze+B1eTHE1Ea+4ntfD8Ia7tZ8No29ehNzyUVPHzmwChYxR1+YsZ
qa5ghSHdN2sn9/v0zVBs5aebWkG2K+TM2qqJGiKsaw5woruC0hDborLoPol6eaNJoSZtPdczt209
Vnck0YjZJ4H52AwohiAYqvY7lJ/5si16fE6XWd4h76Aq2OZS0RS7lkGKXUgXj7ww0nhHCfH6l0k6
gd86atrXNvsv7s5rOW5k69KvMi+ADnhzi0I5mhI9Rd0gRImCdwmPp/8/lPqcLhbrZ4V6rmZuuqOl
FlOZyNx27bWwLIuxIq10K6OZ1igYGL9KNc9vayeUv9XZ1N3bSl+Dn6ePX3tamRWeVRjIsic6I56y
0S6bvszTBSQ9iu1OemQJ7p0VP8BL0z/azFcZQFbS8ErI2dC4lZRPxItJWgULKfVz1cVnT7YLer6+
jKw62KFR2j8JVKklt1BbNLsjw4laNzcRnq0G09ypYdhvnUHiFWpF3VwAfIyRPTbHBP6XNLhJozK5
ypI0CV0U9KTrNIkm2wP6X+wmxPkezFgYb0Vsj56wu/y5jtVmk2Y5s20K+OQWmbMGZ9bpVca0ZWGC
3lfNyFrYcVh4RhknjxC0mPpb2lYRqt2a8xZyT4kKej29YPxcCdywTBXmJ5IyWNhRF6KgHSWauqRb
F78VelkMizyr7As15Fw8qPatVae300qXjPbCiYqsd/uoNh5M2jt3aRxL8kLrfS6VpbA683BRQqEs
eY3LyMRzORHFWLjSnbcgspw3MxyCZidEXrb4h0xnnqqQpKtWzA/Lhr178OTarn45U2vEy7yvTH+d
p/1UwDhfJ1CP5ehZU0wr+rssmUy+HrLstBebYpfHyL7X0TAgYmrUkG9Fgy+thS6AOJQ11Yday5RV
o0jJKowtZQ5+6tibGmih13EyEA37haF+afKIpFAx6jtpUmg1o+ocCMhDZ7UN2WykYOnD5M+eRl3H
vWrdY5jLLRmlYTwg4J5XC846LKCq1JIHkfoiXToqXidJhLmOcj6LnGtxuphk0d2brS4jO+CIOdCf
ZSVyhgtD1w5q7k9PRchLdYGFacYIpvmSZnLqBkGBREURd9Yu0gT5SKGUmJO9iIVvyo++AunBQOyi
a9fVLHWh1WXxMxUwxq+0vQyGUcQRYUleFF4Z1cg9N2kDBgjmJrQ/UGRAQCOaIuGaYd9oG0mEDeDo
QVsEZkIWIvFUUCqRnEK7zGMnqG5UctulWsZytix7lAiWju935qooG4zW1KO5DLNCkXauPct85IOi
Tq6fylWzjmxTXEoVcB+fWeXC8zs1+OHP6iC9LpcroiTukLZXDsmMOWDTAe6tVFHLG9+J7OHCKVU4
12qACIgSBSghDAzw9C5vYpLXfWJmt7ikzlwbkt126B0pJGiwIAtl0Qs7uu7yblijRmLnXy2Ne+bV
RmYXXpc3iJ0Mgl3B8H9d5lNyicQHUXoDsd+NpgSyw4CZNADy6AbxS5RldRMVvRJfwhzA+6QRrfC9
1LxA2dkeTG8C49Uv8gIBDldHAeGh6G3rJfdrbGs1DdW49kvVoGXdGVO9cERP/wAZDDTQ8claeW+V
KKtMoXNvDnUbeVmKz1kEmoTYa+p09uNgjKVXChQBkCqZAtyE6hP41U4JE3BRCoWypoxpS40e2RrT
z7V1b3XlbRPjokmUSJVyOdYCV5+ksPwNdvijmtzpatu7gtz/Q7pmVNec/XzC/66KdBmOr2/i/9x8
h8ugzRMKPUflud8/4O/ynP4X8D+my0iRNVmGruO/2mbyXzP9jg5ejhbdvgT3H2kk8y+qb1TzmGLY
V+BoOf1H2kz5i/8Xfw8KjLIeOLA/qc79bib9U52juwRcDuUhyIzo785Sau+rc1jLROuYlV/5Utw/
FmZi3Ge9hBGUfab+l3IaiM6z9obS3xtNB9W5u7KqtessSbQv0d68otpl2OtktrrKSHHJa2dbjFBQ
tNP8qIxn4bFgk+1tt0wAx0sJQTGL2bgHupqs/ImuqRtJU38nctlGM60OmPIkbsM/CNA2/jpkNhOV
mLwWv5Ih0Acvq+eXUs1OJghgY17kdVC1ixH6tmaHkrDzhrqvg79U8VNSrmJvLDV7BUeHH5PQnXkE
KgQb2JA6eDoTQ3xXMJ75QJSEnSnUqLuwoBBfwRjG8Tg1btnCo1+Ue0+KSGH8ZolQxb/ufS1j3vjd
1G+VK3j98Mbq7JiVus9Ra5jddTY7brH34Y7UJY9JTkzTTrlFODF7e0vO8tDrIgkrEyYSEQGIEKKD
xHSaTZ47+XM+Bw/GHEZ0EcpTgmbNblDhJPLM0peus0Yh9sjmMMSZAxJtDk2Kqk2ihT4HLDQH5thl
DmOiKLV26K0b6/B3lLOPePLCJ/qZ5kAonEOivFd0qlTUT8Z9sOTvA6diH0SV+4Cq3gdXvd9SqHDQ
oiKU6fpHIiHtmtHsdjkAJFJdex+jDSHhyqKepBbKGII4ew7n4kYgO2V3Ye31pg3PRJKkxpfeyOhU
OdGU36pabv4Sc4w4hoI6lYDniahrjiJt6rnIsJCBeUXZBTspE9jWLoHl2O3nEDRNGRv20lDJxELP
4nBNYuIvq33kivg7UayvtPZLM4e2et1NSwZq6itL6oV/GUNAULht1asGfrHh4DJJSXwvaht70cZG
XHjomik/izm+nvahtrwPu8M5Ao8m9rQY40F1wedo110dkVBmXdaUu7wey+tpjuhh6EqvlTnKH/cB
f6iYRBOI3/70+0hm1ndODSSDLAGr7sD/lzffBQRh153p9F485xb+Ps0o54xDARsO15AfrB1kW1w/
nANXGWHLVYlY3rQMdXS92QXaM5mZRLcISEfbEbC17Roq0iTwP9nxg5zMrwqlmln/ppKNctExvbEo
9mmTaiCZ7Sb7dIrymbA8pZND1XUa1c+8OCyTbqE0+rRoaZrDkCuVvptQ62Tw3nly9ADIQztqxjeY
BrMrpxUGsmRpvgh7ybhqJyuAdgRC2E53vjVwOC0ohsg3ei+yzZAVwbeS8NbLiTeuWguRQ7J/rLMr
Mj96HONIWYRCKnpXCxuzYRkju4lSRbqQGtHfjHox7SQnhjGuGftX24rCV9KL9qlSC7iw4zRsAtfJ
mpCwSYT3DBc0SPaoHIEEF/7SRPFzpgvph8JToq65VDPhSwtKO8QoedP0OoOZjfKcmI3zRStBirnF
6MOvY0/JtiDf3abNGHw3Am14Kmjg6guEp/QbymGJ5/RRdVW3Q3NXmGa6mZTC+KEyhbrNhuEHhTn/
KgyCDiZf0QNwUHzjQgS5RZUERS0BIB+6aHdgRn0b14b9RaA5foleHeUZH52yWtW0u6aQ4S029LC6
04YsfQqzuN3UiaX1boa+lu4mVULXN8m4rSUR2neDYZDrsbO/KJPdqxRuDLXw4in1r7UUJNBiaCIR
e+rgi5c8FcMb1Q9LXRG61QT9OifB3QSatohVYV+mNcICMzqjU1xVbuNxpVlkxC7QFe05U0JlV/eN
ka6ibBIo55l+tELsUvhbO2aYb121oYgu7LBE9j3paqoThtU77gy+oH0vNLNCeMkXt4YS1wmoY7W/
ot8UrImXefUoyfUkf3XSkx0hyYeAQEU9VXIQlZXaun+q04TeSwH5njAnE25k+XIyzZF0JJb12PPH
PquoQtnNA+N3aenK5Qg/hD+1vANi+fE1MjRxE4og/RUbobQScjQ+KiUJAYpKw1Pa6oJszQqlb71w
hm+apM4mq6/Dl8DQOnJtWtc7vYXoHiiCtQwLu33RK0kpKBhTRce6lVaGV5G0KwnR0C9KoAZvY6dQ
GuyLcXhs8yEZyWhT+1tc2VrjAt6Na5h6rXBtB5O1HJI42MWjP9oLozGHayUirC/Vuv7R2Wrz0GK0
F9Fkld9qp6ecNXZwbwoqvj+IRq3dpEm0uWxj9NJApwSbWHRUOj38OrTddGVnFmQlRlMCmQp04BVq
PGssBil08kp+a8uxiqRgq/1Eskhyo6bJlUWc2NZGy1L7bkTN80sFhVLu2pJq/7AD1fHCsq2/NmE7
CzRmtX5p2QhTEQZpV0qMO2VsqrgbcX5bEY9OTDqYqevaVChhFmXJM5GHANiCpBhVSf9bIMQ3iCK9
LoJC9rpSbq6GKB6u9CgSwiO4yO8aZUrvA+Rnt10ulxcp2sDDolMUbVWmnXMjIocWSleo6UrvbOIC
PxXhNhXyj6CXb7uWFl1OeZym5ZgumqRrlqreJ6igSdJNERfNpvGThrSZeo4XVxplrVqjsDdNvVUu
hri6kwKdUEGo39Moj5dh35auYo4rhYdxZVdOfmnnLRlcZKeENmEG327WK5C/q3J1I3VqvIzoXFxI
qLzjrHII0Z3pR51LE4eK8ObCnMJ2HaOfl1E2H6ZrRNHKBa+rvq+ViUpyYVahm+S271EvsBZSkoar
rIkqGmrVRFFpFMFO8Svn0h4p+FOCSezbJGyVzSSnxoOMThhALCtn8DRp03IXy5P0VZZKmkZ5YIuL
trLyX5FVfLWAan0PYNK99BPZf1GyUns1B2d6mEqzw9TVdHEQ2n70o2RWsO0EuFNHpkkVti0T6d2t
QiHZDaeQECtBPa8OjIaknWEyJwlzpF+hxy7pTOjThs+IuUxQBC/Dqd4EJfPNjGYUw23b9soGfTrj
xRIa6ZMNhd4VZXld80QNz5VBg/RXBqHXqx7E9l0r8aXsatDXaQnixjWiNP5iGi2CgY5S3goiQKhP
0KrcyJMVv05qHKz1tgdKUlExQZCvT3Z1U/kPkTrJ9apoei/DG0djb2yEXriO3gPS8dPEcBmOznad
PF5E+LS1kfGTLL+dqIGU0rJAxHGlhkjc6Yag5lbGr7XmP2tU1taNUsoPlh3310BBS4VMf6jx4UUZ
LVD91K7K1h9uTDyBESokv72/EGmxdpxBAcUbqa6s5TtJmYbH0BxsVysxBKNhKy+G1kaPrRQ0CzGM
0maYuF9JrzTrqaj7Td3q9UJCR5Wra/qW72qRbz2lKnoLvtT/TEKE+cAqWystb5JNLEax9ttq9Bcq
PLwvadL/oFGh8Z2xnljaNPlW2kVxbwLJd+UY0FISqleo9arPyPaY3zkF5ysu3HYZbKa/qkvJXZii
uGPnU3QJIr3cWCgRX9HkbvtV0zvOSnHqXRH0SOmlGdxzUfXcd8MvIr1Ly7Eyajr55A1KTM8jkMQP
ObeuY6PLtp2eGgQm0Qvzg9Z9Q5tvDb2j6SbEm6sh0xehbxi3uIsfTWD5CzO3JKRDh1tOIr/I5Zz4
wyCe2yIV+IVKLc/EaQqUXtV24JNjmKdgKFdhUTrf6bxCLNUl0z0FEb1f9b2Tf+mFSdw1ADTcYd5W
QSs655ourzX/muNWgZLeD2mXL/tJmx6isXwILCnZqCZABQT0hqss65KN1OndtygyKYU4tNo5KmSh
mjykJVVXtnwdhnkwukwoljh3p+lz15kgZEXB2twMjTy+VKqfbxGg6yFKiiiI6KRkcD9KzkVtqcOi
idGQdieJ5hMXLsLHd7DTLcRohIjH+rp6FTcydizI+601Gr/SqEkeqcd0dxOVjxtbM+rStWWCg7Ie
JWsx1jE5xmTo1o47RkPEL+3vI4BFAP1+e20lk/rFUKR63Sly7wkzDmcJXaBtVdG6IwjMRZ8Yz+1E
cQldxGZdy8NOoeG1CIfuGx0YsjvDfpqkXPJMpTIg7lZ2bduYm1HMQX5gpMb3rm/4g6bFean5FHuR
ltLjFnV9zSi1eKV06eDG5DKg+0wMTk20zDZ5kIwWNUeMoWvaPegKeBQIj6AeNGtJWk/6wGPLRkS0
AyiY0MFut2ohBG3yFHngQSM1oxZPzV1qivx1apVxF06kpzYiJpuuNPuXDKdTupqPWGXRY6HTQp7l
vx3mx4s6eGviie4d0qHuNPTWZgp7c5MFeXiRN3Gzzey8uapg8kBn1LKpH9YREIUkfhsS+TKOwK0g
HxwgO9Pp8XVK6/FNqccOuZSsra86Gg4Pcif6N1tODNgFGtu8rvLAkBdqE7c/JMpq3SI3c1zbYGrS
iqq4uWzMQn4Ap2SsfYFUgtMzplDZgUQdGzUHueYfkWN/jxyElSHWtxaN7LyofoA1kIz7PozuIJBn
lDaZm5a6E/yIczJEqTWend55UbrkdWqieFvFZvE1zBVzYUp1+oiWgeKldfKKz9aXsVNTkhOBpgDy
k6wLfny2iesJPVmkwx+asqFCEXE5fUMWb1y5jqJt6CcPIz2wwGMyq3UTJj0e/ar+KUjgPNIN5cLO
1Xpd5OZzFDk8FJpRudopa8mqdBQ2QBT9rtXLgzW9Dq1E+8wO7xKIN2+MLvxGl1pd2IXd/bDRf93m
seDPt2B5Bkqt45IG5fwL8D6KlWpJL7Ftv4hSVX7qWT0jUzLDXMhgpzZpMGkos44RmcdYyBtiuXxw
I0ird85UtGva9vSVuyZVsdqV5OWIxj8MldN4Vqe0D0YxYZBKo6VHLAl5Yzb2o9rCqFcPRn9j4YjW
ESHQro8iyRNKP3g5wODdgDAxhdK237Yx97etymAzQIi5Vc2CF+w7lUTbo0+Cr9YkJCIbouREKN1j
J+ayftRB9zZYte4FqTJs67oQmWdURca6Xcvf1JDj9WAR0AJrtdamoP3g5tNg3zFiUL6OESSYsLi9
NjWi7xBl0eowh42v0alG6lUoKzFOKvIIJgPKKwbk8p8dlMa/D8gi2bwuhjL26FApq7SPu0ca0CoG
ilzlJdZQH80bO60XBVKqNKYpPNsLYaVFdm/LpXKhOk3ygMhc7zlEvItpMnOvCXmgmlYb92aUZlRh
hl8wovGw08jY+pY1eGoQZlSS+WKQmE9rItL4kX4jutVqNMzzM/3MAcFUv40nmqYYZ1ZjI9q6DtqL
oIjpQPXQAA2XseAqkVQyJjD0mWa+GiW8GGFX+iRDih1YG5KqgSxFo9o8k93di0hHkUQMVdxv1UGb
OxBGMiSwd/Ut2tW06NHpocJCzNA1+qukKBT//xys+f9dYdigSvsZVvM+yn+GR7Xg33/m71qw8pdC
0G2ZMoO8VHhnMPDfUE3zr5luCtAlw3XwLc+Uhn8Xg1X7L0M1oOd20JrSmMGhRPt3MVjVgGqCrWQU
D5QR1Of6nxSDP4KlkYCYR/pgv2TKmB/3vhaMTG6q9Yx0IK/RXiPW6NTrdFjFtrlhqq2iJmxFNHTh
mj44o5vfxeZDycgPUHDmYcj1mVWZaWWYMHq/7JSgzl7rTBTSN7uCUPt7aI6Xk6yfoc/5AMR+v8wx
qShtL0NN7YQZkjAiYK2CnZFD2k1TaEW69PXP90Q5fS7io4L54SgDSx86y2ZPvSAd63KKGdXlSP3g
/2qZ/Rc9AJeX/tDgp3JGRWRrSYSyxehdj/05DvBTR0c9SkUDw5rFLGaI78EyI3WFaYS2fwlX/HWo
Dg/FMN2nfd27QWWcY9A9dR3AM8uMfKGUpx8D5ovIJ5mifLd0wu6ma6HLMc0re0h/o8lpOwVvxYlb
92HshetwuMy854M9WZkG3qpmT+BFgceuLfBqpjXbyCcjXU9OuETe4s+/1uGSR4j5WPiFYhMkL+U2
2JokLcI2VjEx+OfLfJhnw1hwcLCf7sVJj6e/ck0gGBR37GxqL/xJWgZ+dIbO68Q3ercE1urw8EIp
8c2pbPhG8q/STKP12OmrQBnt5edbObfO/PuHH6mV1aTvWMceS/026ELyYDqaF12YlWde7J7q6Z9O
GPd6f2xwXyPhYM3m9v1aZtmOo671VA38b2G/UkL5SwOvinrdSIuwvBCFz/QZkU21yvKXXv5j3sH3
yx/T7GsAMqlh0Hb2qYe1SriZDW4mP7W0tFBdd9X6zDdkyuAQl3+83+NH3QQpPLw6C9YXqezBtOzH
xo061V6R3akiu/0XX9LUmU2ieQm519GX9PvaDlOLSykG+nqSnD5UZrgVgAY+X+fk5T9Y5+hZ2woh
zZAwpC1V9nU2Og/92THlU36SQZt/9nL0jq0I3Gw03/7YaVfGIKdLQx7XNXBZWvBuZ3e7sKRpZI/P
0Zi+fb6/jzNe3BNkLRido1HNVMVRw1aB1ytqUjono69/LzQZtF1rXkqdcZsNydXkG9tRU7+SZCr7
QUlZzZewcq5BRpNFMv+W5OIqNZIzr+fUZYIyQpnjB4d5kqPPK8gsEy1hFLTW4tdKB3gy+FQYICgS
83/QKXoEo/L5Ucyf8vjBHq45/50OjINSE2XrPlOuodPWbhjQ6m20l3J6TFTKC3++loX8JrprBCh4
wfdrwQk+zlTIxtKy/Jd2UimEAnaLtCfn3BDffHmOd3W40tEF1gAFaqCVmL2PxsuOaeGKMo7CQFe6
NsGXf76tU58NkZQ9Dyfh6H7u9uAIrToBGcKcNb5WvgwD/cVvjQUE5MR7+ujDtPrHzALcXktjSm12
Thzk0T1powFIamIbS00ZVgNFRNlH5ZHmFLOYdr02qTJaVbn4fJenLsrhokdHShMgt9LAIhiztWe5
HK6HELi1mu7o5Zw50JO24XCtI9sAR76pZjUb9Gc2d92+LfJmI/Mqk9heUnPYOUDgWy1eqYUp/tXi
hrHnx4Um4tg2SBG8EJpEgDEm5bZVkByAVFnaqk4Zu5PV71IruktkxWMa2LnU0yL88wAHKVxGEE0F
eVrrOJLXrLDVCymmCKRqX5Lc2RDKrf9d9LFXy9IBXPMcjh6jbTOqM+qpuZxsZIxTdS2P1WVaWcvP
r83JxwH9JBpCyOMBRX3/5hnVb4CBluYygKeevOfR6eV8IUfqPVnzk0XZcjTPSeqevKoHa87u7eBB
Gr2uRhPU8MuppBKeAzbcR1Yo3NITOMeofCIE1mGlh87TtGYS56O7ijkbZEOCRaYv7uK4JcgCq44i
Rg7W3S+oizbxZpK2n5/qRy4XTMDhqkdm27AbuXdmDw161ZgnNq7RtH9g2jxz6d+DtZPbVZTIj7XV
PndyELtSGXqh3LwW9Pq8LhvOWIeTTxaoujFzHyrILB5950FSLGaEeDW69FRkX0h5lcLfhs3zML1o
0pOR569n1Sbm73hs5RkHtiC2UCkGmEdXWIaHLrLpdy/BZhUbVaujFeWa9edHffL7sgTMIzaMVfLR
Il0Bbkst51Ahaq6UlKaOIr8NQQgsIR5/KGXFWBgiRJtQD39+vvKp7WEE+MwWM/eQWr+/xv1ox3Ed
9+aytZRg2YnklnKkcsYnn/xwSDXNuofzKOs+oj94LH0UmOhPTXs7sA0CfbqqnQgAvf0g93G1kHTl
y5hZHijhX7TJlH8R0TowNGg6vK5wJxzlC6Br0KGmiMc9/jaD3jx5DBdjIZ3zXifOci+bAcyHTgWn
+v4sZ6bVNM06BKeZf1LC8DHGsH7+uU5YHcCGs9KtaZMzHr8AsCzoQk+huZSCeEGx/0GtQyYJ7TWC
NWfu5Ozgjy7+u6WOMkdaE5FiNZG51AzpSwdVQtTAxc8gzjlWl1MLMaQ0gygtVH+OiR/iwugZO8RJ
NEElIT0XbKtWtbzz0cWJV2ZgQollNNb5QIilDNRUSW+gqbF30fS9Yeq3snp3gKhDsrQ5moJX5ozN
OuGaWJOclclqMFcfwlFG/RxAPEyhpc86wAAqFrPZsnaArJfQDZ9Z7iO9o4EwFLYR2AMVSObJ39/B
QZcsiCCw2a1fezpUDS0N8oXJ2Jeb92m0kegELJqGzrKtJhtL0rZAiqy7PqI7VuZjyuBjYy2sLD1z
m068DeQHZPgpsADMuh+9jX4I6NuXlNlMU3cjHcACYznn+A1PvA7aVYgCoeZE1uwcmVFDGrPMN0Nj
OQQazDOD2t6ip0bcqkvRqug6+8xpn9wUeTLMCuzqA/11yAyXHTKTsSzL0GIat85urDj3zxzdifcB
+HcGEYNGxQ0d7arM6fQ0UD4tE2Fc8Agf1CHZZqgmfm5a5sL18YN/t8682wMjDTBFJWEmn2Es3p2v
pq/dRpns5fJcZ4NSsDFkl6JbIq8n/wz3xomn+W7to2sL8KdjpIY9alEIVkjr18zsPI2mvTXzeGtb
2Uueqxe6PYVnDtc6tWk0GSFXIKviiN9v2m87vaeGA5NZmK1oAFpuXD3DGpCSEbv6WG8/P+ST3/Jg
uaOQanByoJa09/f2W53in7o1fRmic+H9qYsJhv2/uzryeGWhDGEgY7uVeDRWgIHlL21SGK+fb+ZU
IQ5mfTAP+FYYn45LRb1SZImRk0V0lvU65PAcgBzdyAN0VpK5JDX+AbpsKYXNhU65BXDjFae6E/o5
jqITRhaqQViKePpQmR87XjNOMgotnCqAYXCrQbMWdQAdRPsMx7NwMx8kxBArZ3KoU9bmcNUjB6mq
BQ+TAaslc4m3kgUaKvEr2LWytFiCKT1HoX7y6kAPosLFM7OEHD2RqtTBhkSJiepf5pVK5YXgKhq5
PkOKefIlEiNBgk829cEbp30k9VrKSzSMFLxpWIDm7r2krJaT6v/QFQaIICRdlKNSLj+/TicvLRWp
vXuefeb7p2gNpRXo2vwUUQBf+E3Sur05vXy+yMmPdrDIkZFLssAaoRQgqulMfafEaXBR1/m0COti
8ig296vP1zv51Q7WO/pqsZTGZZPDlGjq0gMQ+ts0UgfXKIvY/Xyh06eHEguBBnoXxzRNsQyYKmVU
a4ljfOnyaV3m5+rQJ/eC94YIbFbQPeYRgsNElLoz4CCi1OvDkY+kKt+hhr/5fCun1qFy9zvZpUhy
ZL3atLNKnDf0nRDFDZ26VCCs0yTpz2PpmRnVRiRdNz9yPqaDE0g+QdtSdM21IpUocoTRD9s331qn
WP6LLZnKTDxvghM+/joShYJ+GHlVkm/dRWCAilK/ZlDkzDKnbjdFXSp2BnkkijfvnxCKgWaEGSZU
aP0dLQmJ0hZtkAE/+vl+Tt22w4WO3GYVaGUHWw9WAmETJwoHEBrFr8/XOOWaD9c49pVqRYU15/vU
OsVGNbGaC1NMT10gX0VW9RyERnfmDZ0MgQ6WPKZjD6tE1aSJ85u7tPTVidOJ1nVyrDmcrtWdLq7n
VCHA9KrGvzpTHBjtdUv+QJ0o62WSt3PvVqrhq+mZeV4ZSX6O6fQjQyMZggPXFPKZBjHycQNAsWDV
jxCqXo6dMacjrQylijXcVMobxWSQBJT/ZVNyhdqe+aAnb+fByke3UzdCFBzZPYxL2Vat9K8idm59
AWxW6d4+vzsfIwKm+EBuMC5PhRNI2fuHMA5+5as1ADNYxilrTAxnmYjawwKyiSwNPqbJ3jFz/scC
Xcb7ZY9CgjKCygQQCGRQiaZZbq6r9Y/SUejY5SK5AEIJRjGMyqXWNHAOfb7lj0+StS2IIaGz1n9j
WQ7Dd2a01MBOJH1ZNOlt2ITbkUHbM2t8fJLv1jhufRaaFShUrvVlPzZ3oeNfNT3DPAywNWb6bBL7
fb6lE3Wj9+sdfUbBEM3YKBCsp+qbUpgLuxpXc+ajTLHbA+0spOZiNCcivDPMnicPE1b3mQqWx3gc
2QJvDlvwFdwfaFC4OtKyA8p15jQ/vgd2xxXlyVOXwgO9v6Tw6Q6B0XNbBBABN20NjynsVa9P0Hi2
56RNTwTr82q2yYuA4A3W+verNRXBsd+wpSYddA+SCN+NciZ4oG5wmXt+Cbr4oUV0tQk0D6XWa7VO
foopNDw05c9815PX6OCvcvRMUCwJOyEMfSkXSrrIwjDbWo02XcC+Vq/lJmdsVeuTM+b11GnDs8tR
w6dn4tff718aQsZXgbIs+758IsbwsrK8t/3mfrD+WFodM3C41JGhc+I8ECkgsaVVGy/GyEAkDlj2
/RsCtDNJyKmLOofM0K2btHGOv2pqg2MOCp1dBdYdBa5VzVTcmXt66nMdrnH0udquo35UI2MRtjKD
xpSHtcoGUZ8wlFDb2xIMxufvfv4U70uPnN/Bpo4fRpRQ/Is5v5LBTWiDW69rK1CoTvz8+UJzJHm8
EO0ihqvnNwgP8/s7IbqgzRTAJEtdqZqH0LbSXVpJJXXwsGTMLJW8TtbVi6LXnNu4Krsz7+DUx5sZ
fSlHzu3440C3gbMrUEdFhy8HTFNCdlAPzZkLcnqL/13DOuIozkpTrZySNXRJWzBH6sKAP4CJafkX
g91aKFyl0r3Pz/Wk4T7Y2THDKYFHo8amjGmTR+ZiFY+4IsufbItsvKtcOZA9f6DV+eftDBCbpCa8
b8BBKHO9/6BA3kFfT3SIonRMt4UKepf2Tf1vvtvcErLh8iRNPro2zUiyOJWEUHqjUBbXLmFO/uM0
fN7IP0scvbmiiEUVqwSDTSZ+mlL/Ra8sxI0ZCeugYUIZ6UI2+7dANc7kXqes5OG6RwfoMBPClANb
gx7pog205yCBgFmT2txTje7759fklGGZWXBhwwWS8UGAY8ipGHchQC6K440d7Qi3C6e6kKv75hwO
7uS+/lnq+BmoSmDXut6xr264BoJ/F7fVc+vU3xrlHKf7yVd9sNTR7dB1X8qgpwJYwCSsW1TqNrad
+oxNPmUiD47OOrofsWZk5WCyiFOpK2AOPfNCTeWCpToD0zq30NGFqAom0MacpN/XU3kJCdLFEKb5
UkmdMyHX6YXo0EFCSyB73AYqIJ5jFHm+8UN2PaG71ULgLWKEqD6/dOfWsd+bCKjumAIvWKckeKxK
5Y525JPRnZPRO7fMbJcPqumpVcod1JycG7rOzuhcmGW1JTJ5+Xw3p56QBmc1mRx5yweYDr0BvWB4
lox1SO8CJGG9EVHT1C+eFTncQIlyBot46h2hqvi7UY0BP9qWr/lTQPqoQxlQMSP5VKTSLTz+tvWv
XMisxsHAFwA6JpffH2DodN1gtgQB8xhTR2BK+i3yVT1+bVPYYe/M4Ip5nn/juICQkH1DAo6ExtF1
nwyH7j4knkuh5Ouxby60Ovw+H+kk6Qw6x+kbGSWEEna8qaOzyjWnTAeqnLgLFBRoSRyZDjkMhUbB
HY2QJh6ZnIfBToNJ+fMrc/ITHixyZDp0u03yJiIQNpNK3MaJlj4UjgXjSS8Vkhs3qX7Gp5y4oxQM
abjO/ONs7WhXRuqrsmiZVugYu5bdOkdVLlXhc85ySMnhiW1WNrSJr59vc37HR7EdXoWeALwlfFFz
PoaDBygMpoO6VnB/BukCdhwYgOVtE4uvY6K9jo7xP6Sd13LdWpZlf6Wi3pEFj42IqoxoAMfQiFaU
e0GQFLXhvf/6HuDNziSPTvO0svPtpiRuAthurTXXHHs71k/tLcee9M2Yh6dMp9gpXneMaWGz6Cuq
kf9KcboMYrnQeVfZWDa7XRRtPn7SU6MevN+ob2DpyZZZY8bXWVH3aILSTU+8OmS4SS2FeqJadySH
RJXF5O6zCvNRJB3sAlYs8QFV+Xhli0P2En0yRD57OYUsLxfTFnuX+Dxvp2FP7zbzKrdKiiTjiSvS
kWzdu9/isE+ERMqMJr82NxqaBGHcSgVhEg331PFpicHHtM+/jnbiWTatYkZ2Yhkd2eC5sXMGrwo6
9EgHO4Wjunm9lBmuAkVyZWPe0NN1MzeXoNnchz//wIQoVH91ooTf6lv10MoubDAwmLD/NqfpzpnK
H6aaYRdQJ1RK3PjEsx3ZIvCcJwRDxwLP5/D7pvWUNq5YHRPyNiCdjbNy/zCVJZeA7vbjZ1unysEy
JQJbJQEodH6v+ijqmFdpHpmbvu+v3TnV/DZET7/ufXzaPdaGT1m6aDtKxMWpzX5dGL+Nja0WeZF1
Jh+2UY16q4QjGogNjrwbx238EQqjHZaPA42Q2PM8OGMTNEW/o4K4byUeph8/+5HXjKbsn+O/RlFv
tqguD4ekHqS5ydv8Mi7Nx0qrLqIwulmKU6Hm0aEQeAkENmQLDkUEJWbU9VJ3fNE0uVnmL709BBHO
P+P85c+fCdgdmG6aqlBjHiyLyplGfO9dY6MomIfFeX2/nqC20vidVIcT8/TIHv/KOCcIQ2v/myCw
maK+wzeDQ0QZPtWhEky5uzFDm+1AyDMie1zh4+Ls4yc8ckgzKF0FKhEaPXgHmx/Kq1zv4pBZY3Z+
K8VCg7z4R1fm/7Xp6cQgh5lWoNJT6HYMUs/N2VAh/Ai1P49ieQ7keDyIxs1xPVbezD5VUQTuAsx+
/OQUHEuMc6w4/o045d0gB7dtCzsy2UQMUplq601G/4znO8qS7tvHH+XIGchJryKTAR1BEvzgDMRw
FMIExjNkN5USMFDa7LUZv6hqxvbEUI1raxzcE8v36Dfi29JHgWoJM6j3L9Bmmmdi5tk0N6m3qpI/
0nx3Kq1/LJWCjyDiilX+Q+X1YJQe+V0zKIwylco+a3AfLhamm21X+Emb2VUtTeFVSmh6eKTvMa0+
VTE6usg45pBvChAyh3X5gbiyimZ2KZz1KNd0Z0OLmabqkDkybe1hqoYzDa36iXBwfaw3ezNqjr9y
OASEq+Xh4cstHSfFFooKo53KR5XWazyC53QzR89Owuil/qMucGaYCsM5sakcvvG/hqYMR5xDthxC
wvvvil/+JMKC0I3LRN4ae9TGjfVNVINXytAPJxkU5rQ33LuPp/DBFv3bsOt0e7MeU7AiPULVtXPF
ulcwMuR62rvRLm+WEyv/6EgmLcwmokuoSwdTKlflUCQhyRCB+YxRzdCj6HnIkyRQRhymP36sg3vS
X4/1r8EOa6rZDEKGTjJScgoO5VLbW4ZBvOiceKaDxfjXMC59PxzmZJQO0wdhXuMePKBesztxnhTZ
FzXPv/75kxiEZ1h5Mjco/7z/QJgoN120FqR7wmxFaz/3qnNuJHQBfjzO0Qn4dqB1Rb6ZCYU5YH/Q
MNBY/pyclc6g7rnVLl2KA/QqxjPT7/mfFhBf3yCN66TUyYeToT0YFcvEGT5lY60B01WniPuZQPfj
Jzs28d4McYinnIrScAuLIdQ8uiUCvBJjfCk6c5uF5v3HQ62/7eH+YXDXcTRuOybwsvfv0FZKNApo
3jeNHu7k/NqYHLgdIEBzdC6HsP6RWPPLx2Me27PejnmwgrMkJCpgV9lM0EsU0LPVdWaaqAW+mVK9
CLsX5+zjAY+sLVS+JCroyqf75VATFoeRo4Q2uE+8lzESmbDVcq+BopwY5uBwXWcGjScWff9IByz3
UFRcWxGzPKcAZDfPeBFtaQXDACFABRq5yonvdvSRHCRktHnATT48bRrHwgUVZASLDLPZJr831Pgi
Ftil/vmrczlY2Gm4/Ovu4e0HvWAOZQYZRGuTMwvpG6pFYKb2qSrvkY3JcFlTJOhMIo3DicgerJhJ
qtFFU8BuGt1vrWb//PhZDuPx1w/EQUXMxuqy6Jd/P9mZ1V2q9WStunC+zQbrjIaSDnFgeCGc6JNa
9r/sMuNaxKuUcv6eW+GptstD4flfv4IgE4mcSmMmHpwp+EAVlM5I101DcTmM+bmu5tuc+NhT3OHr
ootNhNfRkndPqoUUfhIBzlYXM5V1JM87rjXTiQ989L1jtsHH5YT7rYSf2nLKRE2ay9Wbu7TWHyU0
iY/f+7F1sZYOV3Ar96LDZKGUrWsvyUK6JzbUTWQP1pNl9fI7TpjxRank4RaXJ/fzx4NqR3Y2XInJ
vXDMsSAPa2uAASwjxMePLO+UXI6ulZ5NQwoNaSz4vAuGcl5oYrzjtnr0VXVsY8v+iI8z8LQgr4XY
DkrS+9w1GlBS9eTNdo3ZYubCKE/zU1q+Izs+LdAsY0CHzIvD5Zw38+A2LctZX6+LyhdRJZ+K9NmF
gP7xaznyud8NtP75mzOzV4oE62TkDaUp7tfPrckq+HeGsFGFuGuq/VDEl+FvrFhQpDZLOHT+FKKb
wkDf/3gQXf/94CKa5aDAvoOGkcO1DGVoGKKYzRZmo/o5L/LuGtlUVuMjNGA3ZsfqJ7NbSrg/6N/0
2AKYamra5yqdCnzWhrbzDacSQedO8dcocq2LigjwhzPa4JfojnkY+9aGNOQM94scNW/MJudEyfno
N3/zBAefQo2xiBlyJmil21+noSNbX+a3Rtuj9chOlfCPDUZsgvJpjU9waX//3YdOanoTkQLIZokx
v/41Qi7QVuIarsaJUtixbZZX+a+xDh4sSnJMwnvGEhV51UG39nGBu3Fjd0GvV5tIl7/wttqsZiEi
q780/bD7eHIcf9jV/AeCJIWyg4ctCw4YEAH8Aol2o0Femaq0C7oa7XLSyX9jMFJz7Oy0FJGkOtjR
+27InEwt6ckQ5uKpqTgb+YyNJfbLyQ7BY3vam7EOM2GVnbh5Edacxpbw3GErI5Bu0Q+Aixu0Ap4F
lu3jN7l+qoPrIaY1rzJZLlBoMN5PG8Wa9DgcEy67mTgPWwOYlm6cqHsceyiaIxBkr25JnBHvx2hH
Q2ljmVmbYhD7XjWuuDfpbbKxq+Z8NZNR9RMDHnsoUm5c02hJIld8cA1oJqkUZk0nHVo1/dzuQ9XX
zHw+sUMduaFxn+Zkpe2JGtWh+kGXTeNgqoyknS5kaU/PWS8DAyz0x1/o2Fxnj33tdVxlnAfTj1tS
EgNGsTf45l86HbjKdQoWwK2SIjqVZTlykpsYRnBA0SUKwPxgMDWacfdPaQ1UsxqztaxPdokjw7Os
L5j6bQwGZx6jEy9y/aGHcxCPPMGFaf3f4ROmeSa1HLfYjWkXP2M1fAoFYFBtmnbT7O7LhF6LyEAs
ivjpxOw/9gmttSfRWk3JfrtkV4OmjNHaLICRv99E2hcZ59B95uVEiebYN6SHHK4zRxmiw/W1vzmU
c7hAqcQyntwCpr1ZN1KtEMmtdONik3XV9uMZc+yp0Pe5xFgqQdFhDnAppqTKOvpvk27Wt8Iyb5yl
E148xc2JE+6w9LTedslLAexlbXMgHK60IkudWXIN3oyK8wVwxm2HkGBM8+tkmn8MRb0xxuKmG9SU
NkfE8XlruTjtn2qIP/rAqw0SSxH7ssOVmC9TF64Ta1PjWe+p8XDV6NXNfBI8f+wzUoAnzFxbC37L
xdVTYcu6poFancPHzI7ajTIP+7DECCBUxK8//4r0rrHwSa06v8UybqXkKYbNvFr8MT21s/Z1p15T
7DvxDY+8PIuGMeSKwoFuf7j6plKbs5Szj86/un/SMiOhNF12tRF0VTbff/xQR96gw+V3jRWwFcS2
6v1CGGXMjrnAMmpL5YIMk/RVgxiMo2PXOqE8sbyPjSZoFNPXhDjmdgcHz+K2HRyWzNkAY9M/031c
no14Vl1ZcMv8aiTzd2LAI+/SQUFp42+I5epv30xtyykk2HI2bk/xyctMxb0E0NXgvK+N2ueP3+Wh
knldfIJcBJEPglfbPnyZXJsFPimt2AhDhjeuNeg2juq2dRnHk81FpXRSL9RsZ68kcfZQVV3U+Hpf
NZ9pb02/yC61b6Y+F80Jaczv27mgiElU5uiU2fjd3n/jWh+TpTBjZA62fjOWdo9Puobx5zJerycX
dt9fmyy+Z0s8tQ/8ftF4N7Khvx8Z0cigj5BaXlMMahP6lgIrmbmlh+ml2hqY8p6SN/0+xdYhXXcN
fVECHGaeZFzBYku4iS5asl/LOrYeb5q8PUsj5fnj731sKPdVIwhek7zrOvneHCKORjK0NNahFjX2
crMXHq3j+F1HeQ5Arfr+8XBHsq+r35G2Ghtyzcbl8/14mdrltp4WazLF8Njngym8RZmYGOgqDO1T
WuO/EuF2q5wY+PfbG+PiGsp5TD0cQdf7cfOlsJu6z7ncl6myS8jIQ4Fptx8/3dFBEG5QT6JJzD5M
e8VtnFkJ9ugbGBs/rFy7beTw4/9nCJon3j9HXUxxTBcawhsZPlVj/l1rxKnS/bEZT8P4Px4Da9X3
Ywy9DYc7ZoxXgygOPFvQnyUWPxZV4IZfhvLu44f6fYd77afGSo64HL3HwYAGSF+JfTNReZ+DFtGi
K438VmUs9R8fS4IthGSJQchlUe97/2TomrEwcSYK9ZilL3Wyh7PgjcmpGH2dTO/vngyDbHC1cmUH
PdysQMpIw8pIXTVzig5rLSrI6kmNflqcTbntcPCeumMfmXoI20wOP40SLVe090/WmW3plCT6cbuE
ZyOQymjzH/btcDTwWGvaZD0ZOGoO3l65qGquJrTUKF37udXFdekop2xPf48V1jGEy7Vrdfc73B+A
f6bVQj5iMxZ4njpVpSNVheYMezWYtfgRU/pTucwjWyAXTd4aQRc702HBrgMA5ZYlya1c3NtdCPEb
Wljz0E1nH8/yY7OCQJ8tnT4har0Hn6jOTDlGDrquCgCBlbvn9EZ47H2jLaG/Oh6WcOdRsvt40GPv
8+2g61p/s79HldGPeVqu5+YQdHYe2HOCbfnggcReawz/xmhr+zwbOyLIw/SaAPJQKXQ8UILCbDxp
oApY/TD5cRqZdOUOnYe9aHEiMD92phBordEsofOaK37/jD2ksNywaDShpJ2gBIRQmg7LtzW860X1
TS5xC3tZBbisbTU9O1UnOrb0dBv7JVKBbMjmwfDzgm/4WFMfSBzlKW+1LtBkZu4/frPHJil6mNWi
AGciDrD3z6gZ5QzSarVtrpu826hGn9xyJZacmg18+pYz/MRhdmy6kh+gVEru3RaHh5nR1ZGbwdPZ
sBq9NH4xUiuIKzNYOBCImLzM0a/oTtz8+XMSYSJLWItizKT3z9mvnnxLFGEqKrjJFYX2fayVM6Kz
2M9H88Sl8tjioEUQ+ezqTvKbKQIe9dWi23Rc6jAJ8vXqUcR+C4Mnar9wwz+xFI/Nk7ejrX/+ZilC
vw4d2D6k/Cr3y1Abl27inKoUnRrj4PUVRWhCPWGM1JovxiL54YrhxHI7/tLQp7LU1kzVQfzT4K5g
W6sPUDPKF2m0V72sk22sGXstUc6FGE/FP0efCcE40BGgNGg03783YO6lOq0m4nYutU2fNUGJsdqJ
j3OkMoAElPuviZh5TUMfPBbQlC6JB5M3lzci349TlW+FGhok9i0Zfcm0ys2h0rbZzZgO0belGfGW
bPLmoc6F8yQAbT4odPcMAQVzK/PqHDxUULl1n/gW4Me7VpmjxUv6SJ5bbVdcukWTgJ2Zu/TEHefI
60LKRGYUDR2SokOthqCbsYgFdfKu5IotcBQtstw+EZMe23PX3DVihtfkmnHwurKZ1KelAZeS7ryz
6FrwnFEGLU7RhQV+vvwUIgbA/As0w4l96UiESs5rLV7zhC5n2zpB36wjqnY2nkKks2GUlfDsFwrn
TpSAB8aIuN814IkhBC61pgSK22golc3cbLxpmoAqNqab7hduUHfYWo6/Pt68sMNi7IObH24XNImT
I+NGcShflK5Y0P+QvlVMMQHohnSReQie7EfZ2m0HvyzRFa/veul4cZPbdyRC52+LiJsLbsClGWBW
3t1XjrU05/bgpKM/TmqiBrMNb5ZkWyHxL9aHDuycV82LAzB8ag3l1jKzmAL4MOF/kphadCYjdbpb
5jgHE1c44MEmOw3gw/ZnrrYobjCrCShMS6HC4cg0uwcyJ29JT03Xk67Om8YspjM3LZTN2DXTvnUw
4fRroxtIp5Ywr5y+/z4l8bIJ7Sr/QqFW7kc8Fu6d3C5uUcnZ3+A5TiwY0YhrThHzs25EboBHs6Qd
aK6KwFBb7UKbF/eGcuv4pOCCqfpqvQyPihVql42hqNdCcYBCT65+O89Df7eYWpz/qOOhvC6KqQr0
NA+jbQV1FPQ51dYqKEDWXheKqEHIOHFa+hCZSFJGgK/mFV7l7rWxNAGrA7NzZSSCiY1l3CwWuqaL
FO8oeZPOaQNnpFRhzIo5tnVcm3NnvCDXb5u+RsNRcd7rSbbSCMP2V8LvaXyxq7FzPZUagT/Rnrby
4dU7GQ5AeyM8BS8qS4vVQI+iblc2NoRdXcz9AIMsqhoi4Sb9jh51fBzYeoLMSUrdW3pbv57qdCbQ
i+tn0cqawDyKVc9O1ebBCPXU9G3of5swkjE0ztG6E0oNmS+ZBb57g5klzcaJK3g5mW4VvzpDqRRP
QAveF0svcq/C1vVzGWYAzaKm3zqgVvykU4sHTa+WL1qOQa9Bf4zhTbpELNLPy49BF/UNRMliUwOt
vVK1Qb0cHLOn+BzNbYs5lKVtwpLpZckxeTCXZYGzooJA82adXXfTtXnzXRtpNYYZWuyTEZ6g2joF
9ahRkfq+Kwd6V0ddPyskCGHPgjX7S5LI86G/ZAkQtlJoqDNlJb4WeZ/fVX3Pi534HcRnCrCD2GCF
CIKwNuDHnLVpGT3Huqz3vS6G1psnZcy3dWrgVwc7+RLMuU6YqRemn3VRdkGZIKYzyKqGyxndP9xP
Gi9qEPa+nkXi0bYTRKBO57TVVUxaLt315Zg1vrRCoJ4K7cX5xmqM+QlcQ/yijWrJy6PudlWFcQ9P
2IRAGUaoAqfETdKgniHdbbib3BWhkeZny6jlV/1ojQ1MuQ7OkpVN15oYNPxfamzMl5X7Ggu3eWhN
oTwiJWISLjlmudB43SjzsrhGD2UrCoi6JVLxHa/0n2IMy7UD6MUUdV2dG0ahfqYvueV2ns0LFrMi
eelz9KB7s3TpbIPO7sSw9iZzb80qWfUickcvW4lzQeNAg/pUZIneAZwlVfdgjhZQXChM2XVcWPNY
weapmj0vut2Pedu631lB7nOiGHAKoyhtcfCnzrqtXRHWCWi0uf1ZuPB5EhLkQMGWVvVE1T7Yr0x4
5ZUPDw0PnvH4yo1XqpUh37zy5MtXtny1YubXyfK5fGXP89PU0XdWJH39SqdvX0n1+AbBk05eCfbt
CrO3Vqx98Uq4b2Z9dnfTUik3KMHmGTfeNA2rYMHWoT43bVoAz8y5GNu7Nomgg9b6JJcNWdL+cwKA
CxhMOldkRUOrt7dqosXlNu6iEB/2Yi7Os6Se40sEXrYZhPiBz4FrFXAi+n6pv8WxaeAQEcbJjcRO
KbzmVtAY57okoL8XbSnrXZwL+yETK3e7qeR8ldA5/1Wd+3DeYPFfDcGopK8Axt6uNnPW5xZNJTEb
mbnk1QUcQuObZLrb28iqASMtpmUqvt5m3b4H0VkGeN9O7j5qGsHKtOR8vuDolJ5lxdAYQZ+0zeOU
6gRXsdMXhV9rqV35md1b0MAabLECLrWV8r2n4jtcli291Z8whZ+SoJf9VPt6GGIrknAXcbze1haE
/ZkVNhdqphm84SZz5o0q2lD60pjkQyodamXZMHTntO9P6O6aRN64HW4rftUt7otwqg5XrEn33Sil
FQHsQHLWlm5/r8eItHzZzKK4cPoUQlUUyZpNzNWndj+VPT9SzfXMi6UC+Mmas+l2HNTKONfMtOfA
4AL4szfjjrBYy79GbhouXhxr2taVvF+KTDCoNHjgQVrU4U8ujPa0KaK2+7R0mvJzxH9njcbk8GnK
lUJulnbKbi1jjL/z17PAhMCLywLtDWdKosTnS2PzGewovVanUIFUZqTqS5T0qSeYMV4MCdPv3Tg9
oxk+uhyUXomCrjPqnW114a4QsUYn2Ig7NvC8b0s0pTcuTGi/CsOEFxi3Ez5OcQT+uFN2sKkV6WmL
Odc7s8+N712TZ1u3APZFW1UbXltDlgcw2Vxfnc2vLVjYTW5qO1mHTFkl3qhhSYU4sRYfrEP4KdQR
vjXt0vkVGNtfsjeWT7E1Zp5jKu2voYFvWzaJwfV2MNOzOHPK54wWgpestZ1bgYfPd+CtNtCvHmNP
FOE7w17yzy6oVU/OyCEGaLjoO03zxqo765aUgbuZIMWctdOUbDs5tZtWccxL21LKizK3rTNjFKnw
VHyyN+qSFQ/NGgOJoWh9M3WXX1QUFd+ZY/0bZ1F66YQUT8rOVgIr5kSbomo6dxv5vSktKOytGm/i
cozuZJpXXpgP45VcDQ+a0Jm/a0o9+kSU8bVejMV52hnFRi2GLVjYs8IqnjsjoXWXXqFAK2X7SNZU
uWsK+5LMmenN6vQUD0noD2v2O3SlGbgsnKCoRbdhK4qCNg1zQPHRXNEuVXwrVVn5+STdPe3O8VPC
4bYbrGj+EmnLdFZnvbgNu8zaiabrziI5aZSEWs4aWhOToFJmcaEakFOHTF0B20pIj7QYvRpF5S6z
w/HWdPXlfGgd6EVz6Gbnsto9d9A6PIe+Z99Vm/isW93dJxPqm7PrXKwffHtMQSPEkbzQkqbyC8Ed
oc4Lg0NSRt9Ib7p+VAz5bnYduaERwMTksDYvh6itPRsKeZCkTHAjCZtgpH7kCWf5Kqap3MwwcDdq
xKlJm1jxUo+qHUSO/ZxbnRvE6WhBa1uMrd4P+l5LzfzCslZnjwLEnzEkViAHI9tyl478ItTnOyes
wCGrsj6bZaZfWVVjba1QMa8o2rQ3g64/ixJ7efSa7XU4iJba7mhduWyWRJoO159W1TYyB0k6J56L
1cY8Nr8m9pBgmWhTmKbxPlQaUl3C9JwB9GU5O/aODm4NEWA9UgSIssu5boqg6aQ8Z/Wk4D7R+170
Y6XQwCrGHRGcgpYwQcaVClme51kXbmFZWix+s5v9uNOSnSnd7CIr9Om6qkJmn8KkiGKqyV5UGOre
ngB6+72SkcuO+yj61RuNjSgTcVFkuPMTXmVNAPB05bdmNCMlZuveueqiXcduL66JFuxzUAzFLp9U
67xKXZX5My7PfWW0X915qP3ersVlNTHz6fYMt/3kJnsDPSNn45Ru6xkIACocOvAda96QhXa3LImO
CotRYYXCHWKu4nYLZVTbl0Uu/AU94y7Tbcmtcyx2WVZkG62Kc/L/PQ+Oo1gQxfNrbNezb1WW4Vdt
15JgmLUbB/3NcwxcAhvZSMAHNowHS67YR72nRtp004bDFjWmIi1qwGpXeU04Fs9uZdpe26yBVwoi
vclGbYMsKd5nw1xsu7Av9qNYwrPBiMqreLDyfZ6INvZqLnLeMCAKbDJl3hKZTfs5ie0H3eKG2qhV
5wtk8NyyDSxf9Lxq7qwuLv1cl/HFzPr+mS1Ju11mXJHQV7wsQzNfKq6SSQ/rkWJPnbnYWHmobScq
Fr5RD7EfJc24GRKhB3EGxbLIV7ZU3OdXFXvm90HNh0A2RCreCLq58XSjFd+lo7VnVLekV0TsnDVx
4xNeKumFzv0UMqY2T5fWoLSXNWWqnSFT4RslR5IddfV1rSzTbatFyXbpptnrJpfXhNWVH63HlCWJ
KCxnrXVGA2RhA9kViCESZTFc34Ybe9w/qXFSX/L/JedGJ8IH7HN/sKMZexdY6d4C0CaCgXn0YjRO
ft4i6vLrEm0srOluLwc0JWPp9D/dREs/RUNkbPtYyEtOPcuzSWJf17YrP41R7TwRX1dBbkdzcpZ0
YfFXa9R/vWsObP/+3/z3c1nNTSyj7uA///65JPLJ/3v9N//8O+//xd93L+XVY/7SHv6ld/+Gn/uP
cYPH7vHdf3CdiLv5tn9p5rsXxJnd68+H2bb+zf/XP/yPl9ef8nmuXv7nPx9/5nERxG3XxM/de/qi
SV2I9O5/vR3jH/92fYj/+c//tTz+/I+LxzbK4+boP/0HuNH9m76yF8kI437uUIb/P+BGx/gbJEfU
SA6SCMukRP9PcKNh/c1CcGKz+P+yhydn8g9wo6H/jV4iUohofFzk1qbzJ+DGv8p3/8q+KPRC4inH
OPxabzNCbc7epNjWuOvjpAkmdRG+G8/53kTLC9u30JRtQdcDeV0QF8IjwWHdzLkcub8ZzfhjBbk/
6L2CV2NUDo30WjtrL/XQLMEOEadcGijq73MtH65IOHXazmyrxPbAV4/peo2PFTZHDRBWM8YcsVj8
XEwZYuDeXZwLUWmt46tN4f5KJIjEs7jASdQrOcp2Rr1k29iFH+whl1Tvakedl4eqENPOMQtmf1h3
39SKa4VmKO5zFU9ztR11OZZem4r2jpWLjJNmusIPk7y4TcsUXjE9XNfzVI1rbJlE2r4xosjwJMFw
AeO5d2hkSdmxvKbs69hP9FjXCTB1zaDez93HE3Cj3F0/zGqQyDgbd8iol896No7Xje3UvwjC508q
+4e2IWAI0wBXjfILu2t4X/daR59bb7elT4V0AlYSjUYwmmqkodPSIt5tt2h7vL9lQCDC4RfbqnQu
dGsIF6482nKfqrPyotoJd/S4iMZPIXaL2D3081R4uRObT+OsG7MvYhiCXpuY5h4vBDC5bSvmhYuL
O/WfRqZiusk1Z/xJHCM9yxgyz4C5cKEZbC1DnjRfONlGb5wb0ewrm3uJ11MIvqQKjYe+gslct22i
pZ58MeGx8WAOtTX6bluIFwslgYHhhcguGqaj63VhQvN10immE4SpjPdTWBKK6XDJfavUisLLmqaD
ET4ureG5Iuv7fSIU9WeIqf4jfHqNfI4irKBUNOOX6nIMwfGyyjoYlhy6JHUeVYEt31ahVw2I8D7l
QyGMIEvNShAu6GUZTINl7l0rH8KtrrDkbqIY++zAZDoXmzmZKDnWEZeDTSYa696ISS16XA0ReXRW
S4M+zj0i8/SpV1/GuS7PlC7WVK/LF9kEtSycAlhdaJ1rsyNbD38i9y6bpmccpsyzWSutZ7NYsr2q
Zt0dtovV5dTLNFioBN6YmXTJm4lq+jIpiXykpBCf5XaTnlVziJe43hu5l9mde+2krn6fVW3Osy6R
blDwGVxIg2HWcdNcxpKYrYmpXNpuX20givZ7N1LkvatXa+qzcl8avaQreeqU7otL8PMEQ2h8kjge
bO06nK+WSo43cdEq591s5TcJm1znSWg7YKtBl/xQmtmYvM6Bcu3li1peZnykYMxL+YMfAjo7UtWb
NtFMfzTdH2mRVpusqOzLZchgXvd03sWDyC672bB+CFOS9Sp6SWK8TerV8QBDgAoPJj+OqnTwtVSL
Zx+ZuwWe3ODmZ8RVFnAX5qt1jh5eJonDRcMGrx3RwFNtpkqEl1arZY7fKGpNiaEhEQVgq1MfLayj
H2yjzzcqOZe7cslu56IYfTlNFalAUWwtOHy0Clh99dm2Bvcir7LJl6YZP5e4qZz31kIcPvTqjr0u
OxsSI95YbcwVYUETrEMuCDKW8sZCqRjUo9NsyoUYrZhTJ8D4QDmnIcj8nsk2m704Mpudhaufn85Z
fKWY6fIpx07/2m2VJohIltFh3LR3lki4psghDECbiwkbopTodozMGzJu6WetVaIXzSlcgNpwrynl
6u7Fkk/JHmlRvAf3Ou4KUyrnlRtZ+7UBh3Tv1E51gCwm+SStfEw3mjEuT1Jx2z029vFdrkTJ2Th1
tyDC3SzQYb9nnpu4+neEHO5F2aQwnyxrtm8XlW59rEHG2q9dNT8XXTsX12bYTV+SqYx+JbBa7vrE
CD/r1ZRmrI7RfZLQy32lbfA+l3rzOOa5/fXNsXzz11n2FhJMmeNdheFfZ9xBwcXMujLV0i7aZ6MD
TIEyqe0l1ShdX1Q59Xx6P5cLRynEjut/e4600zkvdRERDNpdcjVWi9J5hWDiB0kfL/txqalVRQCC
6jnVMz9te9rFRmlrmwy0zmYwq+iCRUW2MsyXdt8ZMvlhcJO8DtGG/SQb2d3qYa5JX2kW4XCgJXMU
TER1qaf1Y/ijdnqt9sIsL7fu0Cwu8zDPqi0Rp/J1xJhDQ/5lOZnXoX9oty3+obk3k4Kn574ydk4j
FnY+Pv+9ZQ/yCv96C+2MllgXXaRrhL1qd8OiV0FbKtxy76XpkoSFr5RNQZMMXqJ0NvCjGBb8iiSy
CPFMen24wzrzYl2L0mnP8boSW1crW9Nza7QDW8oP6VNedAhOtMggzGoTmVwklWtfFpyNW3sssnNN
iQeYpOX/Zu9MmuM2si38Vxy9hyIxA4vuiEbNRRZJcRBFbRAkRWJGAokZu/5v/cPeV6XBkmW7/dob
R7zHBSNsUmAVKpF57znnnhPWl/TFEQ8Y7PsNfy+744WE87mNq0lNkHwP5mUBQkVLw2qcbgGlGN+V
WinOImCEbGNkWcyRPJiICsOWsJPLXO+tw5i1clUNflIEvl/RzYoxMsqNL62MUtyW4j6tu2ZaKL8Y
5oXozG7dqnp8b41pfOhBHMQic/tuDso6Ut3CCgUes36vGercq+PhAVC3UDs1uF52YZL5DKJgzotQ
T7w7WvTywjYSjKQyj1jAdeGF1RPeMnFPl4bEfC2kQ4FPzkYVDGOHDDSSmnltaca0kb0e3VWz177L
2qoidC8qrNuC1Pgk0CRzPUZV5uNKYzvFtajW+D6zDazhluwLmVnawReafOG4N5qHmRgaGymHZnXN
ohx1hoCSuAgBofKy4wiwc2d8l8Ge2mea4dQiSMsiYn30lb5JWo0dPqv0D43tJYcynhVT3nWSc74B
NnVbRmATiJgiwb7I0IcCcEXM73s0WwTXjwOaBp88sNuukvUh12PIiEwjpphqrCiWkZZxXhRZXjqH
nilAWhFqzb0z5rVHvElnm2/1WdYf2ybEVk3TAI4XvjfUwCNZU2JSm5QfBqsA0U4YQn/1GM2xAjNs
HH/lRzV100Q21XRZl/5Un5cM0cCK4Ht9P4Oqvu28sgGFV+W5Xjaes56KxE4xLdKNlR971AKiAwZz
nCZ89IfauBYld35FBAvnqCp8O+cUoWUPwijXXoGK57WrOrWjTs2hnPparrWwHFfKNSFMLa0VyzYd
O31Vp0I+mn5dGVdpH+XY7oF681/jlRR5NS3KSg6M3FQqjINWIabAMSC+CilQdia4xiVuE4Xi4G5c
HUrOAOdTIHb9wuWS0R27MK9JV2b1rmJVNsvaD/NXSZjDtTJzulzgK2eZhzXGACniW7cbjZVSo8am
pFo8hcwqWoRCFzKYIiWWEVDuCjdyfxFWSWYHNg/pY5xr6iwbZyMKRn2et1qr+6+T5YbTBktJdzzo
aaLd9lrPVby4sXcRz4cIDHZaY9OaXbiXbaKep9xHlwYTGV1PYqiiwDQS/8wDr9pVrQDgAcgyN0Jr
ukVfuynukd64ipRRrxxSxGjlU3feMUBKnp9wu5UvtT7opqY78KKtPeO24r2btPXKz/xyTYlgglES
KAW7Hs4hw1tkoEAZJ2y0WXctrU5rAiK8JRxCndc88SJ564KAAqf4FNtoue0zGhJs/u0sXBlO+ERc
gb8RCb8CIt6siF6KPpBz3D5NR8/3QEv0cBlNRvYhQlH4Npr1BuzAKtL9IDUCwakYF1PUjrfjGF5N
cas/6CKP39qJ8pe9MVInho497r26H7Zw39EZVioZ991J9iQf+/ECywV7IzNh3NdqdutAMuwkgkQr
zDXlVRKBIVsVVWmU9s9+lognux/8LVnD0Srzx7Q5sAUTBd0DcHaqp1IztCRtl5E5Y0krj/WWKBJ5
K2F31znJEFeOM1o31izNnes02pVsbHPFvCYPYJQ6/W2tURXCy8M5OpHnrdyxj28rPQkfYseY44UX
dtXS82mEgqbr/YSQJlFclFMV780wdq56BCXM+vLMJgHzXNnB1sxuGyexeZEY8+gFYZmmlyqvo2lp
i0Ijw7Fzd2EB87UMu7S9mYw8uevyrr/yQayeeXb1Kz1W/kvdxM1aYRqLvb4xxVqgDZZ+b7SyZVfK
0p1dO3AtQuBMIHpq7KKlJ0i6zmgD+N0UBqcjWqEsik3o1UWQ+dq4MyqnWoZgSmdazpvlBK4dxkzK
mgShCNkCsRPdvaoFzzGaNshZ/ESXiWjzm9DIvds27rQsmLrKaAKcqR241BQs0jTGg6R50RcAjETn
Wm5c3uoc1mvH6tMraRmvrqsguqZoyrJAepm6HTutPZ+s0X0HjIaDN2IGS1HAWQNyWVtSy+OsFGQK
SnYpfQ/RIlT+xwyfmsWppPo/DPjgA0lWkxDflJZHVOk7xGeT5BEHYfCYEyHTPpbfoj4///vPsI/7
htEa3N0RfAkmoo5in+Glaf/+N9d4AyYpiLvA4srUj7bvpcSn5e9/M903iPg8RuAQRR5HSvjRF9TH
eoNrCCI/VIJHDMn+34A+DBL+SkFM+O0vZUARbcxsZLm/iRENy4XbD66/YhaE43SqCuc14nGfArse
yg/68eS1a6VMTpxhLhfN6XAWx3O6tHvXfOsMLsd3oatpn0Y1zGTXEql90MLjYd+eDv7iVARAKRq7
opzqQ+wlyW02DUVE1XwsHUB/BInjVrGNspnSoqFtaTf6qeSIT+WHCxAMYSFoT7pjfVIrGZ2F1kDN
cipf3LxXzEk1ZW+fOcngUeLoDuVOnWuUPm4+u2hLC4W7wMKMuOXLEIFR8wDbUr3MljW9bWX0yhkg
6gCrabkrocrAdkJzJhSpRBuSi0HGAdkuNm6rLhOKjWSXnXN4YT3tIG7aaWZ3yfLp2mpEd52kTKcs
KtmxLytXun2Q29O4MTsVLdp4dhZ6lYudG4feGbqm7EpBzB7sOpbnqtTUuPKdcmbI2ErIr+1B1Rie
saQ6DGE5Yb9ktQzZay1t9/kseoQoVlg5cmk4RcFmW2RGvc/HtFtnXUIYdpxqxftSNe1ZAyy2Z4Mt
dpFXdjstKhuDu23m77VamOfpgEkH5H/nPOih77SBmQ/4Rx5hrf2E7yLpK6lRnet6Li3QDyJLIPxp
LwI1pdqOo923Aqa83PvYk82dFfb1vInyOb6P6xwsx++6zg7iWi/dwLR6BhArwxjeDajSDkakacum
i2u4IptFJKb+HURLuqOZ0DIYVH9k04/dfVyn5bKFK9vmbhldRHh95QEaXIimyYqWlWx0tfYy3z2Y
iI+8gO56dJcw5KCXNoKEpUqA9oJmzlMsCWgpjDMUcJB0PRDcjO6nhVJ2qqkftwB3prXDKr4xL6u6
Ugf00CEVOAVmhvbL8C9U7eZPZNrFr7Gm5LICBLylf6UV9nNTEVufZ94mrcM0XuSRdFfhpFfVAlAo
2VqlYD5Zk/W4ByEb48CcwnzfDb0zL46kcrPIZSsvRGr0DbJoUL/eC8eroarNealNWrbpi1jsdNCR
Ze92uYV+CtxwXZtmem4qXbMXhmzNLTR9vOnHS9WNcwTy2kAOqaafzzEpReVdFIQYidoS2aJ2ivTJ
rTNo2dw8G8Zk6ALC6vhXklf4tqLvu5+yViwGZZ8Xvg/PYsz3SaN1iy4KAfP82L8Teps9jSrmk6HF
iEFbRZ8GchDJMmcYZsHnXi6KJrPlfZFNCFmqQjy1TT47waTnD2Bs/lmSpFFgGeFVmtWsqLiEX43N
QYfQwn4+A8kP7WNWzkwxr9naZp7PoW2vDV36YHoarUdSaktpO3Jje7V5URSetseBBEVOYqSrMcfj
1yqbFvVQ179aGRSRGbXmvktjuZs7P9/2vL6lpaWvRts0dyb00tYehMK7hjDslzrxUcGRDelfdbpu
ro9H97iYXa/a6yFKJmRq3TZELQhXiyAAsjZJx/PZhLMpIymWfh9mh9wmVn6VDmXNvOUYyWmBn6vW
Ba2jk9EX95q+adLJJ4wgqZEyJI28NlIr348synPPa9Oz2U+ssy7uPDQPVde891mRy8YuvWdnCo0y
cBi6vwQ58K7LQrjbtG1RF1jIHAArNeOjz9Jaho1evmWKI2OnnJkRLLLI2gq7re4wdEg2A4ziOd73
kNNx5hbBYGRzA/CM94Hupu5FmfnOs56QwLlSPvoeR7XVh1b59gIFUHtbG03zPEZ6deUg+Tig0Jm8
xZCl0UVjN4yBSjfeDLZgyEDLK7MNZsbSP0BUp9NCdvl45zC2qAKbg4Lmto4vi1Bjk+oqFwkheQ0E
8cEpSBIc0VT21uSu3L72bjTLpAunEoseXJGxo0RJP37QnFj7kHUWHW1Ka/au8lNnE3uVe+kLx9z7
45C98nrVFTDt9ORj0CmDmUYeGDVROVCF8tpbn0OLE6IZ6B3NiNIXifM0vfUi5a3dyR7ezZbjrN26
LB6ZgvVVUDXZEAV0tEMb4FFYMvFZm9GGj2o41yNmPpduEqq3iTIdCvrKydKgnfMBNlSObb6quhjL
YjfVOrnpaA/DXaVaEVFVj06+psPWL5BkWfeGO4DVG43IpnXSF8A5o/IiM0gM5Z0l+NcXC2mNTbuk
I1BU5rOYzUVnwAwuQrj5h4EGLWVnjIVc0OCEBxhME9S4deIdK8SfF9JI2scodjkVB9vTr7Pe5f43
HkqoICJJeGuMRf7OsuL6uqrzBpEbPhDX6WTR3Og9UBcDZGcJsMKlfkTKkxNozioAQFf2ULJVGl0+
gJ2AsSPFSuJVMsVuHAyqictVdILk9RM8752gekRt1pbeGwA/O4H5+QnYlyeQ3zgB/nwKABujL92N
o7fedZ4bVb2cTyQBGKb1mhaaby9LX9Pv/COfkByZBe9EMsgT4ZCdyAd6Jw6vusPJD0PCFOi6aeNF
DDz/akQyuW7nKl1MhJkk6zppZrIB2UMfixMAUZ3AiPEETPx/8Q1TxgjB7xXf65ePL+oxz6ef/nkk
bSnAX9TLx59uVfL0mP/0T0XZ/X09/uWSn+tx/Q2FNbMxfMMj+0S2fqrHHQhanOpI92HOzAWlYTjg
S0FuvcFW4TSUyPCecI61ekOLf6zVdWp1ruc5OC+x9VNif2GKP0PSnwhy2OlfgahtcRzI+JmGPfob
YkeBwwBcMQ64P2TttTzjzSANtJDD5GzsCia2yUOVk8+Y5rfxOKCO8L24IE227p1HfALGt5kNOeel
lX092hnFoaJJWY+6LtR2BoiCQitG62CbLrRgUQ6dz8mYjXCPoynkEtQfDWmTWHGLxsW7GU0UopS4
E99r3YvcbUI+F7oitCMLdj/TeXLhOYqg1LNxaRUalO3QekW/QNsSd/tMhCWWGspOV5UW+/OyL9mu
SbdL1byMfJk+h7EsNrVOWX9mGlq5DOvEPNBdZ7e4C+v7xs1lccNkyCyflW52D3MJiL7QYSpvC2GD
V8EdyBEJC7+9ZtYBhaGl0ObtnN6TzFXZITt21q8NvXDVPhRzSrBpojeYtOKPHK0aFz/4syllZzcz
hJZBZTrFcFb7c38NmTvsClypp42nmU21o2qq4kWLBp0ZArO3HoUci5oq0SS6D3MxPVn5heNrG8Jb
G7lx6Ym8zUCQi31t2C64fNao4bkczWaT2IDK7JUVNHIMgKgtQULag9f4hIs1WV0B8/rz/ODMlbhv
EGbDZgml3oOvl+ahszuEnP3xVau2ieRK8Hb3Fn3NszCOpZGNwfWwnFAtvqMGae0NRw72QVktJvIp
IkYE1FS4h6y1bKSPqTu8DG4nb60mL4EJI5FBZKCXu+KpeRgTo7pAh/to91nxkokuPYTu0DDAZuNT
CUex57zqqxXx4ta0SrUUS1iUQuhyqiZ68d1ZWwxxcp2U6MYApXMM90QIMF+5YOqj3JFjR5FWJPNO
V27FHRT3iYmLbt5rzmJInNdkTvAUK2JjmaZhuow6WT51wr13ZMRnrrvVWyQOznnXlk+656WXbYHn
rikVYq6ZvqaRNfxJMU2H0rXkpvaKaJtnTbJKbRfWpnHNi7bL6BtcdATumuWE4qEpTG9BwVFHa89V
4cc0ndSTDl5zSNrePO9KK10KTXGrMZRrN0Mr7MdJOpQJhtKdLbDitnc4lIRG8Vk6nPK0YMW+jut2
08xTcz4PjE7znN5BWHp3Cs+2pe8U7UbTfOPSVBKr8CJzL2JheY8e4OdGUwZQW20nG8czJzjloY3Q
ZwjOdDQhTRWI0AGW68f+Om6i7E56sBqdaJzzLLSM82ZiTZJrJb12UdcJikbNm7ugS21QZIhSwqdF
e51YmXff9sq/n+ZYXjs1sTprs5vot/LEycqt1okuCUp0nc6iUGV+bsBD9wsjQtY+T5Kyre5bhYYv
hS/PsNcwA92R5ms1lNm72CLuG7ZN02OGkF1x08wK4anTmxurVXrLVFEo9u7oPUworD6wy2i3I9q4
VVIr7cFNoscYXw2qQa/cMIroHY1sRLvEFnp+b7RueuaLcnjfqGS4nMQ0PpQiS88tsOgdiKp4Mr1w
Is8j7vtxSZU6w7935q2YGwbKMOHhKI+ruQpSbwrjhc+IxNJ0NH1YVpOhbbukUuvZoCMJRvTCG9xy
TJyPPCuG+yjmfUlY8E7UvqKDZTOrbRXScw0qV3S6k+MwrKDRG2MzTK5ZmhTjGcO/lkMctxvu0BPV
BbvGnGzRNI/HK+oPyN29Ooit6qhPG/WlTLDPnqHGdokA+2VtLouJiUFEZHok7q1Y6kCSsXZntdVl
pxtXhZ8tphb2hIG8JzcjbTnDDCdyGoQ0ZW2KB7QgcmszSnyvd1K+0lFgdmsX4tADc2yTtIovmTcp
gthztq5NZ5IbXsjsix/vlILyk7lTvPNG3KMgYWqaCiLdL32Ut7QbjgUNOVCvJpEO9eZ4awdpaVWZ
VKPwV9dRUarLmvHKIwU4Rzup/MhE5hFhROTp6paGPLxmzMZYmV2vve0ZxjvOSkTDq22PxbnTeuIc
3F7v1ugxxFkThfpLNE01hpMN1aymqT36C5/Pe07Ge0rkFnEgyEWax8M+B85gaoJYYH3O4oMWZfo5
esG9jkoDbWR8rdtlcSFaP1+VzsCS9PMRN4CyKyHjW2XoS6+v8hWBP8kqd3KSYqZUQUCgJg782BQb
PN1qdvQ0vaYgR+AbSUNweLelXKlcyndMtyNSGO3K5jk2mKfr3dSOVxUg9c2cNyG2fNVRq6pbZw72
Yjqoj2FsIQaQm3dtMS7SIj0ypmoakET2Wv4+VWESL3EalNZiBuWGFUxkvWlU/xxxRs5BZqrpbYWX
19biGEN2W6oVohbUKgjhk600y7INXOGN+zmr06tpakMRoHuRO0mBcFcUXXPDNyYa2nks1gnRpt3C
biN44kT0+gXTSCkTBu3UbgEo2I8cfODdoPdYqynJKze67oariHmgpZlqBvRa3gxngJvGg6P0jGAU
KWn2Q2tXFcO07mOmJNp8guERVpu3DN4nN0LW7iZVcTosBafhIso0WuI6NJdCL+J3nMnNDVtnjkhd
6h2RVh5yV9YT/RvoPEIIcn366NlLE3E1RX52p9NzsHN2tVhCohThwmzS/LpnLufGxJh5CMI+zN9B
r3ePYWREG/IBzIM5DQ7YJ0AV8tpWLd0Gnfk2trQi3Sb4WawLpiNfJhTva8LjLMKKizK7qSonjJey
te60hLbTMaxEYDXZCJQUVlZdALGgxy+GkjhnxKKklzEn9aB8s7sNGeRYubrLmmUEbU6gB7pm2SWO
fYsHIed6SJzFcxWNHw2jEltkYt4DQo60XHMm5kzhxZ1/LlClnY2DbhuQcc6Z76EJRX1VjO2lz4jd
XRMVto3inIyl/31vckieFWDSa/tLned30tBf14v+CSnoN6rRH7SgX2vxI6Z/JZOyvZX/3S99KfJ/
/ULfiUufZVe2R6lqlMjvuYJjeMZ3wtLTSzoJW3/vCjlDOm33Ee2p4SMd9WEXsAg8fSEdzWUJO3H6
seO9oSXBItsguO74Rd/C3/vmDv3WPfj9t/ej6vbH63z3Bn5TX4tf6LHj+4P34ReX+eY+eG9MwyRj
2sXO8vT1/X2w3+ApdJTLfv4xwqC/1n1wDSzsvE8v65Pa+uvC+nE5/PZtcN7g/UIah2t/+rzppH+5
HHxUlTiLn77+crfh83JAg/xHHovfvA+m+eZoHYS78+f7gK3IN/cBwTX8momIlojU4xc//sstB+z4
fyk7/43d4bdvg/UGisk7GjZ9+ry/3x0gIFktR+Mo/dNt+MvtDnyEWIHyqv/cahBveO7hdX1s6E9f
368G442O9Y3t4iZ8+gKS+aOr4Q/spF+PHMaK8o+nwyZ5ab4ZXviPv/BlL/7xAp/32N3Hv/8NB7qv
wNPpF4+DDZ8u/fJ10OEf3y2V0znwzQ+/nAvf/vPPb/DHP/2rL+rL/9wmQHTqOZ5Ob3f6/DI/jUvc
JOXH+FuE7uvW9/NL+WEg4+vn/3tXvurK9PHpF5f+tH7+7KXP4unpRf109ZjFbUc26fD4iz/z6Wn9
s3/mP4+SfP0o/7tb9AeVC3/yryCM6J7jX5FGfDnr/+x9+u8x4D/5znZN/u9/Ff/+19O///Xx2xXw
87n1+2/t1x6nr/XYjw/Zlzrr1/7Z9zvI8Tee85dH9Y//AQAA//8=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17" Type="http://schemas.openxmlformats.org/officeDocument/2006/relationships/customXml" Target="../ink/ink59.xml"/><Relationship Id="rId21" Type="http://schemas.openxmlformats.org/officeDocument/2006/relationships/customXml" Target="../ink/ink11.xml"/><Relationship Id="rId42" Type="http://schemas.openxmlformats.org/officeDocument/2006/relationships/image" Target="../media/image23.png"/><Relationship Id="rId63" Type="http://schemas.openxmlformats.org/officeDocument/2006/relationships/customXml" Target="../ink/ink32.xml"/><Relationship Id="rId84" Type="http://schemas.openxmlformats.org/officeDocument/2006/relationships/image" Target="../media/image44.png"/><Relationship Id="rId138" Type="http://schemas.openxmlformats.org/officeDocument/2006/relationships/image" Target="../media/image71.png"/><Relationship Id="rId16" Type="http://schemas.openxmlformats.org/officeDocument/2006/relationships/image" Target="../media/image10.png"/><Relationship Id="rId107" Type="http://schemas.openxmlformats.org/officeDocument/2006/relationships/customXml" Target="../ink/ink54.xml"/><Relationship Id="rId11" Type="http://schemas.openxmlformats.org/officeDocument/2006/relationships/customXml" Target="../ink/ink6.xml"/><Relationship Id="rId32" Type="http://schemas.openxmlformats.org/officeDocument/2006/relationships/image" Target="../media/image18.png"/><Relationship Id="rId37" Type="http://schemas.openxmlformats.org/officeDocument/2006/relationships/customXml" Target="../ink/ink19.xml"/><Relationship Id="rId53" Type="http://schemas.openxmlformats.org/officeDocument/2006/relationships/customXml" Target="../ink/ink27.xml"/><Relationship Id="rId58" Type="http://schemas.openxmlformats.org/officeDocument/2006/relationships/image" Target="../media/image31.png"/><Relationship Id="rId74" Type="http://schemas.openxmlformats.org/officeDocument/2006/relationships/image" Target="../media/image39.png"/><Relationship Id="rId79" Type="http://schemas.openxmlformats.org/officeDocument/2006/relationships/customXml" Target="../ink/ink40.xml"/><Relationship Id="rId102" Type="http://schemas.openxmlformats.org/officeDocument/2006/relationships/image" Target="../media/image53.png"/><Relationship Id="rId123" Type="http://schemas.openxmlformats.org/officeDocument/2006/relationships/customXml" Target="../ink/ink62.xml"/><Relationship Id="rId128" Type="http://schemas.openxmlformats.org/officeDocument/2006/relationships/image" Target="../media/image66.png"/><Relationship Id="rId5" Type="http://schemas.openxmlformats.org/officeDocument/2006/relationships/customXml" Target="../ink/ink3.xml"/><Relationship Id="rId90" Type="http://schemas.openxmlformats.org/officeDocument/2006/relationships/image" Target="../media/image47.png"/><Relationship Id="rId95" Type="http://schemas.openxmlformats.org/officeDocument/2006/relationships/customXml" Target="../ink/ink48.xml"/><Relationship Id="rId22" Type="http://schemas.openxmlformats.org/officeDocument/2006/relationships/image" Target="../media/image13.png"/><Relationship Id="rId27" Type="http://schemas.openxmlformats.org/officeDocument/2006/relationships/customXml" Target="../ink/ink14.xml"/><Relationship Id="rId43" Type="http://schemas.openxmlformats.org/officeDocument/2006/relationships/customXml" Target="../ink/ink22.xml"/><Relationship Id="rId48" Type="http://schemas.openxmlformats.org/officeDocument/2006/relationships/image" Target="../media/image26.png"/><Relationship Id="rId64" Type="http://schemas.openxmlformats.org/officeDocument/2006/relationships/image" Target="../media/image34.png"/><Relationship Id="rId69" Type="http://schemas.openxmlformats.org/officeDocument/2006/relationships/customXml" Target="../ink/ink35.xml"/><Relationship Id="rId113" Type="http://schemas.openxmlformats.org/officeDocument/2006/relationships/customXml" Target="../ink/ink57.xml"/><Relationship Id="rId118" Type="http://schemas.openxmlformats.org/officeDocument/2006/relationships/image" Target="../media/image61.png"/><Relationship Id="rId134" Type="http://schemas.openxmlformats.org/officeDocument/2006/relationships/image" Target="../media/image69.png"/><Relationship Id="rId80" Type="http://schemas.openxmlformats.org/officeDocument/2006/relationships/image" Target="../media/image42.png"/><Relationship Id="rId85" Type="http://schemas.openxmlformats.org/officeDocument/2006/relationships/customXml" Target="../ink/ink43.xml"/><Relationship Id="rId12" Type="http://schemas.openxmlformats.org/officeDocument/2006/relationships/image" Target="../media/image8.png"/><Relationship Id="rId17" Type="http://schemas.openxmlformats.org/officeDocument/2006/relationships/customXml" Target="../ink/ink9.xml"/><Relationship Id="rId33" Type="http://schemas.openxmlformats.org/officeDocument/2006/relationships/customXml" Target="../ink/ink17.xml"/><Relationship Id="rId38" Type="http://schemas.openxmlformats.org/officeDocument/2006/relationships/image" Target="../media/image21.png"/><Relationship Id="rId59" Type="http://schemas.openxmlformats.org/officeDocument/2006/relationships/customXml" Target="../ink/ink30.xml"/><Relationship Id="rId103" Type="http://schemas.openxmlformats.org/officeDocument/2006/relationships/customXml" Target="../ink/ink52.xml"/><Relationship Id="rId108" Type="http://schemas.openxmlformats.org/officeDocument/2006/relationships/image" Target="../media/image56.png"/><Relationship Id="rId124" Type="http://schemas.openxmlformats.org/officeDocument/2006/relationships/image" Target="../media/image64.png"/><Relationship Id="rId129" Type="http://schemas.openxmlformats.org/officeDocument/2006/relationships/customXml" Target="../ink/ink65.xml"/><Relationship Id="rId54" Type="http://schemas.openxmlformats.org/officeDocument/2006/relationships/image" Target="../media/image29.png"/><Relationship Id="rId70" Type="http://schemas.openxmlformats.org/officeDocument/2006/relationships/image" Target="../media/image37.png"/><Relationship Id="rId75" Type="http://schemas.openxmlformats.org/officeDocument/2006/relationships/customXml" Target="../ink/ink38.xml"/><Relationship Id="rId91" Type="http://schemas.openxmlformats.org/officeDocument/2006/relationships/customXml" Target="../ink/ink46.xml"/><Relationship Id="rId96" Type="http://schemas.openxmlformats.org/officeDocument/2006/relationships/image" Target="../media/image50.png"/><Relationship Id="rId1" Type="http://schemas.openxmlformats.org/officeDocument/2006/relationships/customXml" Target="../ink/ink1.xml"/><Relationship Id="rId6" Type="http://schemas.openxmlformats.org/officeDocument/2006/relationships/image" Target="../media/image5.png"/><Relationship Id="rId23" Type="http://schemas.openxmlformats.org/officeDocument/2006/relationships/customXml" Target="../ink/ink12.xml"/><Relationship Id="rId28" Type="http://schemas.openxmlformats.org/officeDocument/2006/relationships/image" Target="../media/image16.png"/><Relationship Id="rId49" Type="http://schemas.openxmlformats.org/officeDocument/2006/relationships/customXml" Target="../ink/ink25.xml"/><Relationship Id="rId114" Type="http://schemas.openxmlformats.org/officeDocument/2006/relationships/image" Target="../media/image59.png"/><Relationship Id="rId119" Type="http://schemas.openxmlformats.org/officeDocument/2006/relationships/customXml" Target="../ink/ink60.xml"/><Relationship Id="rId44" Type="http://schemas.openxmlformats.org/officeDocument/2006/relationships/image" Target="../media/image24.png"/><Relationship Id="rId60" Type="http://schemas.openxmlformats.org/officeDocument/2006/relationships/image" Target="../media/image32.png"/><Relationship Id="rId65" Type="http://schemas.openxmlformats.org/officeDocument/2006/relationships/customXml" Target="../ink/ink33.xml"/><Relationship Id="rId81" Type="http://schemas.openxmlformats.org/officeDocument/2006/relationships/customXml" Target="../ink/ink41.xml"/><Relationship Id="rId86" Type="http://schemas.openxmlformats.org/officeDocument/2006/relationships/image" Target="../media/image45.png"/><Relationship Id="rId130" Type="http://schemas.openxmlformats.org/officeDocument/2006/relationships/image" Target="../media/image67.png"/><Relationship Id="rId135" Type="http://schemas.openxmlformats.org/officeDocument/2006/relationships/customXml" Target="../ink/ink68.xml"/><Relationship Id="rId13" Type="http://schemas.openxmlformats.org/officeDocument/2006/relationships/customXml" Target="../ink/ink7.xml"/><Relationship Id="rId18" Type="http://schemas.openxmlformats.org/officeDocument/2006/relationships/image" Target="../media/image11.png"/><Relationship Id="rId39" Type="http://schemas.openxmlformats.org/officeDocument/2006/relationships/customXml" Target="../ink/ink20.xml"/><Relationship Id="rId109" Type="http://schemas.openxmlformats.org/officeDocument/2006/relationships/customXml" Target="../ink/ink55.xml"/><Relationship Id="rId34" Type="http://schemas.openxmlformats.org/officeDocument/2006/relationships/image" Target="../media/image19.png"/><Relationship Id="rId50" Type="http://schemas.openxmlformats.org/officeDocument/2006/relationships/image" Target="../media/image27.png"/><Relationship Id="rId55" Type="http://schemas.openxmlformats.org/officeDocument/2006/relationships/customXml" Target="../ink/ink28.xml"/><Relationship Id="rId76" Type="http://schemas.openxmlformats.org/officeDocument/2006/relationships/image" Target="../media/image40.png"/><Relationship Id="rId97" Type="http://schemas.openxmlformats.org/officeDocument/2006/relationships/customXml" Target="../ink/ink49.xml"/><Relationship Id="rId104" Type="http://schemas.openxmlformats.org/officeDocument/2006/relationships/image" Target="../media/image54.png"/><Relationship Id="rId120" Type="http://schemas.openxmlformats.org/officeDocument/2006/relationships/image" Target="../media/image62.png"/><Relationship Id="rId125" Type="http://schemas.openxmlformats.org/officeDocument/2006/relationships/customXml" Target="../ink/ink63.xml"/><Relationship Id="rId7" Type="http://schemas.openxmlformats.org/officeDocument/2006/relationships/customXml" Target="../ink/ink4.xml"/><Relationship Id="rId71" Type="http://schemas.openxmlformats.org/officeDocument/2006/relationships/customXml" Target="../ink/ink36.xml"/><Relationship Id="rId92" Type="http://schemas.openxmlformats.org/officeDocument/2006/relationships/image" Target="../media/image48.png"/><Relationship Id="rId2" Type="http://schemas.openxmlformats.org/officeDocument/2006/relationships/image" Target="../media/image3.png"/><Relationship Id="rId29" Type="http://schemas.openxmlformats.org/officeDocument/2006/relationships/customXml" Target="../ink/ink15.xml"/><Relationship Id="rId24" Type="http://schemas.openxmlformats.org/officeDocument/2006/relationships/image" Target="../media/image14.png"/><Relationship Id="rId40" Type="http://schemas.openxmlformats.org/officeDocument/2006/relationships/image" Target="../media/image22.png"/><Relationship Id="rId45" Type="http://schemas.openxmlformats.org/officeDocument/2006/relationships/customXml" Target="../ink/ink23.xml"/><Relationship Id="rId66" Type="http://schemas.openxmlformats.org/officeDocument/2006/relationships/image" Target="../media/image35.png"/><Relationship Id="rId87" Type="http://schemas.openxmlformats.org/officeDocument/2006/relationships/customXml" Target="../ink/ink44.xml"/><Relationship Id="rId110" Type="http://schemas.openxmlformats.org/officeDocument/2006/relationships/image" Target="../media/image57.png"/><Relationship Id="rId115" Type="http://schemas.openxmlformats.org/officeDocument/2006/relationships/customXml" Target="../ink/ink58.xml"/><Relationship Id="rId131" Type="http://schemas.openxmlformats.org/officeDocument/2006/relationships/customXml" Target="../ink/ink66.xml"/><Relationship Id="rId136" Type="http://schemas.openxmlformats.org/officeDocument/2006/relationships/image" Target="../media/image70.png"/><Relationship Id="rId61" Type="http://schemas.openxmlformats.org/officeDocument/2006/relationships/customXml" Target="../ink/ink31.xml"/><Relationship Id="rId82" Type="http://schemas.openxmlformats.org/officeDocument/2006/relationships/image" Target="../media/image43.png"/><Relationship Id="rId19" Type="http://schemas.openxmlformats.org/officeDocument/2006/relationships/customXml" Target="../ink/ink10.xml"/><Relationship Id="rId14" Type="http://schemas.openxmlformats.org/officeDocument/2006/relationships/image" Target="../media/image9.png"/><Relationship Id="rId30" Type="http://schemas.openxmlformats.org/officeDocument/2006/relationships/image" Target="../media/image17.png"/><Relationship Id="rId35" Type="http://schemas.openxmlformats.org/officeDocument/2006/relationships/customXml" Target="../ink/ink18.xml"/><Relationship Id="rId56" Type="http://schemas.openxmlformats.org/officeDocument/2006/relationships/image" Target="../media/image30.png"/><Relationship Id="rId77" Type="http://schemas.openxmlformats.org/officeDocument/2006/relationships/customXml" Target="../ink/ink39.xml"/><Relationship Id="rId100" Type="http://schemas.openxmlformats.org/officeDocument/2006/relationships/image" Target="../media/image52.png"/><Relationship Id="rId105" Type="http://schemas.openxmlformats.org/officeDocument/2006/relationships/customXml" Target="../ink/ink53.xml"/><Relationship Id="rId126" Type="http://schemas.openxmlformats.org/officeDocument/2006/relationships/image" Target="../media/image65.png"/><Relationship Id="rId8" Type="http://schemas.openxmlformats.org/officeDocument/2006/relationships/image" Target="../media/image6.png"/><Relationship Id="rId51" Type="http://schemas.openxmlformats.org/officeDocument/2006/relationships/customXml" Target="../ink/ink26.xml"/><Relationship Id="rId72" Type="http://schemas.openxmlformats.org/officeDocument/2006/relationships/image" Target="../media/image38.png"/><Relationship Id="rId93" Type="http://schemas.openxmlformats.org/officeDocument/2006/relationships/customXml" Target="../ink/ink47.xml"/><Relationship Id="rId98" Type="http://schemas.openxmlformats.org/officeDocument/2006/relationships/image" Target="../media/image51.png"/><Relationship Id="rId121" Type="http://schemas.openxmlformats.org/officeDocument/2006/relationships/customXml" Target="../ink/ink61.xml"/><Relationship Id="rId3" Type="http://schemas.openxmlformats.org/officeDocument/2006/relationships/customXml" Target="../ink/ink2.xml"/><Relationship Id="rId25" Type="http://schemas.openxmlformats.org/officeDocument/2006/relationships/customXml" Target="../ink/ink13.xml"/><Relationship Id="rId46" Type="http://schemas.openxmlformats.org/officeDocument/2006/relationships/image" Target="../media/image25.png"/><Relationship Id="rId67" Type="http://schemas.openxmlformats.org/officeDocument/2006/relationships/customXml" Target="../ink/ink34.xml"/><Relationship Id="rId116" Type="http://schemas.openxmlformats.org/officeDocument/2006/relationships/image" Target="../media/image60.png"/><Relationship Id="rId137" Type="http://schemas.openxmlformats.org/officeDocument/2006/relationships/customXml" Target="../ink/ink69.xml"/><Relationship Id="rId20" Type="http://schemas.openxmlformats.org/officeDocument/2006/relationships/image" Target="../media/image12.png"/><Relationship Id="rId41" Type="http://schemas.openxmlformats.org/officeDocument/2006/relationships/customXml" Target="../ink/ink21.xml"/><Relationship Id="rId62" Type="http://schemas.openxmlformats.org/officeDocument/2006/relationships/image" Target="../media/image33.png"/><Relationship Id="rId83" Type="http://schemas.openxmlformats.org/officeDocument/2006/relationships/customXml" Target="../ink/ink42.xml"/><Relationship Id="rId88" Type="http://schemas.openxmlformats.org/officeDocument/2006/relationships/image" Target="../media/image46.png"/><Relationship Id="rId111" Type="http://schemas.openxmlformats.org/officeDocument/2006/relationships/customXml" Target="../ink/ink56.xml"/><Relationship Id="rId132" Type="http://schemas.openxmlformats.org/officeDocument/2006/relationships/image" Target="../media/image68.png"/><Relationship Id="rId15" Type="http://schemas.openxmlformats.org/officeDocument/2006/relationships/customXml" Target="../ink/ink8.xml"/><Relationship Id="rId36" Type="http://schemas.openxmlformats.org/officeDocument/2006/relationships/image" Target="../media/image20.png"/><Relationship Id="rId57" Type="http://schemas.openxmlformats.org/officeDocument/2006/relationships/customXml" Target="../ink/ink29.xml"/><Relationship Id="rId106" Type="http://schemas.openxmlformats.org/officeDocument/2006/relationships/image" Target="../media/image55.png"/><Relationship Id="rId127" Type="http://schemas.openxmlformats.org/officeDocument/2006/relationships/customXml" Target="../ink/ink64.xml"/><Relationship Id="rId10" Type="http://schemas.openxmlformats.org/officeDocument/2006/relationships/image" Target="../media/image7.png"/><Relationship Id="rId31" Type="http://schemas.openxmlformats.org/officeDocument/2006/relationships/customXml" Target="../ink/ink16.xml"/><Relationship Id="rId52" Type="http://schemas.openxmlformats.org/officeDocument/2006/relationships/image" Target="../media/image28.png"/><Relationship Id="rId73" Type="http://schemas.openxmlformats.org/officeDocument/2006/relationships/customXml" Target="../ink/ink37.xml"/><Relationship Id="rId78" Type="http://schemas.openxmlformats.org/officeDocument/2006/relationships/image" Target="../media/image41.png"/><Relationship Id="rId94" Type="http://schemas.openxmlformats.org/officeDocument/2006/relationships/image" Target="../media/image49.png"/><Relationship Id="rId99" Type="http://schemas.openxmlformats.org/officeDocument/2006/relationships/customXml" Target="../ink/ink50.xml"/><Relationship Id="rId101" Type="http://schemas.openxmlformats.org/officeDocument/2006/relationships/customXml" Target="../ink/ink51.xml"/><Relationship Id="rId122" Type="http://schemas.openxmlformats.org/officeDocument/2006/relationships/image" Target="../media/image63.png"/><Relationship Id="rId4" Type="http://schemas.openxmlformats.org/officeDocument/2006/relationships/image" Target="../media/image4.png"/><Relationship Id="rId9" Type="http://schemas.openxmlformats.org/officeDocument/2006/relationships/customXml" Target="../ink/ink5.xml"/><Relationship Id="rId26" Type="http://schemas.openxmlformats.org/officeDocument/2006/relationships/image" Target="../media/image15.png"/><Relationship Id="rId47" Type="http://schemas.openxmlformats.org/officeDocument/2006/relationships/customXml" Target="../ink/ink24.xml"/><Relationship Id="rId68" Type="http://schemas.openxmlformats.org/officeDocument/2006/relationships/image" Target="../media/image36.png"/><Relationship Id="rId89" Type="http://schemas.openxmlformats.org/officeDocument/2006/relationships/customXml" Target="../ink/ink45.xml"/><Relationship Id="rId112" Type="http://schemas.openxmlformats.org/officeDocument/2006/relationships/image" Target="../media/image58.png"/><Relationship Id="rId133" Type="http://schemas.openxmlformats.org/officeDocument/2006/relationships/customXml" Target="../ink/ink6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73.svg"/><Relationship Id="rId13" Type="http://schemas.openxmlformats.org/officeDocument/2006/relationships/chart" Target="../charts/chart10.xml"/><Relationship Id="rId3" Type="http://schemas.openxmlformats.org/officeDocument/2006/relationships/chart" Target="../charts/chart7.xml"/><Relationship Id="rId7" Type="http://schemas.openxmlformats.org/officeDocument/2006/relationships/image" Target="../media/image72.png"/><Relationship Id="rId12" Type="http://schemas.openxmlformats.org/officeDocument/2006/relationships/chart" Target="../charts/chart9.xml"/><Relationship Id="rId2" Type="http://schemas.microsoft.com/office/2014/relationships/chartEx" Target="../charts/chartEx3.xml"/><Relationship Id="rId1" Type="http://schemas.openxmlformats.org/officeDocument/2006/relationships/chart" Target="../charts/chart6.xml"/><Relationship Id="rId6" Type="http://schemas.openxmlformats.org/officeDocument/2006/relationships/image" Target="../media/image2.svg"/><Relationship Id="rId11" Type="http://schemas.microsoft.com/office/2014/relationships/chartEx" Target="../charts/chartEx4.xml"/><Relationship Id="rId5" Type="http://schemas.openxmlformats.org/officeDocument/2006/relationships/image" Target="../media/image1.png"/><Relationship Id="rId15" Type="http://schemas.openxmlformats.org/officeDocument/2006/relationships/hyperlink" Target="#KPIs!A1"/><Relationship Id="rId10" Type="http://schemas.openxmlformats.org/officeDocument/2006/relationships/image" Target="../media/image75.svg"/><Relationship Id="rId4" Type="http://schemas.openxmlformats.org/officeDocument/2006/relationships/chart" Target="../charts/chart8.xml"/><Relationship Id="rId9" Type="http://schemas.openxmlformats.org/officeDocument/2006/relationships/image" Target="../media/image74.png"/><Relationship Id="rId14" Type="http://schemas.openxmlformats.org/officeDocument/2006/relationships/hyperlink" Target="#'Master Data'!A1"/></Relationships>
</file>

<file path=xl/drawings/drawing1.xml><?xml version="1.0" encoding="utf-8"?>
<xdr:wsDr xmlns:xdr="http://schemas.openxmlformats.org/drawingml/2006/spreadsheetDrawing" xmlns:a="http://schemas.openxmlformats.org/drawingml/2006/main">
  <xdr:twoCellAnchor editAs="oneCell">
    <xdr:from>
      <xdr:col>1</xdr:col>
      <xdr:colOff>116160</xdr:colOff>
      <xdr:row>3</xdr:row>
      <xdr:rowOff>25140</xdr:rowOff>
    </xdr:from>
    <xdr:to>
      <xdr:col>1</xdr:col>
      <xdr:colOff>124440</xdr:colOff>
      <xdr:row>3</xdr:row>
      <xdr:rowOff>29100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E3E0BF1A-1315-494B-8EB0-FC6EF851F7C3}"/>
                </a:ext>
              </a:extLst>
            </xdr14:cNvPr>
            <xdr14:cNvContentPartPr/>
          </xdr14:nvContentPartPr>
          <xdr14:nvPr macro=""/>
          <xdr14:xfrm>
            <a:off x="725760" y="581400"/>
            <a:ext cx="8280" cy="3960"/>
          </xdr14:xfrm>
        </xdr:contentPart>
      </mc:Choice>
      <mc:Fallback xmlns="">
        <xdr:pic>
          <xdr:nvPicPr>
            <xdr:cNvPr id="2" name="Ink 1">
              <a:extLst>
                <a:ext uri="{FF2B5EF4-FFF2-40B4-BE49-F238E27FC236}">
                  <a16:creationId xmlns:a16="http://schemas.microsoft.com/office/drawing/2014/main" id="{BB94FE25-93E3-D05A-ABC5-5B50851F0AD6}"/>
                </a:ext>
              </a:extLst>
            </xdr:cNvPr>
            <xdr:cNvPicPr/>
          </xdr:nvPicPr>
          <xdr:blipFill>
            <a:blip xmlns:r="http://schemas.openxmlformats.org/officeDocument/2006/relationships" r:embed="rId2"/>
            <a:stretch>
              <a:fillRect/>
            </a:stretch>
          </xdr:blipFill>
          <xdr:spPr>
            <a:xfrm>
              <a:off x="690120" y="509760"/>
              <a:ext cx="79920" cy="147600"/>
            </a:xfrm>
            <a:prstGeom prst="rect">
              <a:avLst/>
            </a:prstGeom>
          </xdr:spPr>
        </xdr:pic>
      </mc:Fallback>
    </mc:AlternateContent>
    <xdr:clientData/>
  </xdr:twoCellAnchor>
  <xdr:twoCellAnchor editAs="oneCell">
    <xdr:from>
      <xdr:col>2</xdr:col>
      <xdr:colOff>51240</xdr:colOff>
      <xdr:row>1</xdr:row>
      <xdr:rowOff>48220</xdr:rowOff>
    </xdr:from>
    <xdr:to>
      <xdr:col>2</xdr:col>
      <xdr:colOff>573960</xdr:colOff>
      <xdr:row>1</xdr:row>
      <xdr:rowOff>127780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8D749011-869D-4F9B-A043-62ADCBAAFBC0}"/>
                </a:ext>
              </a:extLst>
            </xdr14:cNvPr>
            <xdr14:cNvContentPartPr/>
          </xdr14:nvContentPartPr>
          <xdr14:nvPr macro=""/>
          <xdr14:xfrm>
            <a:off x="1266023" y="230437"/>
            <a:ext cx="522720" cy="79560"/>
          </xdr14:xfrm>
        </xdr:contentPart>
      </mc:Choice>
      <mc:Fallback xmlns="">
        <xdr:pic>
          <xdr:nvPicPr>
            <xdr:cNvPr id="3" name="Ink 2">
              <a:extLst>
                <a:ext uri="{FF2B5EF4-FFF2-40B4-BE49-F238E27FC236}">
                  <a16:creationId xmlns:a16="http://schemas.microsoft.com/office/drawing/2014/main" id="{C666EE2B-815D-65BD-7977-3427931A2AC9}"/>
                </a:ext>
              </a:extLst>
            </xdr:cNvPr>
            <xdr:cNvPicPr/>
          </xdr:nvPicPr>
          <xdr:blipFill>
            <a:blip xmlns:r="http://schemas.openxmlformats.org/officeDocument/2006/relationships" r:embed="rId4"/>
            <a:stretch>
              <a:fillRect/>
            </a:stretch>
          </xdr:blipFill>
          <xdr:spPr>
            <a:xfrm>
              <a:off x="1234440" y="161640"/>
              <a:ext cx="594360" cy="223200"/>
            </a:xfrm>
            <a:prstGeom prst="rect">
              <a:avLst/>
            </a:prstGeom>
          </xdr:spPr>
        </xdr:pic>
      </mc:Fallback>
    </mc:AlternateContent>
    <xdr:clientData/>
  </xdr:twoCellAnchor>
  <xdr:twoCellAnchor editAs="oneCell">
    <xdr:from>
      <xdr:col>2</xdr:col>
      <xdr:colOff>880320</xdr:colOff>
      <xdr:row>2</xdr:row>
      <xdr:rowOff>63320</xdr:rowOff>
    </xdr:from>
    <xdr:to>
      <xdr:col>3</xdr:col>
      <xdr:colOff>207550</xdr:colOff>
      <xdr:row>2</xdr:row>
      <xdr:rowOff>126680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EA56D8A2-3A92-4B3D-8C0F-5CB0FC1B1DAF}"/>
                </a:ext>
              </a:extLst>
            </xdr14:cNvPr>
            <xdr14:cNvContentPartPr/>
          </xdr14:nvContentPartPr>
          <xdr14:nvPr macro=""/>
          <xdr14:xfrm>
            <a:off x="2099520" y="434160"/>
            <a:ext cx="209880" cy="63360"/>
          </xdr14:xfrm>
        </xdr:contentPart>
      </mc:Choice>
      <mc:Fallback xmlns="">
        <xdr:pic>
          <xdr:nvPicPr>
            <xdr:cNvPr id="6" name="Ink 5">
              <a:extLst>
                <a:ext uri="{FF2B5EF4-FFF2-40B4-BE49-F238E27FC236}">
                  <a16:creationId xmlns:a16="http://schemas.microsoft.com/office/drawing/2014/main" id="{9589579D-3400-50AC-4BBA-AEA3D2433ACA}"/>
                </a:ext>
              </a:extLst>
            </xdr:cNvPr>
            <xdr:cNvPicPr/>
          </xdr:nvPicPr>
          <xdr:blipFill>
            <a:blip xmlns:r="http://schemas.openxmlformats.org/officeDocument/2006/relationships" r:embed="rId6"/>
            <a:stretch>
              <a:fillRect/>
            </a:stretch>
          </xdr:blipFill>
          <xdr:spPr>
            <a:xfrm>
              <a:off x="2095200" y="429840"/>
              <a:ext cx="218520" cy="72000"/>
            </a:xfrm>
            <a:prstGeom prst="rect">
              <a:avLst/>
            </a:prstGeom>
          </xdr:spPr>
        </xdr:pic>
      </mc:Fallback>
    </mc:AlternateContent>
    <xdr:clientData/>
  </xdr:twoCellAnchor>
  <xdr:twoCellAnchor editAs="oneCell">
    <xdr:from>
      <xdr:col>3</xdr:col>
      <xdr:colOff>174240</xdr:colOff>
      <xdr:row>2</xdr:row>
      <xdr:rowOff>42440</xdr:rowOff>
    </xdr:from>
    <xdr:to>
      <xdr:col>3</xdr:col>
      <xdr:colOff>483840</xdr:colOff>
      <xdr:row>2</xdr:row>
      <xdr:rowOff>170600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A2B4CAD1-B5AD-4862-9E9E-96DE3612677F}"/>
                </a:ext>
              </a:extLst>
            </xdr14:cNvPr>
            <xdr14:cNvContentPartPr/>
          </xdr14:nvContentPartPr>
          <xdr14:nvPr macro=""/>
          <xdr14:xfrm>
            <a:off x="2505960" y="413280"/>
            <a:ext cx="309600" cy="128160"/>
          </xdr14:xfrm>
        </xdr:contentPart>
      </mc:Choice>
      <mc:Fallback xmlns="">
        <xdr:pic>
          <xdr:nvPicPr>
            <xdr:cNvPr id="11" name="Ink 10">
              <a:extLst>
                <a:ext uri="{FF2B5EF4-FFF2-40B4-BE49-F238E27FC236}">
                  <a16:creationId xmlns:a16="http://schemas.microsoft.com/office/drawing/2014/main" id="{C16BFEB3-4CB6-54F4-F90D-F34EBCB12B8C}"/>
                </a:ext>
              </a:extLst>
            </xdr:cNvPr>
            <xdr:cNvPicPr/>
          </xdr:nvPicPr>
          <xdr:blipFill>
            <a:blip xmlns:r="http://schemas.openxmlformats.org/officeDocument/2006/relationships" r:embed="rId8"/>
            <a:stretch>
              <a:fillRect/>
            </a:stretch>
          </xdr:blipFill>
          <xdr:spPr>
            <a:xfrm>
              <a:off x="2501645" y="408960"/>
              <a:ext cx="318230" cy="136800"/>
            </a:xfrm>
            <a:prstGeom prst="rect">
              <a:avLst/>
            </a:prstGeom>
          </xdr:spPr>
        </xdr:pic>
      </mc:Fallback>
    </mc:AlternateContent>
    <xdr:clientData/>
  </xdr:twoCellAnchor>
  <xdr:twoCellAnchor editAs="oneCell">
    <xdr:from>
      <xdr:col>4</xdr:col>
      <xdr:colOff>117960</xdr:colOff>
      <xdr:row>2</xdr:row>
      <xdr:rowOff>42080</xdr:rowOff>
    </xdr:from>
    <xdr:to>
      <xdr:col>4</xdr:col>
      <xdr:colOff>490560</xdr:colOff>
      <xdr:row>3</xdr:row>
      <xdr:rowOff>1740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20EB58E9-90A1-42CA-AD63-2D423D6350BB}"/>
                </a:ext>
              </a:extLst>
            </xdr14:cNvPr>
            <xdr14:cNvContentPartPr/>
          </xdr14:nvContentPartPr>
          <xdr14:nvPr macro=""/>
          <xdr14:xfrm>
            <a:off x="3059280" y="412920"/>
            <a:ext cx="372600" cy="145080"/>
          </xdr14:xfrm>
        </xdr:contentPart>
      </mc:Choice>
      <mc:Fallback xmlns="">
        <xdr:pic>
          <xdr:nvPicPr>
            <xdr:cNvPr id="16" name="Ink 15">
              <a:extLst>
                <a:ext uri="{FF2B5EF4-FFF2-40B4-BE49-F238E27FC236}">
                  <a16:creationId xmlns:a16="http://schemas.microsoft.com/office/drawing/2014/main" id="{F63A7E8C-1418-12B0-C2D3-AA3FEC25D5B9}"/>
                </a:ext>
              </a:extLst>
            </xdr:cNvPr>
            <xdr:cNvPicPr/>
          </xdr:nvPicPr>
          <xdr:blipFill>
            <a:blip xmlns:r="http://schemas.openxmlformats.org/officeDocument/2006/relationships" r:embed="rId10"/>
            <a:stretch>
              <a:fillRect/>
            </a:stretch>
          </xdr:blipFill>
          <xdr:spPr>
            <a:xfrm>
              <a:off x="3054960" y="408600"/>
              <a:ext cx="381240" cy="153720"/>
            </a:xfrm>
            <a:prstGeom prst="rect">
              <a:avLst/>
            </a:prstGeom>
          </xdr:spPr>
        </xdr:pic>
      </mc:Fallback>
    </mc:AlternateContent>
    <xdr:clientData/>
  </xdr:twoCellAnchor>
  <xdr:twoCellAnchor editAs="oneCell">
    <xdr:from>
      <xdr:col>2</xdr:col>
      <xdr:colOff>42960</xdr:colOff>
      <xdr:row>3</xdr:row>
      <xdr:rowOff>95340</xdr:rowOff>
    </xdr:from>
    <xdr:to>
      <xdr:col>3</xdr:col>
      <xdr:colOff>106560</xdr:colOff>
      <xdr:row>3</xdr:row>
      <xdr:rowOff>98580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Ink 6">
              <a:extLst>
                <a:ext uri="{FF2B5EF4-FFF2-40B4-BE49-F238E27FC236}">
                  <a16:creationId xmlns:a16="http://schemas.microsoft.com/office/drawing/2014/main" id="{4F4FA81C-3530-451E-8F4A-BDD1B0CAB1ED}"/>
                </a:ext>
              </a:extLst>
            </xdr14:cNvPr>
            <xdr14:cNvContentPartPr/>
          </xdr14:nvContentPartPr>
          <xdr14:nvPr macro=""/>
          <xdr14:xfrm>
            <a:off x="1262160" y="651600"/>
            <a:ext cx="673200" cy="3240"/>
          </xdr14:xfrm>
        </xdr:contentPart>
      </mc:Choice>
      <mc:Fallback xmlns="">
        <xdr:pic>
          <xdr:nvPicPr>
            <xdr:cNvPr id="17" name="Ink 16">
              <a:extLst>
                <a:ext uri="{FF2B5EF4-FFF2-40B4-BE49-F238E27FC236}">
                  <a16:creationId xmlns:a16="http://schemas.microsoft.com/office/drawing/2014/main" id="{83228683-D347-A13D-5046-24FFDA525E45}"/>
                </a:ext>
              </a:extLst>
            </xdr:cNvPr>
            <xdr:cNvPicPr/>
          </xdr:nvPicPr>
          <xdr:blipFill>
            <a:blip xmlns:r="http://schemas.openxmlformats.org/officeDocument/2006/relationships" r:embed="rId12"/>
            <a:stretch>
              <a:fillRect/>
            </a:stretch>
          </xdr:blipFill>
          <xdr:spPr>
            <a:xfrm>
              <a:off x="1226520" y="579960"/>
              <a:ext cx="744840" cy="146880"/>
            </a:xfrm>
            <a:prstGeom prst="rect">
              <a:avLst/>
            </a:prstGeom>
          </xdr:spPr>
        </xdr:pic>
      </mc:Fallback>
    </mc:AlternateContent>
    <xdr:clientData/>
  </xdr:twoCellAnchor>
  <xdr:twoCellAnchor editAs="oneCell">
    <xdr:from>
      <xdr:col>2</xdr:col>
      <xdr:colOff>25320</xdr:colOff>
      <xdr:row>4</xdr:row>
      <xdr:rowOff>78760</xdr:rowOff>
    </xdr:from>
    <xdr:to>
      <xdr:col>3</xdr:col>
      <xdr:colOff>288720</xdr:colOff>
      <xdr:row>4</xdr:row>
      <xdr:rowOff>99640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Ink 7">
              <a:extLst>
                <a:ext uri="{FF2B5EF4-FFF2-40B4-BE49-F238E27FC236}">
                  <a16:creationId xmlns:a16="http://schemas.microsoft.com/office/drawing/2014/main" id="{D948E82E-5240-4F2C-BF24-AF131811B476}"/>
                </a:ext>
              </a:extLst>
            </xdr14:cNvPr>
            <xdr14:cNvContentPartPr/>
          </xdr14:nvContentPartPr>
          <xdr14:nvPr macro=""/>
          <xdr14:xfrm>
            <a:off x="1244520" y="820440"/>
            <a:ext cx="873000" cy="20880"/>
          </xdr14:xfrm>
        </xdr:contentPart>
      </mc:Choice>
      <mc:Fallback xmlns="">
        <xdr:pic>
          <xdr:nvPicPr>
            <xdr:cNvPr id="18" name="Ink 17">
              <a:extLst>
                <a:ext uri="{FF2B5EF4-FFF2-40B4-BE49-F238E27FC236}">
                  <a16:creationId xmlns:a16="http://schemas.microsoft.com/office/drawing/2014/main" id="{8485333F-A66A-2F91-FCF5-D55F83658DB2}"/>
                </a:ext>
              </a:extLst>
            </xdr:cNvPr>
            <xdr:cNvPicPr/>
          </xdr:nvPicPr>
          <xdr:blipFill>
            <a:blip xmlns:r="http://schemas.openxmlformats.org/officeDocument/2006/relationships" r:embed="rId14"/>
            <a:stretch>
              <a:fillRect/>
            </a:stretch>
          </xdr:blipFill>
          <xdr:spPr>
            <a:xfrm>
              <a:off x="1208520" y="748440"/>
              <a:ext cx="944640" cy="164520"/>
            </a:xfrm>
            <a:prstGeom prst="rect">
              <a:avLst/>
            </a:prstGeom>
          </xdr:spPr>
        </xdr:pic>
      </mc:Fallback>
    </mc:AlternateContent>
    <xdr:clientData/>
  </xdr:twoCellAnchor>
  <xdr:twoCellAnchor editAs="oneCell">
    <xdr:from>
      <xdr:col>2</xdr:col>
      <xdr:colOff>1011720</xdr:colOff>
      <xdr:row>5</xdr:row>
      <xdr:rowOff>81260</xdr:rowOff>
    </xdr:from>
    <xdr:to>
      <xdr:col>3</xdr:col>
      <xdr:colOff>124280</xdr:colOff>
      <xdr:row>5</xdr:row>
      <xdr:rowOff>142820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Ink 8">
              <a:extLst>
                <a:ext uri="{FF2B5EF4-FFF2-40B4-BE49-F238E27FC236}">
                  <a16:creationId xmlns:a16="http://schemas.microsoft.com/office/drawing/2014/main" id="{DC5DB0C7-7A7C-4A5A-AF92-CACAFE48CF99}"/>
                </a:ext>
              </a:extLst>
            </xdr14:cNvPr>
            <xdr14:cNvContentPartPr/>
          </xdr14:nvContentPartPr>
          <xdr14:nvPr macro=""/>
          <xdr14:xfrm>
            <a:off x="2230920" y="1008360"/>
            <a:ext cx="123480" cy="61560"/>
          </xdr14:xfrm>
        </xdr:contentPart>
      </mc:Choice>
      <mc:Fallback xmlns="">
        <xdr:pic>
          <xdr:nvPicPr>
            <xdr:cNvPr id="21" name="Ink 20">
              <a:extLst>
                <a:ext uri="{FF2B5EF4-FFF2-40B4-BE49-F238E27FC236}">
                  <a16:creationId xmlns:a16="http://schemas.microsoft.com/office/drawing/2014/main" id="{8E28620E-AE75-1BB7-9E19-EF0264210E29}"/>
                </a:ext>
              </a:extLst>
            </xdr:cNvPr>
            <xdr:cNvPicPr/>
          </xdr:nvPicPr>
          <xdr:blipFill>
            <a:blip xmlns:r="http://schemas.openxmlformats.org/officeDocument/2006/relationships" r:embed="rId16"/>
            <a:stretch>
              <a:fillRect/>
            </a:stretch>
          </xdr:blipFill>
          <xdr:spPr>
            <a:xfrm>
              <a:off x="2224800" y="1002240"/>
              <a:ext cx="135720" cy="73800"/>
            </a:xfrm>
            <a:prstGeom prst="rect">
              <a:avLst/>
            </a:prstGeom>
          </xdr:spPr>
        </xdr:pic>
      </mc:Fallback>
    </mc:AlternateContent>
    <xdr:clientData/>
  </xdr:twoCellAnchor>
  <xdr:twoCellAnchor editAs="oneCell">
    <xdr:from>
      <xdr:col>3</xdr:col>
      <xdr:colOff>170280</xdr:colOff>
      <xdr:row>5</xdr:row>
      <xdr:rowOff>39860</xdr:rowOff>
    </xdr:from>
    <xdr:to>
      <xdr:col>4</xdr:col>
      <xdr:colOff>264120</xdr:colOff>
      <xdr:row>6</xdr:row>
      <xdr:rowOff>6000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Ink 9">
              <a:extLst>
                <a:ext uri="{FF2B5EF4-FFF2-40B4-BE49-F238E27FC236}">
                  <a16:creationId xmlns:a16="http://schemas.microsoft.com/office/drawing/2014/main" id="{B01A586A-F1CE-4299-95EC-670D68C7E178}"/>
                </a:ext>
              </a:extLst>
            </xdr14:cNvPr>
            <xdr14:cNvContentPartPr/>
          </xdr14:nvContentPartPr>
          <xdr14:nvPr macro=""/>
          <xdr14:xfrm>
            <a:off x="2502000" y="966960"/>
            <a:ext cx="703440" cy="151560"/>
          </xdr14:xfrm>
        </xdr:contentPart>
      </mc:Choice>
      <mc:Fallback xmlns="">
        <xdr:pic>
          <xdr:nvPicPr>
            <xdr:cNvPr id="28" name="Ink 27">
              <a:extLst>
                <a:ext uri="{FF2B5EF4-FFF2-40B4-BE49-F238E27FC236}">
                  <a16:creationId xmlns:a16="http://schemas.microsoft.com/office/drawing/2014/main" id="{A8DBA4BF-CBC1-6037-C5C5-4EA7CCB3A7C8}"/>
                </a:ext>
              </a:extLst>
            </xdr:cNvPr>
            <xdr:cNvPicPr/>
          </xdr:nvPicPr>
          <xdr:blipFill>
            <a:blip xmlns:r="http://schemas.openxmlformats.org/officeDocument/2006/relationships" r:embed="rId18"/>
            <a:stretch>
              <a:fillRect/>
            </a:stretch>
          </xdr:blipFill>
          <xdr:spPr>
            <a:xfrm>
              <a:off x="2497682" y="962640"/>
              <a:ext cx="712076" cy="160200"/>
            </a:xfrm>
            <a:prstGeom prst="rect">
              <a:avLst/>
            </a:prstGeom>
          </xdr:spPr>
        </xdr:pic>
      </mc:Fallback>
    </mc:AlternateContent>
    <xdr:clientData/>
  </xdr:twoCellAnchor>
  <xdr:twoCellAnchor editAs="oneCell">
    <xdr:from>
      <xdr:col>4</xdr:col>
      <xdr:colOff>505320</xdr:colOff>
      <xdr:row>5</xdr:row>
      <xdr:rowOff>63260</xdr:rowOff>
    </xdr:from>
    <xdr:to>
      <xdr:col>6</xdr:col>
      <xdr:colOff>253800</xdr:colOff>
      <xdr:row>6</xdr:row>
      <xdr:rowOff>45240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 name="Ink 10">
              <a:extLst>
                <a:ext uri="{FF2B5EF4-FFF2-40B4-BE49-F238E27FC236}">
                  <a16:creationId xmlns:a16="http://schemas.microsoft.com/office/drawing/2014/main" id="{1D20523C-332D-4220-BCB4-5E8797F151D5}"/>
                </a:ext>
              </a:extLst>
            </xdr14:cNvPr>
            <xdr14:cNvContentPartPr/>
          </xdr14:nvContentPartPr>
          <xdr14:nvPr macro=""/>
          <xdr14:xfrm>
            <a:off x="3446640" y="990360"/>
            <a:ext cx="967680" cy="167400"/>
          </xdr14:xfrm>
        </xdr:contentPart>
      </mc:Choice>
      <mc:Fallback xmlns="">
        <xdr:pic>
          <xdr:nvPicPr>
            <xdr:cNvPr id="37" name="Ink 36">
              <a:extLst>
                <a:ext uri="{FF2B5EF4-FFF2-40B4-BE49-F238E27FC236}">
                  <a16:creationId xmlns:a16="http://schemas.microsoft.com/office/drawing/2014/main" id="{9A626C5E-D0EE-C1B1-FF76-3017E513FBFB}"/>
                </a:ext>
              </a:extLst>
            </xdr:cNvPr>
            <xdr:cNvPicPr/>
          </xdr:nvPicPr>
          <xdr:blipFill>
            <a:blip xmlns:r="http://schemas.openxmlformats.org/officeDocument/2006/relationships" r:embed="rId20"/>
            <a:stretch>
              <a:fillRect/>
            </a:stretch>
          </xdr:blipFill>
          <xdr:spPr>
            <a:xfrm>
              <a:off x="3442320" y="986040"/>
              <a:ext cx="976320" cy="176040"/>
            </a:xfrm>
            <a:prstGeom prst="rect">
              <a:avLst/>
            </a:prstGeom>
          </xdr:spPr>
        </xdr:pic>
      </mc:Fallback>
    </mc:AlternateContent>
    <xdr:clientData/>
  </xdr:twoCellAnchor>
  <xdr:twoCellAnchor editAs="oneCell">
    <xdr:from>
      <xdr:col>2</xdr:col>
      <xdr:colOff>25320</xdr:colOff>
      <xdr:row>6</xdr:row>
      <xdr:rowOff>96360</xdr:rowOff>
    </xdr:from>
    <xdr:to>
      <xdr:col>2</xdr:col>
      <xdr:colOff>254640</xdr:colOff>
      <xdr:row>6</xdr:row>
      <xdr:rowOff>130200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 name="Ink 11">
              <a:extLst>
                <a:ext uri="{FF2B5EF4-FFF2-40B4-BE49-F238E27FC236}">
                  <a16:creationId xmlns:a16="http://schemas.microsoft.com/office/drawing/2014/main" id="{A4749C69-C838-4E44-B949-1A580372F0E8}"/>
                </a:ext>
              </a:extLst>
            </xdr14:cNvPr>
            <xdr14:cNvContentPartPr/>
          </xdr14:nvContentPartPr>
          <xdr14:nvPr macro=""/>
          <xdr14:xfrm>
            <a:off x="1244520" y="1208880"/>
            <a:ext cx="229320" cy="33840"/>
          </xdr14:xfrm>
        </xdr:contentPart>
      </mc:Choice>
      <mc:Fallback xmlns="">
        <xdr:pic>
          <xdr:nvPicPr>
            <xdr:cNvPr id="38" name="Ink 37">
              <a:extLst>
                <a:ext uri="{FF2B5EF4-FFF2-40B4-BE49-F238E27FC236}">
                  <a16:creationId xmlns:a16="http://schemas.microsoft.com/office/drawing/2014/main" id="{2B5807C5-2CB9-5063-AA31-0E6F272F122C}"/>
                </a:ext>
              </a:extLst>
            </xdr:cNvPr>
            <xdr:cNvPicPr/>
          </xdr:nvPicPr>
          <xdr:blipFill>
            <a:blip xmlns:r="http://schemas.openxmlformats.org/officeDocument/2006/relationships" r:embed="rId22"/>
            <a:stretch>
              <a:fillRect/>
            </a:stretch>
          </xdr:blipFill>
          <xdr:spPr>
            <a:xfrm>
              <a:off x="1208520" y="1136880"/>
              <a:ext cx="300960" cy="177480"/>
            </a:xfrm>
            <a:prstGeom prst="rect">
              <a:avLst/>
            </a:prstGeom>
          </xdr:spPr>
        </xdr:pic>
      </mc:Fallback>
    </mc:AlternateContent>
    <xdr:clientData/>
  </xdr:twoCellAnchor>
  <xdr:twoCellAnchor editAs="oneCell">
    <xdr:from>
      <xdr:col>2</xdr:col>
      <xdr:colOff>858360</xdr:colOff>
      <xdr:row>7</xdr:row>
      <xdr:rowOff>88060</xdr:rowOff>
    </xdr:from>
    <xdr:to>
      <xdr:col>3</xdr:col>
      <xdr:colOff>341480</xdr:colOff>
      <xdr:row>10</xdr:row>
      <xdr:rowOff>37600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 name="Ink 12">
              <a:extLst>
                <a:ext uri="{FF2B5EF4-FFF2-40B4-BE49-F238E27FC236}">
                  <a16:creationId xmlns:a16="http://schemas.microsoft.com/office/drawing/2014/main" id="{AC7177D0-45F1-43DA-80AB-7600524BA3DF}"/>
                </a:ext>
              </a:extLst>
            </xdr14:cNvPr>
            <xdr14:cNvContentPartPr/>
          </xdr14:nvContentPartPr>
          <xdr14:nvPr macro=""/>
          <xdr14:xfrm>
            <a:off x="2077560" y="1386000"/>
            <a:ext cx="341640" cy="505800"/>
          </xdr14:xfrm>
        </xdr:contentPart>
      </mc:Choice>
      <mc:Fallback xmlns="">
        <xdr:pic>
          <xdr:nvPicPr>
            <xdr:cNvPr id="42" name="Ink 41">
              <a:extLst>
                <a:ext uri="{FF2B5EF4-FFF2-40B4-BE49-F238E27FC236}">
                  <a16:creationId xmlns:a16="http://schemas.microsoft.com/office/drawing/2014/main" id="{BA7E9C73-8352-C237-E60D-E202B4E8C7A1}"/>
                </a:ext>
              </a:extLst>
            </xdr:cNvPr>
            <xdr:cNvPicPr/>
          </xdr:nvPicPr>
          <xdr:blipFill>
            <a:blip xmlns:r="http://schemas.openxmlformats.org/officeDocument/2006/relationships" r:embed="rId24"/>
            <a:stretch>
              <a:fillRect/>
            </a:stretch>
          </xdr:blipFill>
          <xdr:spPr>
            <a:xfrm>
              <a:off x="2073240" y="1381680"/>
              <a:ext cx="350280" cy="514440"/>
            </a:xfrm>
            <a:prstGeom prst="rect">
              <a:avLst/>
            </a:prstGeom>
          </xdr:spPr>
        </xdr:pic>
      </mc:Fallback>
    </mc:AlternateContent>
    <xdr:clientData/>
  </xdr:twoCellAnchor>
  <xdr:twoCellAnchor editAs="oneCell">
    <xdr:from>
      <xdr:col>3</xdr:col>
      <xdr:colOff>228240</xdr:colOff>
      <xdr:row>8</xdr:row>
      <xdr:rowOff>81920</xdr:rowOff>
    </xdr:from>
    <xdr:to>
      <xdr:col>4</xdr:col>
      <xdr:colOff>117600</xdr:colOff>
      <xdr:row>9</xdr:row>
      <xdr:rowOff>40500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4" name="Ink 13">
              <a:extLst>
                <a:ext uri="{FF2B5EF4-FFF2-40B4-BE49-F238E27FC236}">
                  <a16:creationId xmlns:a16="http://schemas.microsoft.com/office/drawing/2014/main" id="{0BEB4BD6-224D-4E85-986E-C75FC24B1323}"/>
                </a:ext>
              </a:extLst>
            </xdr14:cNvPr>
            <xdr14:cNvContentPartPr/>
          </xdr14:nvContentPartPr>
          <xdr14:nvPr macro=""/>
          <xdr14:xfrm>
            <a:off x="2559960" y="1565280"/>
            <a:ext cx="498960" cy="144000"/>
          </xdr14:xfrm>
        </xdr:contentPart>
      </mc:Choice>
      <mc:Fallback xmlns="">
        <xdr:pic>
          <xdr:nvPicPr>
            <xdr:cNvPr id="47" name="Ink 46">
              <a:extLst>
                <a:ext uri="{FF2B5EF4-FFF2-40B4-BE49-F238E27FC236}">
                  <a16:creationId xmlns:a16="http://schemas.microsoft.com/office/drawing/2014/main" id="{1124B7EB-B9A1-912C-CE30-95109BABB6CE}"/>
                </a:ext>
              </a:extLst>
            </xdr:cNvPr>
            <xdr:cNvPicPr/>
          </xdr:nvPicPr>
          <xdr:blipFill>
            <a:blip xmlns:r="http://schemas.openxmlformats.org/officeDocument/2006/relationships" r:embed="rId26"/>
            <a:stretch>
              <a:fillRect/>
            </a:stretch>
          </xdr:blipFill>
          <xdr:spPr>
            <a:xfrm>
              <a:off x="2555640" y="1560960"/>
              <a:ext cx="507600" cy="152640"/>
            </a:xfrm>
            <a:prstGeom prst="rect">
              <a:avLst/>
            </a:prstGeom>
          </xdr:spPr>
        </xdr:pic>
      </mc:Fallback>
    </mc:AlternateContent>
    <xdr:clientData/>
  </xdr:twoCellAnchor>
  <xdr:twoCellAnchor editAs="oneCell">
    <xdr:from>
      <xdr:col>0</xdr:col>
      <xdr:colOff>167400</xdr:colOff>
      <xdr:row>4</xdr:row>
      <xdr:rowOff>182080</xdr:rowOff>
    </xdr:from>
    <xdr:to>
      <xdr:col>1</xdr:col>
      <xdr:colOff>105720</xdr:colOff>
      <xdr:row>10</xdr:row>
      <xdr:rowOff>102040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5" name="Ink 14">
              <a:extLst>
                <a:ext uri="{FF2B5EF4-FFF2-40B4-BE49-F238E27FC236}">
                  <a16:creationId xmlns:a16="http://schemas.microsoft.com/office/drawing/2014/main" id="{AA2B2123-BFB4-4CF6-B615-5996280EEB33}"/>
                </a:ext>
              </a:extLst>
            </xdr14:cNvPr>
            <xdr14:cNvContentPartPr/>
          </xdr14:nvContentPartPr>
          <xdr14:nvPr macro=""/>
          <xdr14:xfrm>
            <a:off x="167400" y="923760"/>
            <a:ext cx="547920" cy="1032480"/>
          </xdr14:xfrm>
        </xdr:contentPart>
      </mc:Choice>
      <mc:Fallback xmlns="">
        <xdr:pic>
          <xdr:nvPicPr>
            <xdr:cNvPr id="66" name="Ink 65">
              <a:extLst>
                <a:ext uri="{FF2B5EF4-FFF2-40B4-BE49-F238E27FC236}">
                  <a16:creationId xmlns:a16="http://schemas.microsoft.com/office/drawing/2014/main" id="{BE180A77-0443-396A-EFBF-8E5071B44471}"/>
                </a:ext>
              </a:extLst>
            </xdr:cNvPr>
            <xdr:cNvPicPr/>
          </xdr:nvPicPr>
          <xdr:blipFill>
            <a:blip xmlns:r="http://schemas.openxmlformats.org/officeDocument/2006/relationships" r:embed="rId28"/>
            <a:stretch>
              <a:fillRect/>
            </a:stretch>
          </xdr:blipFill>
          <xdr:spPr>
            <a:xfrm>
              <a:off x="163091" y="919399"/>
              <a:ext cx="556537" cy="1041202"/>
            </a:xfrm>
            <a:prstGeom prst="rect">
              <a:avLst/>
            </a:prstGeom>
          </xdr:spPr>
        </xdr:pic>
      </mc:Fallback>
    </mc:AlternateContent>
    <xdr:clientData/>
  </xdr:twoCellAnchor>
  <xdr:twoCellAnchor editAs="oneCell">
    <xdr:from>
      <xdr:col>0</xdr:col>
      <xdr:colOff>85320</xdr:colOff>
      <xdr:row>4</xdr:row>
      <xdr:rowOff>76600</xdr:rowOff>
    </xdr:from>
    <xdr:to>
      <xdr:col>1</xdr:col>
      <xdr:colOff>94200</xdr:colOff>
      <xdr:row>6</xdr:row>
      <xdr:rowOff>67200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 name="Ink 15">
              <a:extLst>
                <a:ext uri="{FF2B5EF4-FFF2-40B4-BE49-F238E27FC236}">
                  <a16:creationId xmlns:a16="http://schemas.microsoft.com/office/drawing/2014/main" id="{96660CBC-9B3D-4517-AE47-616AE002D513}"/>
                </a:ext>
              </a:extLst>
            </xdr14:cNvPr>
            <xdr14:cNvContentPartPr/>
          </xdr14:nvContentPartPr>
          <xdr14:nvPr macro=""/>
          <xdr14:xfrm>
            <a:off x="85320" y="818280"/>
            <a:ext cx="618480" cy="361440"/>
          </xdr14:xfrm>
        </xdr:contentPart>
      </mc:Choice>
      <mc:Fallback xmlns="">
        <xdr:pic>
          <xdr:nvPicPr>
            <xdr:cNvPr id="67" name="Ink 66">
              <a:extLst>
                <a:ext uri="{FF2B5EF4-FFF2-40B4-BE49-F238E27FC236}">
                  <a16:creationId xmlns:a16="http://schemas.microsoft.com/office/drawing/2014/main" id="{D508C931-C4CE-3653-FB09-ABD05496BBB7}"/>
                </a:ext>
              </a:extLst>
            </xdr:cNvPr>
            <xdr:cNvPicPr/>
          </xdr:nvPicPr>
          <xdr:blipFill>
            <a:blip xmlns:r="http://schemas.openxmlformats.org/officeDocument/2006/relationships" r:embed="rId30"/>
            <a:stretch>
              <a:fillRect/>
            </a:stretch>
          </xdr:blipFill>
          <xdr:spPr>
            <a:xfrm>
              <a:off x="81000" y="813960"/>
              <a:ext cx="627120" cy="370080"/>
            </a:xfrm>
            <a:prstGeom prst="rect">
              <a:avLst/>
            </a:prstGeom>
          </xdr:spPr>
        </xdr:pic>
      </mc:Fallback>
    </mc:AlternateContent>
    <xdr:clientData/>
  </xdr:twoCellAnchor>
  <xdr:twoCellAnchor editAs="oneCell">
    <xdr:from>
      <xdr:col>2</xdr:col>
      <xdr:colOff>952320</xdr:colOff>
      <xdr:row>7</xdr:row>
      <xdr:rowOff>940</xdr:rowOff>
    </xdr:from>
    <xdr:to>
      <xdr:col>4</xdr:col>
      <xdr:colOff>426110</xdr:colOff>
      <xdr:row>8</xdr:row>
      <xdr:rowOff>99560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7" name="Ink 16">
              <a:extLst>
                <a:ext uri="{FF2B5EF4-FFF2-40B4-BE49-F238E27FC236}">
                  <a16:creationId xmlns:a16="http://schemas.microsoft.com/office/drawing/2014/main" id="{E4075EFD-088B-4BD6-9D9C-DDCBDC822D82}"/>
                </a:ext>
              </a:extLst>
            </xdr14:cNvPr>
            <xdr14:cNvContentPartPr/>
          </xdr14:nvContentPartPr>
          <xdr14:nvPr macro=""/>
          <xdr14:xfrm>
            <a:off x="2171520" y="1298880"/>
            <a:ext cx="1037160" cy="284040"/>
          </xdr14:xfrm>
        </xdr:contentPart>
      </mc:Choice>
      <mc:Fallback xmlns="">
        <xdr:pic>
          <xdr:nvPicPr>
            <xdr:cNvPr id="73" name="Ink 72">
              <a:extLst>
                <a:ext uri="{FF2B5EF4-FFF2-40B4-BE49-F238E27FC236}">
                  <a16:creationId xmlns:a16="http://schemas.microsoft.com/office/drawing/2014/main" id="{F946548F-D51C-954D-5FF6-028479F3639B}"/>
                </a:ext>
              </a:extLst>
            </xdr:cNvPr>
            <xdr:cNvPicPr/>
          </xdr:nvPicPr>
          <xdr:blipFill>
            <a:blip xmlns:r="http://schemas.openxmlformats.org/officeDocument/2006/relationships" r:embed="rId32"/>
            <a:stretch>
              <a:fillRect/>
            </a:stretch>
          </xdr:blipFill>
          <xdr:spPr>
            <a:xfrm>
              <a:off x="2167200" y="1294560"/>
              <a:ext cx="1045800" cy="292680"/>
            </a:xfrm>
            <a:prstGeom prst="rect">
              <a:avLst/>
            </a:prstGeom>
          </xdr:spPr>
        </xdr:pic>
      </mc:Fallback>
    </mc:AlternateContent>
    <xdr:clientData/>
  </xdr:twoCellAnchor>
  <xdr:twoCellAnchor editAs="oneCell">
    <xdr:from>
      <xdr:col>4</xdr:col>
      <xdr:colOff>474720</xdr:colOff>
      <xdr:row>5</xdr:row>
      <xdr:rowOff>96740</xdr:rowOff>
    </xdr:from>
    <xdr:to>
      <xdr:col>5</xdr:col>
      <xdr:colOff>291360</xdr:colOff>
      <xdr:row>5</xdr:row>
      <xdr:rowOff>157220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8" name="Ink 17">
              <a:extLst>
                <a:ext uri="{FF2B5EF4-FFF2-40B4-BE49-F238E27FC236}">
                  <a16:creationId xmlns:a16="http://schemas.microsoft.com/office/drawing/2014/main" id="{EAE98E33-6E8A-4D75-889C-94F445B37FF7}"/>
                </a:ext>
              </a:extLst>
            </xdr14:cNvPr>
            <xdr14:cNvContentPartPr/>
          </xdr14:nvContentPartPr>
          <xdr14:nvPr macro=""/>
          <xdr14:xfrm>
            <a:off x="3416040" y="1023840"/>
            <a:ext cx="426240" cy="60480"/>
          </xdr14:xfrm>
        </xdr:contentPart>
      </mc:Choice>
      <mc:Fallback xmlns="">
        <xdr:pic>
          <xdr:nvPicPr>
            <xdr:cNvPr id="74" name="Ink 73">
              <a:extLst>
                <a:ext uri="{FF2B5EF4-FFF2-40B4-BE49-F238E27FC236}">
                  <a16:creationId xmlns:a16="http://schemas.microsoft.com/office/drawing/2014/main" id="{D17A8421-FDC0-F6E9-A544-5999D6FFA840}"/>
                </a:ext>
              </a:extLst>
            </xdr:cNvPr>
            <xdr:cNvPicPr/>
          </xdr:nvPicPr>
          <xdr:blipFill>
            <a:blip xmlns:r="http://schemas.openxmlformats.org/officeDocument/2006/relationships" r:embed="rId34"/>
            <a:stretch>
              <a:fillRect/>
            </a:stretch>
          </xdr:blipFill>
          <xdr:spPr>
            <a:xfrm>
              <a:off x="3380040" y="951840"/>
              <a:ext cx="497880" cy="204120"/>
            </a:xfrm>
            <a:prstGeom prst="rect">
              <a:avLst/>
            </a:prstGeom>
          </xdr:spPr>
        </xdr:pic>
      </mc:Fallback>
    </mc:AlternateContent>
    <xdr:clientData/>
  </xdr:twoCellAnchor>
  <xdr:twoCellAnchor editAs="oneCell">
    <xdr:from>
      <xdr:col>3</xdr:col>
      <xdr:colOff>465480</xdr:colOff>
      <xdr:row>7</xdr:row>
      <xdr:rowOff>5260</xdr:rowOff>
    </xdr:from>
    <xdr:to>
      <xdr:col>4</xdr:col>
      <xdr:colOff>258360</xdr:colOff>
      <xdr:row>7</xdr:row>
      <xdr:rowOff>144940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9" name="Ink 18">
              <a:extLst>
                <a:ext uri="{FF2B5EF4-FFF2-40B4-BE49-F238E27FC236}">
                  <a16:creationId xmlns:a16="http://schemas.microsoft.com/office/drawing/2014/main" id="{B757AC15-383B-4D03-9782-DDBDD9B60D4C}"/>
                </a:ext>
              </a:extLst>
            </xdr14:cNvPr>
            <xdr14:cNvContentPartPr/>
          </xdr14:nvContentPartPr>
          <xdr14:nvPr macro=""/>
          <xdr14:xfrm>
            <a:off x="2797200" y="1303200"/>
            <a:ext cx="402480" cy="139680"/>
          </xdr14:xfrm>
        </xdr:contentPart>
      </mc:Choice>
      <mc:Fallback xmlns="">
        <xdr:pic>
          <xdr:nvPicPr>
            <xdr:cNvPr id="75" name="Ink 74">
              <a:extLst>
                <a:ext uri="{FF2B5EF4-FFF2-40B4-BE49-F238E27FC236}">
                  <a16:creationId xmlns:a16="http://schemas.microsoft.com/office/drawing/2014/main" id="{310D395B-C6A7-D4DB-49FD-17B704CC42BB}"/>
                </a:ext>
              </a:extLst>
            </xdr:cNvPr>
            <xdr:cNvPicPr/>
          </xdr:nvPicPr>
          <xdr:blipFill>
            <a:blip xmlns:r="http://schemas.openxmlformats.org/officeDocument/2006/relationships" r:embed="rId36"/>
            <a:stretch>
              <a:fillRect/>
            </a:stretch>
          </xdr:blipFill>
          <xdr:spPr>
            <a:xfrm>
              <a:off x="2761200" y="1231560"/>
              <a:ext cx="474120" cy="283320"/>
            </a:xfrm>
            <a:prstGeom prst="rect">
              <a:avLst/>
            </a:prstGeom>
          </xdr:spPr>
        </xdr:pic>
      </mc:Fallback>
    </mc:AlternateContent>
    <xdr:clientData/>
  </xdr:twoCellAnchor>
  <xdr:twoCellAnchor editAs="oneCell">
    <xdr:from>
      <xdr:col>1</xdr:col>
      <xdr:colOff>177720</xdr:colOff>
      <xdr:row>7</xdr:row>
      <xdr:rowOff>18940</xdr:rowOff>
    </xdr:from>
    <xdr:to>
      <xdr:col>1</xdr:col>
      <xdr:colOff>277080</xdr:colOff>
      <xdr:row>9</xdr:row>
      <xdr:rowOff>63900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0" name="Ink 19">
              <a:extLst>
                <a:ext uri="{FF2B5EF4-FFF2-40B4-BE49-F238E27FC236}">
                  <a16:creationId xmlns:a16="http://schemas.microsoft.com/office/drawing/2014/main" id="{D3B59E3C-3FCA-4DDF-9CDB-16DB2EF02AD2}"/>
                </a:ext>
              </a:extLst>
            </xdr14:cNvPr>
            <xdr14:cNvContentPartPr/>
          </xdr14:nvContentPartPr>
          <xdr14:nvPr macro=""/>
          <xdr14:xfrm>
            <a:off x="787320" y="1316880"/>
            <a:ext cx="99360" cy="415800"/>
          </xdr14:xfrm>
        </xdr:contentPart>
      </mc:Choice>
      <mc:Fallback xmlns="">
        <xdr:pic>
          <xdr:nvPicPr>
            <xdr:cNvPr id="76" name="Ink 75">
              <a:extLst>
                <a:ext uri="{FF2B5EF4-FFF2-40B4-BE49-F238E27FC236}">
                  <a16:creationId xmlns:a16="http://schemas.microsoft.com/office/drawing/2014/main" id="{82C69B82-59AD-CB81-E627-6BD8DB3A5310}"/>
                </a:ext>
              </a:extLst>
            </xdr:cNvPr>
            <xdr:cNvPicPr/>
          </xdr:nvPicPr>
          <xdr:blipFill>
            <a:blip xmlns:r="http://schemas.openxmlformats.org/officeDocument/2006/relationships" r:embed="rId38"/>
            <a:stretch>
              <a:fillRect/>
            </a:stretch>
          </xdr:blipFill>
          <xdr:spPr>
            <a:xfrm>
              <a:off x="783000" y="1312560"/>
              <a:ext cx="108000" cy="424440"/>
            </a:xfrm>
            <a:prstGeom prst="rect">
              <a:avLst/>
            </a:prstGeom>
          </xdr:spPr>
        </xdr:pic>
      </mc:Fallback>
    </mc:AlternateContent>
    <xdr:clientData/>
  </xdr:twoCellAnchor>
  <xdr:twoCellAnchor editAs="oneCell">
    <xdr:from>
      <xdr:col>0</xdr:col>
      <xdr:colOff>457200</xdr:colOff>
      <xdr:row>10</xdr:row>
      <xdr:rowOff>31840</xdr:rowOff>
    </xdr:from>
    <xdr:to>
      <xdr:col>0</xdr:col>
      <xdr:colOff>572760</xdr:colOff>
      <xdr:row>10</xdr:row>
      <xdr:rowOff>110320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1" name="Ink 20">
              <a:extLst>
                <a:ext uri="{FF2B5EF4-FFF2-40B4-BE49-F238E27FC236}">
                  <a16:creationId xmlns:a16="http://schemas.microsoft.com/office/drawing/2014/main" id="{B41206BD-4087-4CD8-8C7B-5287D370203A}"/>
                </a:ext>
              </a:extLst>
            </xdr14:cNvPr>
            <xdr14:cNvContentPartPr/>
          </xdr14:nvContentPartPr>
          <xdr14:nvPr macro=""/>
          <xdr14:xfrm>
            <a:off x="457200" y="1886040"/>
            <a:ext cx="115560" cy="78480"/>
          </xdr14:xfrm>
        </xdr:contentPart>
      </mc:Choice>
      <mc:Fallback xmlns="">
        <xdr:pic>
          <xdr:nvPicPr>
            <xdr:cNvPr id="77" name="Ink 76">
              <a:extLst>
                <a:ext uri="{FF2B5EF4-FFF2-40B4-BE49-F238E27FC236}">
                  <a16:creationId xmlns:a16="http://schemas.microsoft.com/office/drawing/2014/main" id="{AD4CF18E-DA59-9901-75DE-74411F853C0E}"/>
                </a:ext>
              </a:extLst>
            </xdr:cNvPr>
            <xdr:cNvPicPr/>
          </xdr:nvPicPr>
          <xdr:blipFill>
            <a:blip xmlns:r="http://schemas.openxmlformats.org/officeDocument/2006/relationships" r:embed="rId40"/>
            <a:stretch>
              <a:fillRect/>
            </a:stretch>
          </xdr:blipFill>
          <xdr:spPr>
            <a:xfrm>
              <a:off x="452880" y="1881720"/>
              <a:ext cx="124200" cy="87120"/>
            </a:xfrm>
            <a:prstGeom prst="rect">
              <a:avLst/>
            </a:prstGeom>
          </xdr:spPr>
        </xdr:pic>
      </mc:Fallback>
    </mc:AlternateContent>
    <xdr:clientData/>
  </xdr:twoCellAnchor>
  <xdr:twoCellAnchor editAs="oneCell">
    <xdr:from>
      <xdr:col>1</xdr:col>
      <xdr:colOff>544200</xdr:colOff>
      <xdr:row>7</xdr:row>
      <xdr:rowOff>101740</xdr:rowOff>
    </xdr:from>
    <xdr:to>
      <xdr:col>2</xdr:col>
      <xdr:colOff>112440</xdr:colOff>
      <xdr:row>9</xdr:row>
      <xdr:rowOff>138060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2" name="Ink 21">
              <a:extLst>
                <a:ext uri="{FF2B5EF4-FFF2-40B4-BE49-F238E27FC236}">
                  <a16:creationId xmlns:a16="http://schemas.microsoft.com/office/drawing/2014/main" id="{7DE145F4-7ECA-4D3D-A3F1-B1957E9A7EAC}"/>
                </a:ext>
              </a:extLst>
            </xdr14:cNvPr>
            <xdr14:cNvContentPartPr/>
          </xdr14:nvContentPartPr>
          <xdr14:nvPr macro=""/>
          <xdr14:xfrm>
            <a:off x="1153800" y="1399680"/>
            <a:ext cx="177840" cy="407160"/>
          </xdr14:xfrm>
        </xdr:contentPart>
      </mc:Choice>
      <mc:Fallback xmlns="">
        <xdr:pic>
          <xdr:nvPicPr>
            <xdr:cNvPr id="78" name="Ink 77">
              <a:extLst>
                <a:ext uri="{FF2B5EF4-FFF2-40B4-BE49-F238E27FC236}">
                  <a16:creationId xmlns:a16="http://schemas.microsoft.com/office/drawing/2014/main" id="{9EAA791A-4ADE-0C76-2504-6CCE2C73385F}"/>
                </a:ext>
              </a:extLst>
            </xdr:cNvPr>
            <xdr:cNvPicPr/>
          </xdr:nvPicPr>
          <xdr:blipFill>
            <a:blip xmlns:r="http://schemas.openxmlformats.org/officeDocument/2006/relationships" r:embed="rId42"/>
            <a:stretch>
              <a:fillRect/>
            </a:stretch>
          </xdr:blipFill>
          <xdr:spPr>
            <a:xfrm>
              <a:off x="1149480" y="1395360"/>
              <a:ext cx="186480" cy="415800"/>
            </a:xfrm>
            <a:prstGeom prst="rect">
              <a:avLst/>
            </a:prstGeom>
          </xdr:spPr>
        </xdr:pic>
      </mc:Fallback>
    </mc:AlternateContent>
    <xdr:clientData/>
  </xdr:twoCellAnchor>
  <xdr:twoCellAnchor editAs="oneCell">
    <xdr:from>
      <xdr:col>4</xdr:col>
      <xdr:colOff>233520</xdr:colOff>
      <xdr:row>8</xdr:row>
      <xdr:rowOff>100640</xdr:rowOff>
    </xdr:from>
    <xdr:to>
      <xdr:col>5</xdr:col>
      <xdr:colOff>568560</xdr:colOff>
      <xdr:row>9</xdr:row>
      <xdr:rowOff>147060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3" name="Ink 22">
              <a:extLst>
                <a:ext uri="{FF2B5EF4-FFF2-40B4-BE49-F238E27FC236}">
                  <a16:creationId xmlns:a16="http://schemas.microsoft.com/office/drawing/2014/main" id="{FD9B25B1-3BC8-4B90-9B43-DB748431D49F}"/>
                </a:ext>
              </a:extLst>
            </xdr14:cNvPr>
            <xdr14:cNvContentPartPr/>
          </xdr14:nvContentPartPr>
          <xdr14:nvPr macro=""/>
          <xdr14:xfrm>
            <a:off x="3174840" y="1584000"/>
            <a:ext cx="944640" cy="231840"/>
          </xdr14:xfrm>
        </xdr:contentPart>
      </mc:Choice>
      <mc:Fallback xmlns="">
        <xdr:pic>
          <xdr:nvPicPr>
            <xdr:cNvPr id="88" name="Ink 87">
              <a:extLst>
                <a:ext uri="{FF2B5EF4-FFF2-40B4-BE49-F238E27FC236}">
                  <a16:creationId xmlns:a16="http://schemas.microsoft.com/office/drawing/2014/main" id="{E225D26F-C2B2-BB5D-A524-51321877700B}"/>
                </a:ext>
              </a:extLst>
            </xdr:cNvPr>
            <xdr:cNvPicPr/>
          </xdr:nvPicPr>
          <xdr:blipFill>
            <a:blip xmlns:r="http://schemas.openxmlformats.org/officeDocument/2006/relationships" r:embed="rId44"/>
            <a:stretch>
              <a:fillRect/>
            </a:stretch>
          </xdr:blipFill>
          <xdr:spPr>
            <a:xfrm>
              <a:off x="3170520" y="1579680"/>
              <a:ext cx="953280" cy="240480"/>
            </a:xfrm>
            <a:prstGeom prst="rect">
              <a:avLst/>
            </a:prstGeom>
          </xdr:spPr>
        </xdr:pic>
      </mc:Fallback>
    </mc:AlternateContent>
    <xdr:clientData/>
  </xdr:twoCellAnchor>
  <xdr:twoCellAnchor editAs="oneCell">
    <xdr:from>
      <xdr:col>6</xdr:col>
      <xdr:colOff>86040</xdr:colOff>
      <xdr:row>8</xdr:row>
      <xdr:rowOff>104600</xdr:rowOff>
    </xdr:from>
    <xdr:to>
      <xdr:col>7</xdr:col>
      <xdr:colOff>98520</xdr:colOff>
      <xdr:row>9</xdr:row>
      <xdr:rowOff>121140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4" name="Ink 23">
              <a:extLst>
                <a:ext uri="{FF2B5EF4-FFF2-40B4-BE49-F238E27FC236}">
                  <a16:creationId xmlns:a16="http://schemas.microsoft.com/office/drawing/2014/main" id="{B32535EE-A334-4D85-8B77-47EFDB570181}"/>
                </a:ext>
              </a:extLst>
            </xdr14:cNvPr>
            <xdr14:cNvContentPartPr/>
          </xdr14:nvContentPartPr>
          <xdr14:nvPr macro=""/>
          <xdr14:xfrm>
            <a:off x="4246560" y="1587960"/>
            <a:ext cx="622080" cy="201960"/>
          </xdr14:xfrm>
        </xdr:contentPart>
      </mc:Choice>
      <mc:Fallback xmlns="">
        <xdr:pic>
          <xdr:nvPicPr>
            <xdr:cNvPr id="98" name="Ink 97">
              <a:extLst>
                <a:ext uri="{FF2B5EF4-FFF2-40B4-BE49-F238E27FC236}">
                  <a16:creationId xmlns:a16="http://schemas.microsoft.com/office/drawing/2014/main" id="{90A4B0F5-7AA6-25E2-62BE-88310DB6F26E}"/>
                </a:ext>
              </a:extLst>
            </xdr:cNvPr>
            <xdr:cNvPicPr/>
          </xdr:nvPicPr>
          <xdr:blipFill>
            <a:blip xmlns:r="http://schemas.openxmlformats.org/officeDocument/2006/relationships" r:embed="rId46"/>
            <a:stretch>
              <a:fillRect/>
            </a:stretch>
          </xdr:blipFill>
          <xdr:spPr>
            <a:xfrm>
              <a:off x="4242240" y="1583648"/>
              <a:ext cx="630720" cy="210585"/>
            </a:xfrm>
            <a:prstGeom prst="rect">
              <a:avLst/>
            </a:prstGeom>
          </xdr:spPr>
        </xdr:pic>
      </mc:Fallback>
    </mc:AlternateContent>
    <xdr:clientData/>
  </xdr:twoCellAnchor>
  <xdr:twoCellAnchor editAs="oneCell">
    <xdr:from>
      <xdr:col>5</xdr:col>
      <xdr:colOff>26040</xdr:colOff>
      <xdr:row>8</xdr:row>
      <xdr:rowOff>121880</xdr:rowOff>
    </xdr:from>
    <xdr:to>
      <xdr:col>5</xdr:col>
      <xdr:colOff>563520</xdr:colOff>
      <xdr:row>9</xdr:row>
      <xdr:rowOff>58860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5" name="Ink 24">
              <a:extLst>
                <a:ext uri="{FF2B5EF4-FFF2-40B4-BE49-F238E27FC236}">
                  <a16:creationId xmlns:a16="http://schemas.microsoft.com/office/drawing/2014/main" id="{AD8151A8-F01A-422D-913B-6326CC42D81D}"/>
                </a:ext>
              </a:extLst>
            </xdr14:cNvPr>
            <xdr14:cNvContentPartPr/>
          </xdr14:nvContentPartPr>
          <xdr14:nvPr macro=""/>
          <xdr14:xfrm>
            <a:off x="3576960" y="1605240"/>
            <a:ext cx="537480" cy="122400"/>
          </xdr14:xfrm>
        </xdr:contentPart>
      </mc:Choice>
      <mc:Fallback xmlns="">
        <xdr:pic>
          <xdr:nvPicPr>
            <xdr:cNvPr id="99" name="Ink 98">
              <a:extLst>
                <a:ext uri="{FF2B5EF4-FFF2-40B4-BE49-F238E27FC236}">
                  <a16:creationId xmlns:a16="http://schemas.microsoft.com/office/drawing/2014/main" id="{92B84ECA-A924-7EA0-BC33-E49AE67B4F05}"/>
                </a:ext>
              </a:extLst>
            </xdr:cNvPr>
            <xdr:cNvPicPr/>
          </xdr:nvPicPr>
          <xdr:blipFill>
            <a:blip xmlns:r="http://schemas.openxmlformats.org/officeDocument/2006/relationships" r:embed="rId48"/>
            <a:stretch>
              <a:fillRect/>
            </a:stretch>
          </xdr:blipFill>
          <xdr:spPr>
            <a:xfrm>
              <a:off x="3541320" y="1533240"/>
              <a:ext cx="609120" cy="266040"/>
            </a:xfrm>
            <a:prstGeom prst="rect">
              <a:avLst/>
            </a:prstGeom>
          </xdr:spPr>
        </xdr:pic>
      </mc:Fallback>
    </mc:AlternateContent>
    <xdr:clientData/>
  </xdr:twoCellAnchor>
  <xdr:twoCellAnchor editAs="oneCell">
    <xdr:from>
      <xdr:col>2</xdr:col>
      <xdr:colOff>728760</xdr:colOff>
      <xdr:row>10</xdr:row>
      <xdr:rowOff>76160</xdr:rowOff>
    </xdr:from>
    <xdr:to>
      <xdr:col>3</xdr:col>
      <xdr:colOff>462360</xdr:colOff>
      <xdr:row>10</xdr:row>
      <xdr:rowOff>165080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6" name="Ink 25">
              <a:extLst>
                <a:ext uri="{FF2B5EF4-FFF2-40B4-BE49-F238E27FC236}">
                  <a16:creationId xmlns:a16="http://schemas.microsoft.com/office/drawing/2014/main" id="{ACAFEAC7-786E-4E0F-A9B8-649CE71792BF}"/>
                </a:ext>
              </a:extLst>
            </xdr14:cNvPr>
            <xdr14:cNvContentPartPr/>
          </xdr14:nvContentPartPr>
          <xdr14:nvPr macro=""/>
          <xdr14:xfrm>
            <a:off x="1947960" y="1930360"/>
            <a:ext cx="465120" cy="88920"/>
          </xdr14:xfrm>
        </xdr:contentPart>
      </mc:Choice>
      <mc:Fallback xmlns="">
        <xdr:pic>
          <xdr:nvPicPr>
            <xdr:cNvPr id="102" name="Ink 101">
              <a:extLst>
                <a:ext uri="{FF2B5EF4-FFF2-40B4-BE49-F238E27FC236}">
                  <a16:creationId xmlns:a16="http://schemas.microsoft.com/office/drawing/2014/main" id="{05B3DDD4-71BC-0A11-D7D6-EB697CDB05A4}"/>
                </a:ext>
              </a:extLst>
            </xdr:cNvPr>
            <xdr:cNvPicPr/>
          </xdr:nvPicPr>
          <xdr:blipFill>
            <a:blip xmlns:r="http://schemas.openxmlformats.org/officeDocument/2006/relationships" r:embed="rId50"/>
            <a:stretch>
              <a:fillRect/>
            </a:stretch>
          </xdr:blipFill>
          <xdr:spPr>
            <a:xfrm>
              <a:off x="1943640" y="1926040"/>
              <a:ext cx="473760" cy="97560"/>
            </a:xfrm>
            <a:prstGeom prst="rect">
              <a:avLst/>
            </a:prstGeom>
          </xdr:spPr>
        </xdr:pic>
      </mc:Fallback>
    </mc:AlternateContent>
    <xdr:clientData/>
  </xdr:twoCellAnchor>
  <xdr:twoCellAnchor editAs="oneCell">
    <xdr:from>
      <xdr:col>3</xdr:col>
      <xdr:colOff>353880</xdr:colOff>
      <xdr:row>10</xdr:row>
      <xdr:rowOff>39440</xdr:rowOff>
    </xdr:from>
    <xdr:to>
      <xdr:col>5</xdr:col>
      <xdr:colOff>72120</xdr:colOff>
      <xdr:row>10</xdr:row>
      <xdr:rowOff>177680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27" name="Ink 26">
              <a:extLst>
                <a:ext uri="{FF2B5EF4-FFF2-40B4-BE49-F238E27FC236}">
                  <a16:creationId xmlns:a16="http://schemas.microsoft.com/office/drawing/2014/main" id="{33B8B8C5-1C1D-4F24-B15F-354B81F5B117}"/>
                </a:ext>
              </a:extLst>
            </xdr14:cNvPr>
            <xdr14:cNvContentPartPr/>
          </xdr14:nvContentPartPr>
          <xdr14:nvPr macro=""/>
          <xdr14:xfrm>
            <a:off x="2685600" y="1893640"/>
            <a:ext cx="937440" cy="138240"/>
          </xdr14:xfrm>
        </xdr:contentPart>
      </mc:Choice>
      <mc:Fallback xmlns="">
        <xdr:pic>
          <xdr:nvPicPr>
            <xdr:cNvPr id="110" name="Ink 109">
              <a:extLst>
                <a:ext uri="{FF2B5EF4-FFF2-40B4-BE49-F238E27FC236}">
                  <a16:creationId xmlns:a16="http://schemas.microsoft.com/office/drawing/2014/main" id="{B6CF85F8-3C99-ACB6-6E9A-44195C11286E}"/>
                </a:ext>
              </a:extLst>
            </xdr:cNvPr>
            <xdr:cNvPicPr/>
          </xdr:nvPicPr>
          <xdr:blipFill>
            <a:blip xmlns:r="http://schemas.openxmlformats.org/officeDocument/2006/relationships" r:embed="rId52"/>
            <a:stretch>
              <a:fillRect/>
            </a:stretch>
          </xdr:blipFill>
          <xdr:spPr>
            <a:xfrm>
              <a:off x="2681280" y="1889320"/>
              <a:ext cx="946080" cy="146880"/>
            </a:xfrm>
            <a:prstGeom prst="rect">
              <a:avLst/>
            </a:prstGeom>
          </xdr:spPr>
        </xdr:pic>
      </mc:Fallback>
    </mc:AlternateContent>
    <xdr:clientData/>
  </xdr:twoCellAnchor>
  <xdr:twoCellAnchor editAs="oneCell">
    <xdr:from>
      <xdr:col>5</xdr:col>
      <xdr:colOff>289560</xdr:colOff>
      <xdr:row>10</xdr:row>
      <xdr:rowOff>51320</xdr:rowOff>
    </xdr:from>
    <xdr:to>
      <xdr:col>6</xdr:col>
      <xdr:colOff>501840</xdr:colOff>
      <xdr:row>11</xdr:row>
      <xdr:rowOff>42300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28" name="Ink 27">
              <a:extLst>
                <a:ext uri="{FF2B5EF4-FFF2-40B4-BE49-F238E27FC236}">
                  <a16:creationId xmlns:a16="http://schemas.microsoft.com/office/drawing/2014/main" id="{1E290B59-B8CA-4454-88C4-54885D053FDC}"/>
                </a:ext>
              </a:extLst>
            </xdr14:cNvPr>
            <xdr14:cNvContentPartPr/>
          </xdr14:nvContentPartPr>
          <xdr14:nvPr macro=""/>
          <xdr14:xfrm>
            <a:off x="3840480" y="1905520"/>
            <a:ext cx="821880" cy="176400"/>
          </xdr14:xfrm>
        </xdr:contentPart>
      </mc:Choice>
      <mc:Fallback xmlns="">
        <xdr:pic>
          <xdr:nvPicPr>
            <xdr:cNvPr id="116" name="Ink 115">
              <a:extLst>
                <a:ext uri="{FF2B5EF4-FFF2-40B4-BE49-F238E27FC236}">
                  <a16:creationId xmlns:a16="http://schemas.microsoft.com/office/drawing/2014/main" id="{97D30C18-3D44-0329-4C43-87447F3D0E58}"/>
                </a:ext>
              </a:extLst>
            </xdr:cNvPr>
            <xdr:cNvPicPr/>
          </xdr:nvPicPr>
          <xdr:blipFill>
            <a:blip xmlns:r="http://schemas.openxmlformats.org/officeDocument/2006/relationships" r:embed="rId54"/>
            <a:stretch>
              <a:fillRect/>
            </a:stretch>
          </xdr:blipFill>
          <xdr:spPr>
            <a:xfrm>
              <a:off x="3836162" y="1901200"/>
              <a:ext cx="830516" cy="185040"/>
            </a:xfrm>
            <a:prstGeom prst="rect">
              <a:avLst/>
            </a:prstGeom>
          </xdr:spPr>
        </xdr:pic>
      </mc:Fallback>
    </mc:AlternateContent>
    <xdr:clientData/>
  </xdr:twoCellAnchor>
  <xdr:twoCellAnchor editAs="oneCell">
    <xdr:from>
      <xdr:col>5</xdr:col>
      <xdr:colOff>240960</xdr:colOff>
      <xdr:row>10</xdr:row>
      <xdr:rowOff>88400</xdr:rowOff>
    </xdr:from>
    <xdr:to>
      <xdr:col>6</xdr:col>
      <xdr:colOff>502560</xdr:colOff>
      <xdr:row>10</xdr:row>
      <xdr:rowOff>162920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29" name="Ink 28">
              <a:extLst>
                <a:ext uri="{FF2B5EF4-FFF2-40B4-BE49-F238E27FC236}">
                  <a16:creationId xmlns:a16="http://schemas.microsoft.com/office/drawing/2014/main" id="{CDB043B7-A4EB-4F6E-97F8-1D8FA3DFB733}"/>
                </a:ext>
              </a:extLst>
            </xdr14:cNvPr>
            <xdr14:cNvContentPartPr/>
          </xdr14:nvContentPartPr>
          <xdr14:nvPr macro=""/>
          <xdr14:xfrm>
            <a:off x="3791880" y="1942600"/>
            <a:ext cx="871200" cy="74520"/>
          </xdr14:xfrm>
        </xdr:contentPart>
      </mc:Choice>
      <mc:Fallback xmlns="">
        <xdr:pic>
          <xdr:nvPicPr>
            <xdr:cNvPr id="117" name="Ink 116">
              <a:extLst>
                <a:ext uri="{FF2B5EF4-FFF2-40B4-BE49-F238E27FC236}">
                  <a16:creationId xmlns:a16="http://schemas.microsoft.com/office/drawing/2014/main" id="{1EC8E784-E26B-08D1-CC39-278410E007B8}"/>
                </a:ext>
              </a:extLst>
            </xdr:cNvPr>
            <xdr:cNvPicPr/>
          </xdr:nvPicPr>
          <xdr:blipFill>
            <a:blip xmlns:r="http://schemas.openxmlformats.org/officeDocument/2006/relationships" r:embed="rId56"/>
            <a:stretch>
              <a:fillRect/>
            </a:stretch>
          </xdr:blipFill>
          <xdr:spPr>
            <a:xfrm>
              <a:off x="3756240" y="1870960"/>
              <a:ext cx="942840" cy="218160"/>
            </a:xfrm>
            <a:prstGeom prst="rect">
              <a:avLst/>
            </a:prstGeom>
          </xdr:spPr>
        </xdr:pic>
      </mc:Fallback>
    </mc:AlternateContent>
    <xdr:clientData/>
  </xdr:twoCellAnchor>
  <xdr:twoCellAnchor editAs="oneCell">
    <xdr:from>
      <xdr:col>1</xdr:col>
      <xdr:colOff>92040</xdr:colOff>
      <xdr:row>11</xdr:row>
      <xdr:rowOff>72540</xdr:rowOff>
    </xdr:from>
    <xdr:to>
      <xdr:col>2</xdr:col>
      <xdr:colOff>16320</xdr:colOff>
      <xdr:row>17</xdr:row>
      <xdr:rowOff>126420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30" name="Ink 29">
              <a:extLst>
                <a:ext uri="{FF2B5EF4-FFF2-40B4-BE49-F238E27FC236}">
                  <a16:creationId xmlns:a16="http://schemas.microsoft.com/office/drawing/2014/main" id="{DBB8EC7D-5686-4BCC-A7E3-98971D4BAE9E}"/>
                </a:ext>
              </a:extLst>
            </xdr14:cNvPr>
            <xdr14:cNvContentPartPr/>
          </xdr14:nvContentPartPr>
          <xdr14:nvPr macro=""/>
          <xdr14:xfrm>
            <a:off x="701640" y="2112160"/>
            <a:ext cx="533880" cy="1166400"/>
          </xdr14:xfrm>
        </xdr:contentPart>
      </mc:Choice>
      <mc:Fallback xmlns="">
        <xdr:pic>
          <xdr:nvPicPr>
            <xdr:cNvPr id="129" name="Ink 128">
              <a:extLst>
                <a:ext uri="{FF2B5EF4-FFF2-40B4-BE49-F238E27FC236}">
                  <a16:creationId xmlns:a16="http://schemas.microsoft.com/office/drawing/2014/main" id="{E0278C1A-DCCA-7D89-364A-D5C006B61F86}"/>
                </a:ext>
              </a:extLst>
            </xdr:cNvPr>
            <xdr:cNvPicPr/>
          </xdr:nvPicPr>
          <xdr:blipFill>
            <a:blip xmlns:r="http://schemas.openxmlformats.org/officeDocument/2006/relationships" r:embed="rId58"/>
            <a:stretch>
              <a:fillRect/>
            </a:stretch>
          </xdr:blipFill>
          <xdr:spPr>
            <a:xfrm>
              <a:off x="697332" y="2107804"/>
              <a:ext cx="542497" cy="1175113"/>
            </a:xfrm>
            <a:prstGeom prst="rect">
              <a:avLst/>
            </a:prstGeom>
          </xdr:spPr>
        </xdr:pic>
      </mc:Fallback>
    </mc:AlternateContent>
    <xdr:clientData/>
  </xdr:twoCellAnchor>
  <xdr:twoCellAnchor editAs="oneCell">
    <xdr:from>
      <xdr:col>1</xdr:col>
      <xdr:colOff>228480</xdr:colOff>
      <xdr:row>12</xdr:row>
      <xdr:rowOff>86200</xdr:rowOff>
    </xdr:from>
    <xdr:to>
      <xdr:col>1</xdr:col>
      <xdr:colOff>228840</xdr:colOff>
      <xdr:row>12</xdr:row>
      <xdr:rowOff>87640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31" name="Ink 30">
              <a:extLst>
                <a:ext uri="{FF2B5EF4-FFF2-40B4-BE49-F238E27FC236}">
                  <a16:creationId xmlns:a16="http://schemas.microsoft.com/office/drawing/2014/main" id="{5BD63B54-F6D9-47D8-9DAF-EAC587168DB1}"/>
                </a:ext>
              </a:extLst>
            </xdr14:cNvPr>
            <xdr14:cNvContentPartPr/>
          </xdr14:nvContentPartPr>
          <xdr14:nvPr macro=""/>
          <xdr14:xfrm>
            <a:off x="838080" y="2311240"/>
            <a:ext cx="360" cy="1440"/>
          </xdr14:xfrm>
        </xdr:contentPart>
      </mc:Choice>
      <mc:Fallback xmlns="">
        <xdr:pic>
          <xdr:nvPicPr>
            <xdr:cNvPr id="130" name="Ink 129">
              <a:extLst>
                <a:ext uri="{FF2B5EF4-FFF2-40B4-BE49-F238E27FC236}">
                  <a16:creationId xmlns:a16="http://schemas.microsoft.com/office/drawing/2014/main" id="{49E68D5A-C15F-F18A-A40F-9ABF12C9B2E4}"/>
                </a:ext>
              </a:extLst>
            </xdr:cNvPr>
            <xdr:cNvPicPr/>
          </xdr:nvPicPr>
          <xdr:blipFill>
            <a:blip xmlns:r="http://schemas.openxmlformats.org/officeDocument/2006/relationships" r:embed="rId60"/>
            <a:stretch>
              <a:fillRect/>
            </a:stretch>
          </xdr:blipFill>
          <xdr:spPr>
            <a:xfrm>
              <a:off x="802080" y="2239600"/>
              <a:ext cx="72000" cy="145080"/>
            </a:xfrm>
            <a:prstGeom prst="rect">
              <a:avLst/>
            </a:prstGeom>
          </xdr:spPr>
        </xdr:pic>
      </mc:Fallback>
    </mc:AlternateContent>
    <xdr:clientData/>
  </xdr:twoCellAnchor>
  <xdr:twoCellAnchor editAs="oneCell">
    <xdr:from>
      <xdr:col>1</xdr:col>
      <xdr:colOff>606840</xdr:colOff>
      <xdr:row>11</xdr:row>
      <xdr:rowOff>100620</xdr:rowOff>
    </xdr:from>
    <xdr:to>
      <xdr:col>3</xdr:col>
      <xdr:colOff>41400</xdr:colOff>
      <xdr:row>11</xdr:row>
      <xdr:rowOff>142020</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32" name="Ink 31">
              <a:extLst>
                <a:ext uri="{FF2B5EF4-FFF2-40B4-BE49-F238E27FC236}">
                  <a16:creationId xmlns:a16="http://schemas.microsoft.com/office/drawing/2014/main" id="{6DD94843-E762-4FA2-9EB1-5600BD80CF00}"/>
                </a:ext>
              </a:extLst>
            </xdr14:cNvPr>
            <xdr14:cNvContentPartPr/>
          </xdr14:nvContentPartPr>
          <xdr14:nvPr macro=""/>
          <xdr14:xfrm>
            <a:off x="1216440" y="2140240"/>
            <a:ext cx="653760" cy="41400"/>
          </xdr14:xfrm>
        </xdr:contentPart>
      </mc:Choice>
      <mc:Fallback xmlns="">
        <xdr:pic>
          <xdr:nvPicPr>
            <xdr:cNvPr id="131" name="Ink 130">
              <a:extLst>
                <a:ext uri="{FF2B5EF4-FFF2-40B4-BE49-F238E27FC236}">
                  <a16:creationId xmlns:a16="http://schemas.microsoft.com/office/drawing/2014/main" id="{38134711-502D-0560-28B2-A4DF6170338D}"/>
                </a:ext>
              </a:extLst>
            </xdr:cNvPr>
            <xdr:cNvPicPr/>
          </xdr:nvPicPr>
          <xdr:blipFill>
            <a:blip xmlns:r="http://schemas.openxmlformats.org/officeDocument/2006/relationships" r:embed="rId62"/>
            <a:stretch>
              <a:fillRect/>
            </a:stretch>
          </xdr:blipFill>
          <xdr:spPr>
            <a:xfrm>
              <a:off x="1180800" y="2068240"/>
              <a:ext cx="725400" cy="185040"/>
            </a:xfrm>
            <a:prstGeom prst="rect">
              <a:avLst/>
            </a:prstGeom>
          </xdr:spPr>
        </xdr:pic>
      </mc:Fallback>
    </mc:AlternateContent>
    <xdr:clientData/>
  </xdr:twoCellAnchor>
  <xdr:twoCellAnchor editAs="oneCell">
    <xdr:from>
      <xdr:col>1</xdr:col>
      <xdr:colOff>581640</xdr:colOff>
      <xdr:row>12</xdr:row>
      <xdr:rowOff>68200</xdr:rowOff>
    </xdr:from>
    <xdr:to>
      <xdr:col>2</xdr:col>
      <xdr:colOff>591960</xdr:colOff>
      <xdr:row>12</xdr:row>
      <xdr:rowOff>104920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33" name="Ink 32">
              <a:extLst>
                <a:ext uri="{FF2B5EF4-FFF2-40B4-BE49-F238E27FC236}">
                  <a16:creationId xmlns:a16="http://schemas.microsoft.com/office/drawing/2014/main" id="{1982CBD8-EB26-4607-B053-0D5FA9839DDC}"/>
                </a:ext>
              </a:extLst>
            </xdr14:cNvPr>
            <xdr14:cNvContentPartPr/>
          </xdr14:nvContentPartPr>
          <xdr14:nvPr macro=""/>
          <xdr14:xfrm>
            <a:off x="1191240" y="2293240"/>
            <a:ext cx="619920" cy="36720"/>
          </xdr14:xfrm>
        </xdr:contentPart>
      </mc:Choice>
      <mc:Fallback xmlns="">
        <xdr:pic>
          <xdr:nvPicPr>
            <xdr:cNvPr id="132" name="Ink 131">
              <a:extLst>
                <a:ext uri="{FF2B5EF4-FFF2-40B4-BE49-F238E27FC236}">
                  <a16:creationId xmlns:a16="http://schemas.microsoft.com/office/drawing/2014/main" id="{0F0B3F38-29A8-BC38-CF3D-C0A67DF28315}"/>
                </a:ext>
              </a:extLst>
            </xdr:cNvPr>
            <xdr:cNvPicPr/>
          </xdr:nvPicPr>
          <xdr:blipFill>
            <a:blip xmlns:r="http://schemas.openxmlformats.org/officeDocument/2006/relationships" r:embed="rId64"/>
            <a:stretch>
              <a:fillRect/>
            </a:stretch>
          </xdr:blipFill>
          <xdr:spPr>
            <a:xfrm>
              <a:off x="1155600" y="2221240"/>
              <a:ext cx="691560" cy="180360"/>
            </a:xfrm>
            <a:prstGeom prst="rect">
              <a:avLst/>
            </a:prstGeom>
          </xdr:spPr>
        </xdr:pic>
      </mc:Fallback>
    </mc:AlternateContent>
    <xdr:clientData/>
  </xdr:twoCellAnchor>
  <xdr:twoCellAnchor editAs="oneCell">
    <xdr:from>
      <xdr:col>1</xdr:col>
      <xdr:colOff>597480</xdr:colOff>
      <xdr:row>13</xdr:row>
      <xdr:rowOff>90860</xdr:rowOff>
    </xdr:from>
    <xdr:to>
      <xdr:col>2</xdr:col>
      <xdr:colOff>560640</xdr:colOff>
      <xdr:row>13</xdr:row>
      <xdr:rowOff>111740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34" name="Ink 33">
              <a:extLst>
                <a:ext uri="{FF2B5EF4-FFF2-40B4-BE49-F238E27FC236}">
                  <a16:creationId xmlns:a16="http://schemas.microsoft.com/office/drawing/2014/main" id="{F892738F-1082-40D1-AC54-18A33D74A09D}"/>
                </a:ext>
              </a:extLst>
            </xdr14:cNvPr>
            <xdr14:cNvContentPartPr/>
          </xdr14:nvContentPartPr>
          <xdr14:nvPr macro=""/>
          <xdr14:xfrm>
            <a:off x="1207080" y="2501320"/>
            <a:ext cx="572760" cy="20880"/>
          </xdr14:xfrm>
        </xdr:contentPart>
      </mc:Choice>
      <mc:Fallback xmlns="">
        <xdr:pic>
          <xdr:nvPicPr>
            <xdr:cNvPr id="133" name="Ink 132">
              <a:extLst>
                <a:ext uri="{FF2B5EF4-FFF2-40B4-BE49-F238E27FC236}">
                  <a16:creationId xmlns:a16="http://schemas.microsoft.com/office/drawing/2014/main" id="{25A0A5E3-1EAE-96E6-13B3-A713CF314361}"/>
                </a:ext>
              </a:extLst>
            </xdr:cNvPr>
            <xdr:cNvPicPr/>
          </xdr:nvPicPr>
          <xdr:blipFill>
            <a:blip xmlns:r="http://schemas.openxmlformats.org/officeDocument/2006/relationships" r:embed="rId66"/>
            <a:stretch>
              <a:fillRect/>
            </a:stretch>
          </xdr:blipFill>
          <xdr:spPr>
            <a:xfrm>
              <a:off x="1171080" y="2429680"/>
              <a:ext cx="644400" cy="164520"/>
            </a:xfrm>
            <a:prstGeom prst="rect">
              <a:avLst/>
            </a:prstGeom>
          </xdr:spPr>
        </xdr:pic>
      </mc:Fallback>
    </mc:AlternateContent>
    <xdr:clientData/>
  </xdr:twoCellAnchor>
  <xdr:twoCellAnchor editAs="oneCell">
    <xdr:from>
      <xdr:col>1</xdr:col>
      <xdr:colOff>581280</xdr:colOff>
      <xdr:row>14</xdr:row>
      <xdr:rowOff>64200</xdr:rowOff>
    </xdr:from>
    <xdr:to>
      <xdr:col>3</xdr:col>
      <xdr:colOff>372240</xdr:colOff>
      <xdr:row>14</xdr:row>
      <xdr:rowOff>107400</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35" name="Ink 34">
              <a:extLst>
                <a:ext uri="{FF2B5EF4-FFF2-40B4-BE49-F238E27FC236}">
                  <a16:creationId xmlns:a16="http://schemas.microsoft.com/office/drawing/2014/main" id="{0EF28CC6-EC5C-4E7A-89FB-FFA99989C7B5}"/>
                </a:ext>
              </a:extLst>
            </xdr14:cNvPr>
            <xdr14:cNvContentPartPr/>
          </xdr14:nvContentPartPr>
          <xdr14:nvPr macro=""/>
          <xdr14:xfrm>
            <a:off x="1190880" y="2660080"/>
            <a:ext cx="1010160" cy="43200"/>
          </xdr14:xfrm>
        </xdr:contentPart>
      </mc:Choice>
      <mc:Fallback xmlns="">
        <xdr:pic>
          <xdr:nvPicPr>
            <xdr:cNvPr id="134" name="Ink 133">
              <a:extLst>
                <a:ext uri="{FF2B5EF4-FFF2-40B4-BE49-F238E27FC236}">
                  <a16:creationId xmlns:a16="http://schemas.microsoft.com/office/drawing/2014/main" id="{E093B4C9-9E1C-001E-CB87-2848A3BCC8E3}"/>
                </a:ext>
              </a:extLst>
            </xdr:cNvPr>
            <xdr:cNvPicPr/>
          </xdr:nvPicPr>
          <xdr:blipFill>
            <a:blip xmlns:r="http://schemas.openxmlformats.org/officeDocument/2006/relationships" r:embed="rId68"/>
            <a:stretch>
              <a:fillRect/>
            </a:stretch>
          </xdr:blipFill>
          <xdr:spPr>
            <a:xfrm>
              <a:off x="1154880" y="2588080"/>
              <a:ext cx="1081800" cy="186840"/>
            </a:xfrm>
            <a:prstGeom prst="rect">
              <a:avLst/>
            </a:prstGeom>
          </xdr:spPr>
        </xdr:pic>
      </mc:Fallback>
    </mc:AlternateContent>
    <xdr:clientData/>
  </xdr:twoCellAnchor>
  <xdr:twoCellAnchor editAs="oneCell">
    <xdr:from>
      <xdr:col>2</xdr:col>
      <xdr:colOff>16680</xdr:colOff>
      <xdr:row>15</xdr:row>
      <xdr:rowOff>81100</xdr:rowOff>
    </xdr:from>
    <xdr:to>
      <xdr:col>2</xdr:col>
      <xdr:colOff>268680</xdr:colOff>
      <xdr:row>15</xdr:row>
      <xdr:rowOff>114220</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36" name="Ink 35">
              <a:extLst>
                <a:ext uri="{FF2B5EF4-FFF2-40B4-BE49-F238E27FC236}">
                  <a16:creationId xmlns:a16="http://schemas.microsoft.com/office/drawing/2014/main" id="{DAAD9800-D60E-4D38-AE25-8F21649C86C8}"/>
                </a:ext>
              </a:extLst>
            </xdr14:cNvPr>
            <xdr14:cNvContentPartPr/>
          </xdr14:nvContentPartPr>
          <xdr14:nvPr macro=""/>
          <xdr14:xfrm>
            <a:off x="1235880" y="2862400"/>
            <a:ext cx="252000" cy="33120"/>
          </xdr14:xfrm>
        </xdr:contentPart>
      </mc:Choice>
      <mc:Fallback xmlns="">
        <xdr:pic>
          <xdr:nvPicPr>
            <xdr:cNvPr id="135" name="Ink 134">
              <a:extLst>
                <a:ext uri="{FF2B5EF4-FFF2-40B4-BE49-F238E27FC236}">
                  <a16:creationId xmlns:a16="http://schemas.microsoft.com/office/drawing/2014/main" id="{162FBD94-56E2-A3DC-C27A-4096B8ABD85D}"/>
                </a:ext>
              </a:extLst>
            </xdr:cNvPr>
            <xdr:cNvPicPr/>
          </xdr:nvPicPr>
          <xdr:blipFill>
            <a:blip xmlns:r="http://schemas.openxmlformats.org/officeDocument/2006/relationships" r:embed="rId70"/>
            <a:stretch>
              <a:fillRect/>
            </a:stretch>
          </xdr:blipFill>
          <xdr:spPr>
            <a:xfrm>
              <a:off x="1200240" y="2790400"/>
              <a:ext cx="323640" cy="176760"/>
            </a:xfrm>
            <a:prstGeom prst="rect">
              <a:avLst/>
            </a:prstGeom>
          </xdr:spPr>
        </xdr:pic>
      </mc:Fallback>
    </mc:AlternateContent>
    <xdr:clientData/>
  </xdr:twoCellAnchor>
  <xdr:twoCellAnchor editAs="oneCell">
    <xdr:from>
      <xdr:col>2</xdr:col>
      <xdr:colOff>16320</xdr:colOff>
      <xdr:row>16</xdr:row>
      <xdr:rowOff>95840</xdr:rowOff>
    </xdr:from>
    <xdr:to>
      <xdr:col>3</xdr:col>
      <xdr:colOff>209880</xdr:colOff>
      <xdr:row>16</xdr:row>
      <xdr:rowOff>128600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37" name="Ink 36">
              <a:extLst>
                <a:ext uri="{FF2B5EF4-FFF2-40B4-BE49-F238E27FC236}">
                  <a16:creationId xmlns:a16="http://schemas.microsoft.com/office/drawing/2014/main" id="{B413B167-FC8E-4DA4-9FF7-DDD5513199DC}"/>
                </a:ext>
              </a:extLst>
            </xdr14:cNvPr>
            <xdr14:cNvContentPartPr/>
          </xdr14:nvContentPartPr>
          <xdr14:nvPr macro=""/>
          <xdr14:xfrm>
            <a:off x="1235520" y="3062560"/>
            <a:ext cx="803160" cy="32760"/>
          </xdr14:xfrm>
        </xdr:contentPart>
      </mc:Choice>
      <mc:Fallback xmlns="">
        <xdr:pic>
          <xdr:nvPicPr>
            <xdr:cNvPr id="136" name="Ink 135">
              <a:extLst>
                <a:ext uri="{FF2B5EF4-FFF2-40B4-BE49-F238E27FC236}">
                  <a16:creationId xmlns:a16="http://schemas.microsoft.com/office/drawing/2014/main" id="{CA45032B-9426-21B9-1E6B-2BAD41E3677C}"/>
                </a:ext>
              </a:extLst>
            </xdr:cNvPr>
            <xdr:cNvPicPr/>
          </xdr:nvPicPr>
          <xdr:blipFill>
            <a:blip xmlns:r="http://schemas.openxmlformats.org/officeDocument/2006/relationships" r:embed="rId72"/>
            <a:stretch>
              <a:fillRect/>
            </a:stretch>
          </xdr:blipFill>
          <xdr:spPr>
            <a:xfrm>
              <a:off x="1199880" y="2990920"/>
              <a:ext cx="874800" cy="176400"/>
            </a:xfrm>
            <a:prstGeom prst="rect">
              <a:avLst/>
            </a:prstGeom>
          </xdr:spPr>
        </xdr:pic>
      </mc:Fallback>
    </mc:AlternateContent>
    <xdr:clientData/>
  </xdr:twoCellAnchor>
  <xdr:twoCellAnchor editAs="oneCell">
    <xdr:from>
      <xdr:col>2</xdr:col>
      <xdr:colOff>863400</xdr:colOff>
      <xdr:row>17</xdr:row>
      <xdr:rowOff>75940</xdr:rowOff>
    </xdr:from>
    <xdr:to>
      <xdr:col>3</xdr:col>
      <xdr:colOff>397050</xdr:colOff>
      <xdr:row>17</xdr:row>
      <xdr:rowOff>144700</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38" name="Ink 37">
              <a:extLst>
                <a:ext uri="{FF2B5EF4-FFF2-40B4-BE49-F238E27FC236}">
                  <a16:creationId xmlns:a16="http://schemas.microsoft.com/office/drawing/2014/main" id="{0D18F787-CAAE-4A7D-AC02-FFA93A2A918C}"/>
                </a:ext>
              </a:extLst>
            </xdr14:cNvPr>
            <xdr14:cNvContentPartPr/>
          </xdr14:nvContentPartPr>
          <xdr14:nvPr macro=""/>
          <xdr14:xfrm>
            <a:off x="2082600" y="3228080"/>
            <a:ext cx="398520" cy="68760"/>
          </xdr14:xfrm>
        </xdr:contentPart>
      </mc:Choice>
      <mc:Fallback xmlns="">
        <xdr:pic>
          <xdr:nvPicPr>
            <xdr:cNvPr id="148" name="Ink 147">
              <a:extLst>
                <a:ext uri="{FF2B5EF4-FFF2-40B4-BE49-F238E27FC236}">
                  <a16:creationId xmlns:a16="http://schemas.microsoft.com/office/drawing/2014/main" id="{15C3C2C2-F11F-2D14-52F0-831FE91927B0}"/>
                </a:ext>
              </a:extLst>
            </xdr:cNvPr>
            <xdr:cNvPicPr/>
          </xdr:nvPicPr>
          <xdr:blipFill>
            <a:blip xmlns:r="http://schemas.openxmlformats.org/officeDocument/2006/relationships" r:embed="rId74"/>
            <a:stretch>
              <a:fillRect/>
            </a:stretch>
          </xdr:blipFill>
          <xdr:spPr>
            <a:xfrm>
              <a:off x="2078280" y="3223760"/>
              <a:ext cx="407160" cy="77400"/>
            </a:xfrm>
            <a:prstGeom prst="rect">
              <a:avLst/>
            </a:prstGeom>
          </xdr:spPr>
        </xdr:pic>
      </mc:Fallback>
    </mc:AlternateContent>
    <xdr:clientData/>
  </xdr:twoCellAnchor>
  <xdr:twoCellAnchor editAs="oneCell">
    <xdr:from>
      <xdr:col>5</xdr:col>
      <xdr:colOff>350400</xdr:colOff>
      <xdr:row>18</xdr:row>
      <xdr:rowOff>88520</xdr:rowOff>
    </xdr:from>
    <xdr:to>
      <xdr:col>6</xdr:col>
      <xdr:colOff>204480</xdr:colOff>
      <xdr:row>19</xdr:row>
      <xdr:rowOff>129180</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39" name="Ink 38">
              <a:extLst>
                <a:ext uri="{FF2B5EF4-FFF2-40B4-BE49-F238E27FC236}">
                  <a16:creationId xmlns:a16="http://schemas.microsoft.com/office/drawing/2014/main" id="{4451FCC7-8D51-4C0E-AE4B-56CC7D6F628A}"/>
                </a:ext>
              </a:extLst>
            </xdr14:cNvPr>
            <xdr14:cNvContentPartPr/>
          </xdr14:nvContentPartPr>
          <xdr14:nvPr macro=""/>
          <xdr14:xfrm>
            <a:off x="3901320" y="3426080"/>
            <a:ext cx="463680" cy="226080"/>
          </xdr14:xfrm>
        </xdr:contentPart>
      </mc:Choice>
      <mc:Fallback xmlns="">
        <xdr:pic>
          <xdr:nvPicPr>
            <xdr:cNvPr id="172" name="Ink 171">
              <a:extLst>
                <a:ext uri="{FF2B5EF4-FFF2-40B4-BE49-F238E27FC236}">
                  <a16:creationId xmlns:a16="http://schemas.microsoft.com/office/drawing/2014/main" id="{E71A67AA-98BD-37DF-C295-14B0F59D9C90}"/>
                </a:ext>
              </a:extLst>
            </xdr:cNvPr>
            <xdr:cNvPicPr/>
          </xdr:nvPicPr>
          <xdr:blipFill>
            <a:blip xmlns:r="http://schemas.openxmlformats.org/officeDocument/2006/relationships" r:embed="rId76"/>
            <a:stretch>
              <a:fillRect/>
            </a:stretch>
          </xdr:blipFill>
          <xdr:spPr>
            <a:xfrm>
              <a:off x="3897000" y="3421760"/>
              <a:ext cx="472320" cy="234720"/>
            </a:xfrm>
            <a:prstGeom prst="rect">
              <a:avLst/>
            </a:prstGeom>
          </xdr:spPr>
        </xdr:pic>
      </mc:Fallback>
    </mc:AlternateContent>
    <xdr:clientData/>
  </xdr:twoCellAnchor>
  <xdr:twoCellAnchor editAs="oneCell">
    <xdr:from>
      <xdr:col>6</xdr:col>
      <xdr:colOff>246240</xdr:colOff>
      <xdr:row>18</xdr:row>
      <xdr:rowOff>110120</xdr:rowOff>
    </xdr:from>
    <xdr:to>
      <xdr:col>6</xdr:col>
      <xdr:colOff>450000</xdr:colOff>
      <xdr:row>19</xdr:row>
      <xdr:rowOff>25860</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40" name="Ink 39">
              <a:extLst>
                <a:ext uri="{FF2B5EF4-FFF2-40B4-BE49-F238E27FC236}">
                  <a16:creationId xmlns:a16="http://schemas.microsoft.com/office/drawing/2014/main" id="{8DB65D50-003A-4013-B798-FDE1C8F56B28}"/>
                </a:ext>
              </a:extLst>
            </xdr14:cNvPr>
            <xdr14:cNvContentPartPr/>
          </xdr14:nvContentPartPr>
          <xdr14:nvPr macro=""/>
          <xdr14:xfrm>
            <a:off x="4406760" y="3447680"/>
            <a:ext cx="203760" cy="101160"/>
          </xdr14:xfrm>
        </xdr:contentPart>
      </mc:Choice>
      <mc:Fallback xmlns="">
        <xdr:pic>
          <xdr:nvPicPr>
            <xdr:cNvPr id="175" name="Ink 174">
              <a:extLst>
                <a:ext uri="{FF2B5EF4-FFF2-40B4-BE49-F238E27FC236}">
                  <a16:creationId xmlns:a16="http://schemas.microsoft.com/office/drawing/2014/main" id="{234A810E-2D86-2E38-DF16-A72380982AF8}"/>
                </a:ext>
              </a:extLst>
            </xdr:cNvPr>
            <xdr:cNvPicPr/>
          </xdr:nvPicPr>
          <xdr:blipFill>
            <a:blip xmlns:r="http://schemas.openxmlformats.org/officeDocument/2006/relationships" r:embed="rId78"/>
            <a:stretch>
              <a:fillRect/>
            </a:stretch>
          </xdr:blipFill>
          <xdr:spPr>
            <a:xfrm>
              <a:off x="4402440" y="3443360"/>
              <a:ext cx="212400" cy="109800"/>
            </a:xfrm>
            <a:prstGeom prst="rect">
              <a:avLst/>
            </a:prstGeom>
          </xdr:spPr>
        </xdr:pic>
      </mc:Fallback>
    </mc:AlternateContent>
    <xdr:clientData/>
  </xdr:twoCellAnchor>
  <xdr:twoCellAnchor editAs="oneCell">
    <xdr:from>
      <xdr:col>2</xdr:col>
      <xdr:colOff>928560</xdr:colOff>
      <xdr:row>16</xdr:row>
      <xdr:rowOff>132480</xdr:rowOff>
    </xdr:from>
    <xdr:to>
      <xdr:col>5</xdr:col>
      <xdr:colOff>603670</xdr:colOff>
      <xdr:row>20</xdr:row>
      <xdr:rowOff>45280</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41" name="Ink 40">
              <a:extLst>
                <a:ext uri="{FF2B5EF4-FFF2-40B4-BE49-F238E27FC236}">
                  <a16:creationId xmlns:a16="http://schemas.microsoft.com/office/drawing/2014/main" id="{90886AA8-8670-41FE-BF51-BAF80170FA71}"/>
                </a:ext>
              </a:extLst>
            </xdr14:cNvPr>
            <xdr14:cNvContentPartPr/>
          </xdr14:nvContentPartPr>
          <xdr14:nvPr macro=""/>
          <xdr14:xfrm>
            <a:off x="2147760" y="3099200"/>
            <a:ext cx="1822680" cy="654480"/>
          </xdr14:xfrm>
        </xdr:contentPart>
      </mc:Choice>
      <mc:Fallback xmlns="">
        <xdr:pic>
          <xdr:nvPicPr>
            <xdr:cNvPr id="186" name="Ink 185">
              <a:extLst>
                <a:ext uri="{FF2B5EF4-FFF2-40B4-BE49-F238E27FC236}">
                  <a16:creationId xmlns:a16="http://schemas.microsoft.com/office/drawing/2014/main" id="{7C0BD838-5765-F32F-7AD4-449C00258213}"/>
                </a:ext>
              </a:extLst>
            </xdr:cNvPr>
            <xdr:cNvPicPr/>
          </xdr:nvPicPr>
          <xdr:blipFill>
            <a:blip xmlns:r="http://schemas.openxmlformats.org/officeDocument/2006/relationships" r:embed="rId80"/>
            <a:stretch>
              <a:fillRect/>
            </a:stretch>
          </xdr:blipFill>
          <xdr:spPr>
            <a:xfrm>
              <a:off x="2143443" y="3094810"/>
              <a:ext cx="1831315" cy="663260"/>
            </a:xfrm>
            <a:prstGeom prst="rect">
              <a:avLst/>
            </a:prstGeom>
          </xdr:spPr>
        </xdr:pic>
      </mc:Fallback>
    </mc:AlternateContent>
    <xdr:clientData/>
  </xdr:twoCellAnchor>
  <xdr:twoCellAnchor editAs="oneCell">
    <xdr:from>
      <xdr:col>1</xdr:col>
      <xdr:colOff>488040</xdr:colOff>
      <xdr:row>20</xdr:row>
      <xdr:rowOff>40600</xdr:rowOff>
    </xdr:from>
    <xdr:to>
      <xdr:col>2</xdr:col>
      <xdr:colOff>16680</xdr:colOff>
      <xdr:row>23</xdr:row>
      <xdr:rowOff>10300</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42" name="Ink 41">
              <a:extLst>
                <a:ext uri="{FF2B5EF4-FFF2-40B4-BE49-F238E27FC236}">
                  <a16:creationId xmlns:a16="http://schemas.microsoft.com/office/drawing/2014/main" id="{2D7A3049-A327-4F0C-8061-F5225BB5DB70}"/>
                </a:ext>
              </a:extLst>
            </xdr14:cNvPr>
            <xdr14:cNvContentPartPr/>
          </xdr14:nvContentPartPr>
          <xdr14:nvPr macro=""/>
          <xdr14:xfrm>
            <a:off x="1097640" y="3749000"/>
            <a:ext cx="138240" cy="525960"/>
          </xdr14:xfrm>
        </xdr:contentPart>
      </mc:Choice>
      <mc:Fallback xmlns="">
        <xdr:pic>
          <xdr:nvPicPr>
            <xdr:cNvPr id="189" name="Ink 188">
              <a:extLst>
                <a:ext uri="{FF2B5EF4-FFF2-40B4-BE49-F238E27FC236}">
                  <a16:creationId xmlns:a16="http://schemas.microsoft.com/office/drawing/2014/main" id="{3A2F934A-E03C-45E0-30B4-D9FF4F56B3E8}"/>
                </a:ext>
              </a:extLst>
            </xdr:cNvPr>
            <xdr:cNvPicPr/>
          </xdr:nvPicPr>
          <xdr:blipFill>
            <a:blip xmlns:r="http://schemas.openxmlformats.org/officeDocument/2006/relationships" r:embed="rId82"/>
            <a:stretch>
              <a:fillRect/>
            </a:stretch>
          </xdr:blipFill>
          <xdr:spPr>
            <a:xfrm>
              <a:off x="1093320" y="3744680"/>
              <a:ext cx="146880" cy="534600"/>
            </a:xfrm>
            <a:prstGeom prst="rect">
              <a:avLst/>
            </a:prstGeom>
          </xdr:spPr>
        </xdr:pic>
      </mc:Fallback>
    </mc:AlternateContent>
    <xdr:clientData/>
  </xdr:twoCellAnchor>
  <xdr:twoCellAnchor editAs="oneCell">
    <xdr:from>
      <xdr:col>0</xdr:col>
      <xdr:colOff>183600</xdr:colOff>
      <xdr:row>18</xdr:row>
      <xdr:rowOff>132800</xdr:rowOff>
    </xdr:from>
    <xdr:to>
      <xdr:col>1</xdr:col>
      <xdr:colOff>115440</xdr:colOff>
      <xdr:row>23</xdr:row>
      <xdr:rowOff>160420</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43" name="Ink 42">
              <a:extLst>
                <a:ext uri="{FF2B5EF4-FFF2-40B4-BE49-F238E27FC236}">
                  <a16:creationId xmlns:a16="http://schemas.microsoft.com/office/drawing/2014/main" id="{28EB3A71-64F4-46B1-8BF9-18C9B85A316E}"/>
                </a:ext>
              </a:extLst>
            </xdr14:cNvPr>
            <xdr14:cNvContentPartPr/>
          </xdr14:nvContentPartPr>
          <xdr14:nvPr macro=""/>
          <xdr14:xfrm>
            <a:off x="183600" y="3470360"/>
            <a:ext cx="541440" cy="954720"/>
          </xdr14:xfrm>
        </xdr:contentPart>
      </mc:Choice>
      <mc:Fallback xmlns="">
        <xdr:pic>
          <xdr:nvPicPr>
            <xdr:cNvPr id="202" name="Ink 201">
              <a:extLst>
                <a:ext uri="{FF2B5EF4-FFF2-40B4-BE49-F238E27FC236}">
                  <a16:creationId xmlns:a16="http://schemas.microsoft.com/office/drawing/2014/main" id="{94127D48-ADDF-EE29-012F-B4CEB5B2E973}"/>
                </a:ext>
              </a:extLst>
            </xdr:cNvPr>
            <xdr:cNvPicPr/>
          </xdr:nvPicPr>
          <xdr:blipFill>
            <a:blip xmlns:r="http://schemas.openxmlformats.org/officeDocument/2006/relationships" r:embed="rId84"/>
            <a:stretch>
              <a:fillRect/>
            </a:stretch>
          </xdr:blipFill>
          <xdr:spPr>
            <a:xfrm>
              <a:off x="179277" y="3466025"/>
              <a:ext cx="550086" cy="963389"/>
            </a:xfrm>
            <a:prstGeom prst="rect">
              <a:avLst/>
            </a:prstGeom>
          </xdr:spPr>
        </xdr:pic>
      </mc:Fallback>
    </mc:AlternateContent>
    <xdr:clientData/>
  </xdr:twoCellAnchor>
  <xdr:twoCellAnchor editAs="oneCell">
    <xdr:from>
      <xdr:col>2</xdr:col>
      <xdr:colOff>846840</xdr:colOff>
      <xdr:row>22</xdr:row>
      <xdr:rowOff>40560</xdr:rowOff>
    </xdr:from>
    <xdr:to>
      <xdr:col>4</xdr:col>
      <xdr:colOff>274860</xdr:colOff>
      <xdr:row>22</xdr:row>
      <xdr:rowOff>171600</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44" name="Ink 43">
              <a:extLst>
                <a:ext uri="{FF2B5EF4-FFF2-40B4-BE49-F238E27FC236}">
                  <a16:creationId xmlns:a16="http://schemas.microsoft.com/office/drawing/2014/main" id="{CE1705A4-A0AE-45F4-BC70-0E63DBC046DC}"/>
                </a:ext>
              </a:extLst>
            </xdr14:cNvPr>
            <xdr14:cNvContentPartPr/>
          </xdr14:nvContentPartPr>
          <xdr14:nvPr macro=""/>
          <xdr14:xfrm>
            <a:off x="2066040" y="4119800"/>
            <a:ext cx="883440" cy="131040"/>
          </xdr14:xfrm>
        </xdr:contentPart>
      </mc:Choice>
      <mc:Fallback xmlns="">
        <xdr:pic>
          <xdr:nvPicPr>
            <xdr:cNvPr id="209" name="Ink 208">
              <a:extLst>
                <a:ext uri="{FF2B5EF4-FFF2-40B4-BE49-F238E27FC236}">
                  <a16:creationId xmlns:a16="http://schemas.microsoft.com/office/drawing/2014/main" id="{C8AF0D84-1C5B-2892-1F65-E24202952577}"/>
                </a:ext>
              </a:extLst>
            </xdr:cNvPr>
            <xdr:cNvPicPr/>
          </xdr:nvPicPr>
          <xdr:blipFill>
            <a:blip xmlns:r="http://schemas.openxmlformats.org/officeDocument/2006/relationships" r:embed="rId86"/>
            <a:stretch>
              <a:fillRect/>
            </a:stretch>
          </xdr:blipFill>
          <xdr:spPr>
            <a:xfrm>
              <a:off x="2061720" y="4115480"/>
              <a:ext cx="892080" cy="139680"/>
            </a:xfrm>
            <a:prstGeom prst="rect">
              <a:avLst/>
            </a:prstGeom>
          </xdr:spPr>
        </xdr:pic>
      </mc:Fallback>
    </mc:AlternateContent>
    <xdr:clientData/>
  </xdr:twoCellAnchor>
  <xdr:twoCellAnchor editAs="oneCell">
    <xdr:from>
      <xdr:col>3</xdr:col>
      <xdr:colOff>284400</xdr:colOff>
      <xdr:row>22</xdr:row>
      <xdr:rowOff>33000</xdr:rowOff>
    </xdr:from>
    <xdr:to>
      <xdr:col>4</xdr:col>
      <xdr:colOff>55680</xdr:colOff>
      <xdr:row>22</xdr:row>
      <xdr:rowOff>167280</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45" name="Ink 44">
              <a:extLst>
                <a:ext uri="{FF2B5EF4-FFF2-40B4-BE49-F238E27FC236}">
                  <a16:creationId xmlns:a16="http://schemas.microsoft.com/office/drawing/2014/main" id="{9BE289BE-CA73-468A-95A4-BEAE333C33B7}"/>
                </a:ext>
              </a:extLst>
            </xdr14:cNvPr>
            <xdr14:cNvContentPartPr/>
          </xdr14:nvContentPartPr>
          <xdr14:nvPr macro=""/>
          <xdr14:xfrm>
            <a:off x="2616120" y="4112240"/>
            <a:ext cx="380880" cy="134280"/>
          </xdr14:xfrm>
        </xdr:contentPart>
      </mc:Choice>
      <mc:Fallback xmlns="">
        <xdr:pic>
          <xdr:nvPicPr>
            <xdr:cNvPr id="210" name="Ink 209">
              <a:extLst>
                <a:ext uri="{FF2B5EF4-FFF2-40B4-BE49-F238E27FC236}">
                  <a16:creationId xmlns:a16="http://schemas.microsoft.com/office/drawing/2014/main" id="{FD04A501-DA81-4A0F-6DF1-0EDA37EFBAC8}"/>
                </a:ext>
              </a:extLst>
            </xdr:cNvPr>
            <xdr:cNvPicPr/>
          </xdr:nvPicPr>
          <xdr:blipFill>
            <a:blip xmlns:r="http://schemas.openxmlformats.org/officeDocument/2006/relationships" r:embed="rId88"/>
            <a:stretch>
              <a:fillRect/>
            </a:stretch>
          </xdr:blipFill>
          <xdr:spPr>
            <a:xfrm>
              <a:off x="2580120" y="4040240"/>
              <a:ext cx="452520" cy="277920"/>
            </a:xfrm>
            <a:prstGeom prst="rect">
              <a:avLst/>
            </a:prstGeom>
          </xdr:spPr>
        </xdr:pic>
      </mc:Fallback>
    </mc:AlternateContent>
    <xdr:clientData/>
  </xdr:twoCellAnchor>
  <xdr:twoCellAnchor editAs="oneCell">
    <xdr:from>
      <xdr:col>1</xdr:col>
      <xdr:colOff>592440</xdr:colOff>
      <xdr:row>20</xdr:row>
      <xdr:rowOff>106120</xdr:rowOff>
    </xdr:from>
    <xdr:to>
      <xdr:col>2</xdr:col>
      <xdr:colOff>370920</xdr:colOff>
      <xdr:row>21</xdr:row>
      <xdr:rowOff>162980</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46" name="Ink 45">
              <a:extLst>
                <a:ext uri="{FF2B5EF4-FFF2-40B4-BE49-F238E27FC236}">
                  <a16:creationId xmlns:a16="http://schemas.microsoft.com/office/drawing/2014/main" id="{BD4DC20C-2D64-4E40-8639-DE9BCBB954CF}"/>
                </a:ext>
              </a:extLst>
            </xdr14:cNvPr>
            <xdr14:cNvContentPartPr/>
          </xdr14:nvContentPartPr>
          <xdr14:nvPr macro=""/>
          <xdr14:xfrm>
            <a:off x="1202040" y="3814520"/>
            <a:ext cx="388080" cy="242280"/>
          </xdr14:xfrm>
        </xdr:contentPart>
      </mc:Choice>
      <mc:Fallback xmlns="">
        <xdr:pic>
          <xdr:nvPicPr>
            <xdr:cNvPr id="211" name="Ink 210">
              <a:extLst>
                <a:ext uri="{FF2B5EF4-FFF2-40B4-BE49-F238E27FC236}">
                  <a16:creationId xmlns:a16="http://schemas.microsoft.com/office/drawing/2014/main" id="{4582DA3D-0E07-F039-8577-4E5C3C36386B}"/>
                </a:ext>
              </a:extLst>
            </xdr:cNvPr>
            <xdr:cNvPicPr/>
          </xdr:nvPicPr>
          <xdr:blipFill>
            <a:blip xmlns:r="http://schemas.openxmlformats.org/officeDocument/2006/relationships" r:embed="rId90"/>
            <a:stretch>
              <a:fillRect/>
            </a:stretch>
          </xdr:blipFill>
          <xdr:spPr>
            <a:xfrm>
              <a:off x="1166400" y="3742880"/>
              <a:ext cx="459720" cy="385920"/>
            </a:xfrm>
            <a:prstGeom prst="rect">
              <a:avLst/>
            </a:prstGeom>
          </xdr:spPr>
        </xdr:pic>
      </mc:Fallback>
    </mc:AlternateContent>
    <xdr:clientData/>
  </xdr:twoCellAnchor>
  <xdr:twoCellAnchor editAs="oneCell">
    <xdr:from>
      <xdr:col>2</xdr:col>
      <xdr:colOff>548400</xdr:colOff>
      <xdr:row>18</xdr:row>
      <xdr:rowOff>149720</xdr:rowOff>
    </xdr:from>
    <xdr:to>
      <xdr:col>2</xdr:col>
      <xdr:colOff>593400</xdr:colOff>
      <xdr:row>18</xdr:row>
      <xdr:rowOff>180680</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47" name="Ink 46">
              <a:extLst>
                <a:ext uri="{FF2B5EF4-FFF2-40B4-BE49-F238E27FC236}">
                  <a16:creationId xmlns:a16="http://schemas.microsoft.com/office/drawing/2014/main" id="{5D2E63A7-846B-47FA-85E2-EBBD9A33457A}"/>
                </a:ext>
              </a:extLst>
            </xdr14:cNvPr>
            <xdr14:cNvContentPartPr/>
          </xdr14:nvContentPartPr>
          <xdr14:nvPr macro=""/>
          <xdr14:xfrm>
            <a:off x="1767600" y="3487280"/>
            <a:ext cx="45000" cy="30960"/>
          </xdr14:xfrm>
        </xdr:contentPart>
      </mc:Choice>
      <mc:Fallback xmlns="">
        <xdr:pic>
          <xdr:nvPicPr>
            <xdr:cNvPr id="212" name="Ink 211">
              <a:extLst>
                <a:ext uri="{FF2B5EF4-FFF2-40B4-BE49-F238E27FC236}">
                  <a16:creationId xmlns:a16="http://schemas.microsoft.com/office/drawing/2014/main" id="{2D900EB2-B399-CF21-DE76-2379F7D812F0}"/>
                </a:ext>
              </a:extLst>
            </xdr:cNvPr>
            <xdr:cNvPicPr/>
          </xdr:nvPicPr>
          <xdr:blipFill>
            <a:blip xmlns:r="http://schemas.openxmlformats.org/officeDocument/2006/relationships" r:embed="rId92"/>
            <a:stretch>
              <a:fillRect/>
            </a:stretch>
          </xdr:blipFill>
          <xdr:spPr>
            <a:xfrm>
              <a:off x="1763280" y="3482960"/>
              <a:ext cx="53640" cy="39600"/>
            </a:xfrm>
            <a:prstGeom prst="rect">
              <a:avLst/>
            </a:prstGeom>
          </xdr:spPr>
        </xdr:pic>
      </mc:Fallback>
    </mc:AlternateContent>
    <xdr:clientData/>
  </xdr:twoCellAnchor>
  <xdr:twoCellAnchor editAs="oneCell">
    <xdr:from>
      <xdr:col>2</xdr:col>
      <xdr:colOff>607080</xdr:colOff>
      <xdr:row>20</xdr:row>
      <xdr:rowOff>54280</xdr:rowOff>
    </xdr:from>
    <xdr:to>
      <xdr:col>4</xdr:col>
      <xdr:colOff>360050</xdr:colOff>
      <xdr:row>21</xdr:row>
      <xdr:rowOff>175940</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48" name="Ink 47">
              <a:extLst>
                <a:ext uri="{FF2B5EF4-FFF2-40B4-BE49-F238E27FC236}">
                  <a16:creationId xmlns:a16="http://schemas.microsoft.com/office/drawing/2014/main" id="{752AA0C0-216A-4019-A9E4-4D96296AAACE}"/>
                </a:ext>
              </a:extLst>
            </xdr14:cNvPr>
            <xdr14:cNvContentPartPr/>
          </xdr14:nvContentPartPr>
          <xdr14:nvPr macro=""/>
          <xdr14:xfrm>
            <a:off x="1826280" y="3762680"/>
            <a:ext cx="973440" cy="307080"/>
          </xdr14:xfrm>
        </xdr:contentPart>
      </mc:Choice>
      <mc:Fallback xmlns="">
        <xdr:pic>
          <xdr:nvPicPr>
            <xdr:cNvPr id="221" name="Ink 220">
              <a:extLst>
                <a:ext uri="{FF2B5EF4-FFF2-40B4-BE49-F238E27FC236}">
                  <a16:creationId xmlns:a16="http://schemas.microsoft.com/office/drawing/2014/main" id="{E6BBF03C-B248-073D-2CAF-0C3184DED93E}"/>
                </a:ext>
              </a:extLst>
            </xdr:cNvPr>
            <xdr:cNvPicPr/>
          </xdr:nvPicPr>
          <xdr:blipFill>
            <a:blip xmlns:r="http://schemas.openxmlformats.org/officeDocument/2006/relationships" r:embed="rId94"/>
            <a:stretch>
              <a:fillRect/>
            </a:stretch>
          </xdr:blipFill>
          <xdr:spPr>
            <a:xfrm>
              <a:off x="1821960" y="3758360"/>
              <a:ext cx="982080" cy="315720"/>
            </a:xfrm>
            <a:prstGeom prst="rect">
              <a:avLst/>
            </a:prstGeom>
          </xdr:spPr>
        </xdr:pic>
      </mc:Fallback>
    </mc:AlternateContent>
    <xdr:clientData/>
  </xdr:twoCellAnchor>
  <xdr:twoCellAnchor editAs="oneCell">
    <xdr:from>
      <xdr:col>2</xdr:col>
      <xdr:colOff>969960</xdr:colOff>
      <xdr:row>23</xdr:row>
      <xdr:rowOff>83480</xdr:rowOff>
    </xdr:from>
    <xdr:to>
      <xdr:col>4</xdr:col>
      <xdr:colOff>561500</xdr:colOff>
      <xdr:row>23</xdr:row>
      <xdr:rowOff>174560</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49" name="Ink 48">
              <a:extLst>
                <a:ext uri="{FF2B5EF4-FFF2-40B4-BE49-F238E27FC236}">
                  <a16:creationId xmlns:a16="http://schemas.microsoft.com/office/drawing/2014/main" id="{AA1B1267-5C3A-4D35-8698-171E433B010A}"/>
                </a:ext>
              </a:extLst>
            </xdr14:cNvPr>
            <xdr14:cNvContentPartPr/>
          </xdr14:nvContentPartPr>
          <xdr14:nvPr macro=""/>
          <xdr14:xfrm>
            <a:off x="2189160" y="4348140"/>
            <a:ext cx="1173960" cy="91080"/>
          </xdr14:xfrm>
        </xdr:contentPart>
      </mc:Choice>
      <mc:Fallback xmlns="">
        <xdr:pic>
          <xdr:nvPicPr>
            <xdr:cNvPr id="222" name="Ink 221">
              <a:extLst>
                <a:ext uri="{FF2B5EF4-FFF2-40B4-BE49-F238E27FC236}">
                  <a16:creationId xmlns:a16="http://schemas.microsoft.com/office/drawing/2014/main" id="{103C536D-633E-C5F0-0B96-E2C03992886D}"/>
                </a:ext>
              </a:extLst>
            </xdr:cNvPr>
            <xdr:cNvPicPr/>
          </xdr:nvPicPr>
          <xdr:blipFill>
            <a:blip xmlns:r="http://schemas.openxmlformats.org/officeDocument/2006/relationships" r:embed="rId96"/>
            <a:stretch>
              <a:fillRect/>
            </a:stretch>
          </xdr:blipFill>
          <xdr:spPr>
            <a:xfrm>
              <a:off x="2184840" y="4343820"/>
              <a:ext cx="1182600" cy="99720"/>
            </a:xfrm>
            <a:prstGeom prst="rect">
              <a:avLst/>
            </a:prstGeom>
          </xdr:spPr>
        </xdr:pic>
      </mc:Fallback>
    </mc:AlternateContent>
    <xdr:clientData/>
  </xdr:twoCellAnchor>
  <xdr:twoCellAnchor editAs="oneCell">
    <xdr:from>
      <xdr:col>5</xdr:col>
      <xdr:colOff>185160</xdr:colOff>
      <xdr:row>23</xdr:row>
      <xdr:rowOff>28400</xdr:rowOff>
    </xdr:from>
    <xdr:to>
      <xdr:col>6</xdr:col>
      <xdr:colOff>72360</xdr:colOff>
      <xdr:row>24</xdr:row>
      <xdr:rowOff>159780</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50" name="Ink 49">
              <a:extLst>
                <a:ext uri="{FF2B5EF4-FFF2-40B4-BE49-F238E27FC236}">
                  <a16:creationId xmlns:a16="http://schemas.microsoft.com/office/drawing/2014/main" id="{CE9A561F-0116-4A23-A0CA-135180DC1410}"/>
                </a:ext>
              </a:extLst>
            </xdr14:cNvPr>
            <xdr14:cNvContentPartPr/>
          </xdr14:nvContentPartPr>
          <xdr14:nvPr macro=""/>
          <xdr14:xfrm>
            <a:off x="3736080" y="4293060"/>
            <a:ext cx="496800" cy="316800"/>
          </xdr14:xfrm>
        </xdr:contentPart>
      </mc:Choice>
      <mc:Fallback xmlns="">
        <xdr:pic>
          <xdr:nvPicPr>
            <xdr:cNvPr id="228" name="Ink 227">
              <a:extLst>
                <a:ext uri="{FF2B5EF4-FFF2-40B4-BE49-F238E27FC236}">
                  <a16:creationId xmlns:a16="http://schemas.microsoft.com/office/drawing/2014/main" id="{3D96FBD2-CD5D-4FA0-D288-354401A2F423}"/>
                </a:ext>
              </a:extLst>
            </xdr:cNvPr>
            <xdr:cNvPicPr/>
          </xdr:nvPicPr>
          <xdr:blipFill>
            <a:blip xmlns:r="http://schemas.openxmlformats.org/officeDocument/2006/relationships" r:embed="rId98"/>
            <a:stretch>
              <a:fillRect/>
            </a:stretch>
          </xdr:blipFill>
          <xdr:spPr>
            <a:xfrm>
              <a:off x="3731760" y="4288740"/>
              <a:ext cx="505440" cy="325440"/>
            </a:xfrm>
            <a:prstGeom prst="rect">
              <a:avLst/>
            </a:prstGeom>
          </xdr:spPr>
        </xdr:pic>
      </mc:Fallback>
    </mc:AlternateContent>
    <xdr:clientData/>
  </xdr:twoCellAnchor>
  <xdr:twoCellAnchor editAs="oneCell">
    <xdr:from>
      <xdr:col>6</xdr:col>
      <xdr:colOff>223560</xdr:colOff>
      <xdr:row>22</xdr:row>
      <xdr:rowOff>127060</xdr:rowOff>
    </xdr:from>
    <xdr:to>
      <xdr:col>7</xdr:col>
      <xdr:colOff>390120</xdr:colOff>
      <xdr:row>24</xdr:row>
      <xdr:rowOff>30540</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51" name="Ink 50">
              <a:extLst>
                <a:ext uri="{FF2B5EF4-FFF2-40B4-BE49-F238E27FC236}">
                  <a16:creationId xmlns:a16="http://schemas.microsoft.com/office/drawing/2014/main" id="{812226C7-218D-45B5-8159-D1BAAB5679E5}"/>
                </a:ext>
              </a:extLst>
            </xdr14:cNvPr>
            <xdr14:cNvContentPartPr/>
          </xdr14:nvContentPartPr>
          <xdr14:nvPr macro=""/>
          <xdr14:xfrm>
            <a:off x="4384080" y="4206300"/>
            <a:ext cx="776160" cy="274320"/>
          </xdr14:xfrm>
        </xdr:contentPart>
      </mc:Choice>
      <mc:Fallback xmlns="">
        <xdr:pic>
          <xdr:nvPicPr>
            <xdr:cNvPr id="236" name="Ink 235">
              <a:extLst>
                <a:ext uri="{FF2B5EF4-FFF2-40B4-BE49-F238E27FC236}">
                  <a16:creationId xmlns:a16="http://schemas.microsoft.com/office/drawing/2014/main" id="{BB54CBC8-57CC-F6C1-CD2F-85B0979CF906}"/>
                </a:ext>
              </a:extLst>
            </xdr:cNvPr>
            <xdr:cNvPicPr/>
          </xdr:nvPicPr>
          <xdr:blipFill>
            <a:blip xmlns:r="http://schemas.openxmlformats.org/officeDocument/2006/relationships" r:embed="rId100"/>
            <a:stretch>
              <a:fillRect/>
            </a:stretch>
          </xdr:blipFill>
          <xdr:spPr>
            <a:xfrm>
              <a:off x="4379760" y="4201980"/>
              <a:ext cx="784800" cy="282960"/>
            </a:xfrm>
            <a:prstGeom prst="rect">
              <a:avLst/>
            </a:prstGeom>
          </xdr:spPr>
        </xdr:pic>
      </mc:Fallback>
    </mc:AlternateContent>
    <xdr:clientData/>
  </xdr:twoCellAnchor>
  <xdr:twoCellAnchor editAs="oneCell">
    <xdr:from>
      <xdr:col>2</xdr:col>
      <xdr:colOff>878520</xdr:colOff>
      <xdr:row>24</xdr:row>
      <xdr:rowOff>139620</xdr:rowOff>
    </xdr:from>
    <xdr:to>
      <xdr:col>6</xdr:col>
      <xdr:colOff>22190</xdr:colOff>
      <xdr:row>25</xdr:row>
      <xdr:rowOff>89560</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52" name="Ink 51">
              <a:extLst>
                <a:ext uri="{FF2B5EF4-FFF2-40B4-BE49-F238E27FC236}">
                  <a16:creationId xmlns:a16="http://schemas.microsoft.com/office/drawing/2014/main" id="{C6A8D079-751E-4DE8-BB19-86E02EB535D6}"/>
                </a:ext>
              </a:extLst>
            </xdr14:cNvPr>
            <xdr14:cNvContentPartPr/>
          </xdr14:nvContentPartPr>
          <xdr14:nvPr macro=""/>
          <xdr14:xfrm>
            <a:off x="2097720" y="4589700"/>
            <a:ext cx="1850040" cy="135360"/>
          </xdr14:xfrm>
        </xdr:contentPart>
      </mc:Choice>
      <mc:Fallback xmlns="">
        <xdr:pic>
          <xdr:nvPicPr>
            <xdr:cNvPr id="237" name="Ink 236">
              <a:extLst>
                <a:ext uri="{FF2B5EF4-FFF2-40B4-BE49-F238E27FC236}">
                  <a16:creationId xmlns:a16="http://schemas.microsoft.com/office/drawing/2014/main" id="{28B244F4-52E1-70BA-E963-1360A415CAC0}"/>
                </a:ext>
              </a:extLst>
            </xdr:cNvPr>
            <xdr:cNvPicPr/>
          </xdr:nvPicPr>
          <xdr:blipFill>
            <a:blip xmlns:r="http://schemas.openxmlformats.org/officeDocument/2006/relationships" r:embed="rId102"/>
            <a:stretch>
              <a:fillRect/>
            </a:stretch>
          </xdr:blipFill>
          <xdr:spPr>
            <a:xfrm>
              <a:off x="2093400" y="4585380"/>
              <a:ext cx="1858680" cy="144000"/>
            </a:xfrm>
            <a:prstGeom prst="rect">
              <a:avLst/>
            </a:prstGeom>
          </xdr:spPr>
        </xdr:pic>
      </mc:Fallback>
    </mc:AlternateContent>
    <xdr:clientData/>
  </xdr:twoCellAnchor>
  <xdr:twoCellAnchor editAs="oneCell">
    <xdr:from>
      <xdr:col>1</xdr:col>
      <xdr:colOff>487320</xdr:colOff>
      <xdr:row>24</xdr:row>
      <xdr:rowOff>82740</xdr:rowOff>
    </xdr:from>
    <xdr:to>
      <xdr:col>2</xdr:col>
      <xdr:colOff>111720</xdr:colOff>
      <xdr:row>24</xdr:row>
      <xdr:rowOff>131700</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53" name="Ink 52">
              <a:extLst>
                <a:ext uri="{FF2B5EF4-FFF2-40B4-BE49-F238E27FC236}">
                  <a16:creationId xmlns:a16="http://schemas.microsoft.com/office/drawing/2014/main" id="{E7979546-0CF1-48E6-9177-6D6EC1C44E66}"/>
                </a:ext>
              </a:extLst>
            </xdr14:cNvPr>
            <xdr14:cNvContentPartPr/>
          </xdr14:nvContentPartPr>
          <xdr14:nvPr macro=""/>
          <xdr14:xfrm>
            <a:off x="1096920" y="4532820"/>
            <a:ext cx="234000" cy="48960"/>
          </xdr14:xfrm>
        </xdr:contentPart>
      </mc:Choice>
      <mc:Fallback xmlns="">
        <xdr:pic>
          <xdr:nvPicPr>
            <xdr:cNvPr id="252" name="Ink 251">
              <a:extLst>
                <a:ext uri="{FF2B5EF4-FFF2-40B4-BE49-F238E27FC236}">
                  <a16:creationId xmlns:a16="http://schemas.microsoft.com/office/drawing/2014/main" id="{7420A51A-135A-5B13-343D-711A80F3F22A}"/>
                </a:ext>
              </a:extLst>
            </xdr:cNvPr>
            <xdr:cNvPicPr/>
          </xdr:nvPicPr>
          <xdr:blipFill>
            <a:blip xmlns:r="http://schemas.openxmlformats.org/officeDocument/2006/relationships" r:embed="rId104"/>
            <a:stretch>
              <a:fillRect/>
            </a:stretch>
          </xdr:blipFill>
          <xdr:spPr>
            <a:xfrm>
              <a:off x="1092600" y="4528500"/>
              <a:ext cx="242640" cy="57600"/>
            </a:xfrm>
            <a:prstGeom prst="rect">
              <a:avLst/>
            </a:prstGeom>
          </xdr:spPr>
        </xdr:pic>
      </mc:Fallback>
    </mc:AlternateContent>
    <xdr:clientData/>
  </xdr:twoCellAnchor>
  <xdr:twoCellAnchor editAs="oneCell">
    <xdr:from>
      <xdr:col>6</xdr:col>
      <xdr:colOff>98640</xdr:colOff>
      <xdr:row>24</xdr:row>
      <xdr:rowOff>48180</xdr:rowOff>
    </xdr:from>
    <xdr:to>
      <xdr:col>8</xdr:col>
      <xdr:colOff>186960</xdr:colOff>
      <xdr:row>26</xdr:row>
      <xdr:rowOff>21140</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54" name="Ink 53">
              <a:extLst>
                <a:ext uri="{FF2B5EF4-FFF2-40B4-BE49-F238E27FC236}">
                  <a16:creationId xmlns:a16="http://schemas.microsoft.com/office/drawing/2014/main" id="{B467B9B4-53E2-4FE3-854A-9EBB45EFBD89}"/>
                </a:ext>
              </a:extLst>
            </xdr14:cNvPr>
            <xdr14:cNvContentPartPr/>
          </xdr14:nvContentPartPr>
          <xdr14:nvPr macro=""/>
          <xdr14:xfrm>
            <a:off x="4259160" y="4498260"/>
            <a:ext cx="1307520" cy="343800"/>
          </xdr14:xfrm>
        </xdr:contentPart>
      </mc:Choice>
      <mc:Fallback xmlns="">
        <xdr:pic>
          <xdr:nvPicPr>
            <xdr:cNvPr id="256" name="Ink 255">
              <a:extLst>
                <a:ext uri="{FF2B5EF4-FFF2-40B4-BE49-F238E27FC236}">
                  <a16:creationId xmlns:a16="http://schemas.microsoft.com/office/drawing/2014/main" id="{422A5DBC-59F3-6FDD-EA3D-4EC100B21F2D}"/>
                </a:ext>
              </a:extLst>
            </xdr:cNvPr>
            <xdr:cNvPicPr/>
          </xdr:nvPicPr>
          <xdr:blipFill>
            <a:blip xmlns:r="http://schemas.openxmlformats.org/officeDocument/2006/relationships" r:embed="rId106"/>
            <a:stretch>
              <a:fillRect/>
            </a:stretch>
          </xdr:blipFill>
          <xdr:spPr>
            <a:xfrm>
              <a:off x="4254840" y="4493940"/>
              <a:ext cx="1316160" cy="352440"/>
            </a:xfrm>
            <a:prstGeom prst="rect">
              <a:avLst/>
            </a:prstGeom>
          </xdr:spPr>
        </xdr:pic>
      </mc:Fallback>
    </mc:AlternateContent>
    <xdr:clientData/>
  </xdr:twoCellAnchor>
  <xdr:twoCellAnchor editAs="oneCell">
    <xdr:from>
      <xdr:col>2</xdr:col>
      <xdr:colOff>520680</xdr:colOff>
      <xdr:row>25</xdr:row>
      <xdr:rowOff>134200</xdr:rowOff>
    </xdr:from>
    <xdr:to>
      <xdr:col>3</xdr:col>
      <xdr:colOff>448920</xdr:colOff>
      <xdr:row>26</xdr:row>
      <xdr:rowOff>37700</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55" name="Ink 54">
              <a:extLst>
                <a:ext uri="{FF2B5EF4-FFF2-40B4-BE49-F238E27FC236}">
                  <a16:creationId xmlns:a16="http://schemas.microsoft.com/office/drawing/2014/main" id="{3975B73A-A84B-4EF9-875A-3A5DC094CEAB}"/>
                </a:ext>
              </a:extLst>
            </xdr14:cNvPr>
            <xdr14:cNvContentPartPr/>
          </xdr14:nvContentPartPr>
          <xdr14:nvPr macro=""/>
          <xdr14:xfrm>
            <a:off x="1739880" y="4769700"/>
            <a:ext cx="537840" cy="88920"/>
          </xdr14:xfrm>
        </xdr:contentPart>
      </mc:Choice>
      <mc:Fallback xmlns="">
        <xdr:pic>
          <xdr:nvPicPr>
            <xdr:cNvPr id="259" name="Ink 258">
              <a:extLst>
                <a:ext uri="{FF2B5EF4-FFF2-40B4-BE49-F238E27FC236}">
                  <a16:creationId xmlns:a16="http://schemas.microsoft.com/office/drawing/2014/main" id="{15F3D26B-E144-ABD1-D186-A87B15F4C3DF}"/>
                </a:ext>
              </a:extLst>
            </xdr:cNvPr>
            <xdr:cNvPicPr/>
          </xdr:nvPicPr>
          <xdr:blipFill>
            <a:blip xmlns:r="http://schemas.openxmlformats.org/officeDocument/2006/relationships" r:embed="rId108"/>
            <a:stretch>
              <a:fillRect/>
            </a:stretch>
          </xdr:blipFill>
          <xdr:spPr>
            <a:xfrm>
              <a:off x="1735560" y="4765380"/>
              <a:ext cx="546480" cy="97560"/>
            </a:xfrm>
            <a:prstGeom prst="rect">
              <a:avLst/>
            </a:prstGeom>
          </xdr:spPr>
        </xdr:pic>
      </mc:Fallback>
    </mc:AlternateContent>
    <xdr:clientData/>
  </xdr:twoCellAnchor>
  <xdr:twoCellAnchor editAs="oneCell">
    <xdr:from>
      <xdr:col>3</xdr:col>
      <xdr:colOff>90720</xdr:colOff>
      <xdr:row>25</xdr:row>
      <xdr:rowOff>112960</xdr:rowOff>
    </xdr:from>
    <xdr:to>
      <xdr:col>5</xdr:col>
      <xdr:colOff>175440</xdr:colOff>
      <xdr:row>27</xdr:row>
      <xdr:rowOff>120120</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56" name="Ink 55">
              <a:extLst>
                <a:ext uri="{FF2B5EF4-FFF2-40B4-BE49-F238E27FC236}">
                  <a16:creationId xmlns:a16="http://schemas.microsoft.com/office/drawing/2014/main" id="{EE4A3F84-A121-4024-9330-6029956EBC6E}"/>
                </a:ext>
              </a:extLst>
            </xdr14:cNvPr>
            <xdr14:cNvContentPartPr/>
          </xdr14:nvContentPartPr>
          <xdr14:nvPr macro=""/>
          <xdr14:xfrm>
            <a:off x="2422440" y="4748460"/>
            <a:ext cx="1303920" cy="378000"/>
          </xdr14:xfrm>
        </xdr:contentPart>
      </mc:Choice>
      <mc:Fallback xmlns="">
        <xdr:pic>
          <xdr:nvPicPr>
            <xdr:cNvPr id="274" name="Ink 273">
              <a:extLst>
                <a:ext uri="{FF2B5EF4-FFF2-40B4-BE49-F238E27FC236}">
                  <a16:creationId xmlns:a16="http://schemas.microsoft.com/office/drawing/2014/main" id="{FEE3A277-9919-62A0-081F-BDBCD14086D3}"/>
                </a:ext>
              </a:extLst>
            </xdr:cNvPr>
            <xdr:cNvPicPr/>
          </xdr:nvPicPr>
          <xdr:blipFill>
            <a:blip xmlns:r="http://schemas.openxmlformats.org/officeDocument/2006/relationships" r:embed="rId110"/>
            <a:stretch>
              <a:fillRect/>
            </a:stretch>
          </xdr:blipFill>
          <xdr:spPr>
            <a:xfrm>
              <a:off x="2418120" y="4744140"/>
              <a:ext cx="1312560" cy="386640"/>
            </a:xfrm>
            <a:prstGeom prst="rect">
              <a:avLst/>
            </a:prstGeom>
          </xdr:spPr>
        </xdr:pic>
      </mc:Fallback>
    </mc:AlternateContent>
    <xdr:clientData/>
  </xdr:twoCellAnchor>
  <xdr:twoCellAnchor editAs="oneCell">
    <xdr:from>
      <xdr:col>2</xdr:col>
      <xdr:colOff>454440</xdr:colOff>
      <xdr:row>26</xdr:row>
      <xdr:rowOff>151460</xdr:rowOff>
    </xdr:from>
    <xdr:to>
      <xdr:col>3</xdr:col>
      <xdr:colOff>63720</xdr:colOff>
      <xdr:row>27</xdr:row>
      <xdr:rowOff>51720</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57" name="Ink 56">
              <a:extLst>
                <a:ext uri="{FF2B5EF4-FFF2-40B4-BE49-F238E27FC236}">
                  <a16:creationId xmlns:a16="http://schemas.microsoft.com/office/drawing/2014/main" id="{1F019FE1-E1E5-434E-8FFD-12DD4E3202FA}"/>
                </a:ext>
              </a:extLst>
            </xdr14:cNvPr>
            <xdr14:cNvContentPartPr/>
          </xdr14:nvContentPartPr>
          <xdr14:nvPr macro=""/>
          <xdr14:xfrm>
            <a:off x="1673640" y="4972380"/>
            <a:ext cx="218880" cy="85680"/>
          </xdr14:xfrm>
        </xdr:contentPart>
      </mc:Choice>
      <mc:Fallback xmlns="">
        <xdr:pic>
          <xdr:nvPicPr>
            <xdr:cNvPr id="275" name="Ink 274">
              <a:extLst>
                <a:ext uri="{FF2B5EF4-FFF2-40B4-BE49-F238E27FC236}">
                  <a16:creationId xmlns:a16="http://schemas.microsoft.com/office/drawing/2014/main" id="{607E2301-9BF7-0F9D-2D72-F2DDB48391BB}"/>
                </a:ext>
              </a:extLst>
            </xdr:cNvPr>
            <xdr:cNvPicPr/>
          </xdr:nvPicPr>
          <xdr:blipFill>
            <a:blip xmlns:r="http://schemas.openxmlformats.org/officeDocument/2006/relationships" r:embed="rId112"/>
            <a:stretch>
              <a:fillRect/>
            </a:stretch>
          </xdr:blipFill>
          <xdr:spPr>
            <a:xfrm>
              <a:off x="1669320" y="4968060"/>
              <a:ext cx="227520" cy="94320"/>
            </a:xfrm>
            <a:prstGeom prst="rect">
              <a:avLst/>
            </a:prstGeom>
          </xdr:spPr>
        </xdr:pic>
      </mc:Fallback>
    </mc:AlternateContent>
    <xdr:clientData/>
  </xdr:twoCellAnchor>
  <xdr:twoCellAnchor editAs="oneCell">
    <xdr:from>
      <xdr:col>2</xdr:col>
      <xdr:colOff>50520</xdr:colOff>
      <xdr:row>26</xdr:row>
      <xdr:rowOff>98900</xdr:rowOff>
    </xdr:from>
    <xdr:to>
      <xdr:col>2</xdr:col>
      <xdr:colOff>324480</xdr:colOff>
      <xdr:row>26</xdr:row>
      <xdr:rowOff>111860</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58" name="Ink 57">
              <a:extLst>
                <a:ext uri="{FF2B5EF4-FFF2-40B4-BE49-F238E27FC236}">
                  <a16:creationId xmlns:a16="http://schemas.microsoft.com/office/drawing/2014/main" id="{543B9A90-044F-4B41-8A52-5BE0B79C1B40}"/>
                </a:ext>
              </a:extLst>
            </xdr14:cNvPr>
            <xdr14:cNvContentPartPr/>
          </xdr14:nvContentPartPr>
          <xdr14:nvPr macro=""/>
          <xdr14:xfrm>
            <a:off x="1269720" y="4919820"/>
            <a:ext cx="273960" cy="12960"/>
          </xdr14:xfrm>
        </xdr:contentPart>
      </mc:Choice>
      <mc:Fallback xmlns="">
        <xdr:pic>
          <xdr:nvPicPr>
            <xdr:cNvPr id="276" name="Ink 275">
              <a:extLst>
                <a:ext uri="{FF2B5EF4-FFF2-40B4-BE49-F238E27FC236}">
                  <a16:creationId xmlns:a16="http://schemas.microsoft.com/office/drawing/2014/main" id="{F3D9A080-1EC1-204C-F6E3-2CA7703517AA}"/>
                </a:ext>
              </a:extLst>
            </xdr:cNvPr>
            <xdr:cNvPicPr/>
          </xdr:nvPicPr>
          <xdr:blipFill>
            <a:blip xmlns:r="http://schemas.openxmlformats.org/officeDocument/2006/relationships" r:embed="rId114"/>
            <a:stretch>
              <a:fillRect/>
            </a:stretch>
          </xdr:blipFill>
          <xdr:spPr>
            <a:xfrm>
              <a:off x="1234080" y="4847820"/>
              <a:ext cx="345600" cy="156600"/>
            </a:xfrm>
            <a:prstGeom prst="rect">
              <a:avLst/>
            </a:prstGeom>
          </xdr:spPr>
        </xdr:pic>
      </mc:Fallback>
    </mc:AlternateContent>
    <xdr:clientData/>
  </xdr:twoCellAnchor>
  <xdr:twoCellAnchor editAs="oneCell">
    <xdr:from>
      <xdr:col>3</xdr:col>
      <xdr:colOff>52560</xdr:colOff>
      <xdr:row>25</xdr:row>
      <xdr:rowOff>175240</xdr:rowOff>
    </xdr:from>
    <xdr:to>
      <xdr:col>3</xdr:col>
      <xdr:colOff>357120</xdr:colOff>
      <xdr:row>26</xdr:row>
      <xdr:rowOff>260</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59" name="Ink 58">
              <a:extLst>
                <a:ext uri="{FF2B5EF4-FFF2-40B4-BE49-F238E27FC236}">
                  <a16:creationId xmlns:a16="http://schemas.microsoft.com/office/drawing/2014/main" id="{2A63B617-379C-4A41-ADE9-A024AF220AE3}"/>
                </a:ext>
              </a:extLst>
            </xdr14:cNvPr>
            <xdr14:cNvContentPartPr/>
          </xdr14:nvContentPartPr>
          <xdr14:nvPr macro=""/>
          <xdr14:xfrm>
            <a:off x="2384280" y="4810740"/>
            <a:ext cx="304560" cy="10440"/>
          </xdr14:xfrm>
        </xdr:contentPart>
      </mc:Choice>
      <mc:Fallback xmlns="">
        <xdr:pic>
          <xdr:nvPicPr>
            <xdr:cNvPr id="277" name="Ink 276">
              <a:extLst>
                <a:ext uri="{FF2B5EF4-FFF2-40B4-BE49-F238E27FC236}">
                  <a16:creationId xmlns:a16="http://schemas.microsoft.com/office/drawing/2014/main" id="{5147B754-776C-59A6-71EB-D0B6A959506A}"/>
                </a:ext>
              </a:extLst>
            </xdr:cNvPr>
            <xdr:cNvPicPr/>
          </xdr:nvPicPr>
          <xdr:blipFill>
            <a:blip xmlns:r="http://schemas.openxmlformats.org/officeDocument/2006/relationships" r:embed="rId116"/>
            <a:stretch>
              <a:fillRect/>
            </a:stretch>
          </xdr:blipFill>
          <xdr:spPr>
            <a:xfrm>
              <a:off x="2348640" y="4738740"/>
              <a:ext cx="376200" cy="154080"/>
            </a:xfrm>
            <a:prstGeom prst="rect">
              <a:avLst/>
            </a:prstGeom>
          </xdr:spPr>
        </xdr:pic>
      </mc:Fallback>
    </mc:AlternateContent>
    <xdr:clientData/>
  </xdr:twoCellAnchor>
  <xdr:twoCellAnchor editAs="oneCell">
    <xdr:from>
      <xdr:col>6</xdr:col>
      <xdr:colOff>88560</xdr:colOff>
      <xdr:row>25</xdr:row>
      <xdr:rowOff>19360</xdr:rowOff>
    </xdr:from>
    <xdr:to>
      <xdr:col>7</xdr:col>
      <xdr:colOff>519720</xdr:colOff>
      <xdr:row>25</xdr:row>
      <xdr:rowOff>64000</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60" name="Ink 59">
              <a:extLst>
                <a:ext uri="{FF2B5EF4-FFF2-40B4-BE49-F238E27FC236}">
                  <a16:creationId xmlns:a16="http://schemas.microsoft.com/office/drawing/2014/main" id="{0C820432-0335-4088-B9FC-AAFDC9ADC98A}"/>
                </a:ext>
              </a:extLst>
            </xdr14:cNvPr>
            <xdr14:cNvContentPartPr/>
          </xdr14:nvContentPartPr>
          <xdr14:nvPr macro=""/>
          <xdr14:xfrm>
            <a:off x="4249080" y="4654860"/>
            <a:ext cx="1040760" cy="44640"/>
          </xdr14:xfrm>
        </xdr:contentPart>
      </mc:Choice>
      <mc:Fallback xmlns="">
        <xdr:pic>
          <xdr:nvPicPr>
            <xdr:cNvPr id="278" name="Ink 277">
              <a:extLst>
                <a:ext uri="{FF2B5EF4-FFF2-40B4-BE49-F238E27FC236}">
                  <a16:creationId xmlns:a16="http://schemas.microsoft.com/office/drawing/2014/main" id="{B817BF80-2E55-1BA6-0F05-C317B8CD27FD}"/>
                </a:ext>
              </a:extLst>
            </xdr:cNvPr>
            <xdr:cNvPicPr/>
          </xdr:nvPicPr>
          <xdr:blipFill>
            <a:blip xmlns:r="http://schemas.openxmlformats.org/officeDocument/2006/relationships" r:embed="rId118"/>
            <a:stretch>
              <a:fillRect/>
            </a:stretch>
          </xdr:blipFill>
          <xdr:spPr>
            <a:xfrm>
              <a:off x="4213440" y="4583220"/>
              <a:ext cx="1112400" cy="188280"/>
            </a:xfrm>
            <a:prstGeom prst="rect">
              <a:avLst/>
            </a:prstGeom>
          </xdr:spPr>
        </xdr:pic>
      </mc:Fallback>
    </mc:AlternateContent>
    <xdr:clientData/>
  </xdr:twoCellAnchor>
  <xdr:twoCellAnchor editAs="oneCell">
    <xdr:from>
      <xdr:col>5</xdr:col>
      <xdr:colOff>223320</xdr:colOff>
      <xdr:row>22</xdr:row>
      <xdr:rowOff>172060</xdr:rowOff>
    </xdr:from>
    <xdr:to>
      <xdr:col>7</xdr:col>
      <xdr:colOff>422520</xdr:colOff>
      <xdr:row>23</xdr:row>
      <xdr:rowOff>116960</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61" name="Ink 60">
              <a:extLst>
                <a:ext uri="{FF2B5EF4-FFF2-40B4-BE49-F238E27FC236}">
                  <a16:creationId xmlns:a16="http://schemas.microsoft.com/office/drawing/2014/main" id="{9DDFD103-3C93-4D8E-970C-8FA4754AA3D4}"/>
                </a:ext>
              </a:extLst>
            </xdr14:cNvPr>
            <xdr14:cNvContentPartPr/>
          </xdr14:nvContentPartPr>
          <xdr14:nvPr macro=""/>
          <xdr14:xfrm>
            <a:off x="3774240" y="4251300"/>
            <a:ext cx="1418400" cy="130320"/>
          </xdr14:xfrm>
        </xdr:contentPart>
      </mc:Choice>
      <mc:Fallback xmlns="">
        <xdr:pic>
          <xdr:nvPicPr>
            <xdr:cNvPr id="279" name="Ink 278">
              <a:extLst>
                <a:ext uri="{FF2B5EF4-FFF2-40B4-BE49-F238E27FC236}">
                  <a16:creationId xmlns:a16="http://schemas.microsoft.com/office/drawing/2014/main" id="{C3847B3F-DBEA-5209-AB44-5F024DB3245D}"/>
                </a:ext>
              </a:extLst>
            </xdr:cNvPr>
            <xdr:cNvPicPr/>
          </xdr:nvPicPr>
          <xdr:blipFill>
            <a:blip xmlns:r="http://schemas.openxmlformats.org/officeDocument/2006/relationships" r:embed="rId120"/>
            <a:stretch>
              <a:fillRect/>
            </a:stretch>
          </xdr:blipFill>
          <xdr:spPr>
            <a:xfrm>
              <a:off x="3738600" y="4179660"/>
              <a:ext cx="1490040" cy="273960"/>
            </a:xfrm>
            <a:prstGeom prst="rect">
              <a:avLst/>
            </a:prstGeom>
          </xdr:spPr>
        </xdr:pic>
      </mc:Fallback>
    </mc:AlternateContent>
    <xdr:clientData/>
  </xdr:twoCellAnchor>
  <xdr:twoCellAnchor editAs="oneCell">
    <xdr:from>
      <xdr:col>2</xdr:col>
      <xdr:colOff>1003080</xdr:colOff>
      <xdr:row>20</xdr:row>
      <xdr:rowOff>169940</xdr:rowOff>
    </xdr:from>
    <xdr:to>
      <xdr:col>3</xdr:col>
      <xdr:colOff>529870</xdr:colOff>
      <xdr:row>21</xdr:row>
      <xdr:rowOff>15480</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62" name="Ink 61">
              <a:extLst>
                <a:ext uri="{FF2B5EF4-FFF2-40B4-BE49-F238E27FC236}">
                  <a16:creationId xmlns:a16="http://schemas.microsoft.com/office/drawing/2014/main" id="{A489A7AB-3269-443A-8EA8-935617D24897}"/>
                </a:ext>
              </a:extLst>
            </xdr14:cNvPr>
            <xdr14:cNvContentPartPr/>
          </xdr14:nvContentPartPr>
          <xdr14:nvPr macro=""/>
          <xdr14:xfrm>
            <a:off x="2222280" y="3878340"/>
            <a:ext cx="531360" cy="30960"/>
          </xdr14:xfrm>
        </xdr:contentPart>
      </mc:Choice>
      <mc:Fallback xmlns="">
        <xdr:pic>
          <xdr:nvPicPr>
            <xdr:cNvPr id="280" name="Ink 279">
              <a:extLst>
                <a:ext uri="{FF2B5EF4-FFF2-40B4-BE49-F238E27FC236}">
                  <a16:creationId xmlns:a16="http://schemas.microsoft.com/office/drawing/2014/main" id="{5D06EC56-862C-2D69-33E0-3FC86C36065F}"/>
                </a:ext>
              </a:extLst>
            </xdr:cNvPr>
            <xdr:cNvPicPr/>
          </xdr:nvPicPr>
          <xdr:blipFill>
            <a:blip xmlns:r="http://schemas.openxmlformats.org/officeDocument/2006/relationships" r:embed="rId122"/>
            <a:stretch>
              <a:fillRect/>
            </a:stretch>
          </xdr:blipFill>
          <xdr:spPr>
            <a:xfrm>
              <a:off x="2186280" y="3806340"/>
              <a:ext cx="603000" cy="174600"/>
            </a:xfrm>
            <a:prstGeom prst="rect">
              <a:avLst/>
            </a:prstGeom>
          </xdr:spPr>
        </xdr:pic>
      </mc:Fallback>
    </mc:AlternateContent>
    <xdr:clientData/>
  </xdr:twoCellAnchor>
  <xdr:twoCellAnchor editAs="oneCell">
    <xdr:from>
      <xdr:col>3</xdr:col>
      <xdr:colOff>325080</xdr:colOff>
      <xdr:row>19</xdr:row>
      <xdr:rowOff>106960</xdr:rowOff>
    </xdr:from>
    <xdr:to>
      <xdr:col>5</xdr:col>
      <xdr:colOff>55560</xdr:colOff>
      <xdr:row>19</xdr:row>
      <xdr:rowOff>126760</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63" name="Ink 62">
              <a:extLst>
                <a:ext uri="{FF2B5EF4-FFF2-40B4-BE49-F238E27FC236}">
                  <a16:creationId xmlns:a16="http://schemas.microsoft.com/office/drawing/2014/main" id="{504967FC-961A-4CEC-B356-C600A5CB641A}"/>
                </a:ext>
              </a:extLst>
            </xdr14:cNvPr>
            <xdr14:cNvContentPartPr/>
          </xdr14:nvContentPartPr>
          <xdr14:nvPr macro=""/>
          <xdr14:xfrm>
            <a:off x="2656800" y="3629940"/>
            <a:ext cx="949680" cy="19800"/>
          </xdr14:xfrm>
        </xdr:contentPart>
      </mc:Choice>
      <mc:Fallback xmlns="">
        <xdr:pic>
          <xdr:nvPicPr>
            <xdr:cNvPr id="281" name="Ink 280">
              <a:extLst>
                <a:ext uri="{FF2B5EF4-FFF2-40B4-BE49-F238E27FC236}">
                  <a16:creationId xmlns:a16="http://schemas.microsoft.com/office/drawing/2014/main" id="{FAB188E9-93A9-3A00-F005-0B1EA65B3105}"/>
                </a:ext>
              </a:extLst>
            </xdr:cNvPr>
            <xdr:cNvPicPr/>
          </xdr:nvPicPr>
          <xdr:blipFill>
            <a:blip xmlns:r="http://schemas.openxmlformats.org/officeDocument/2006/relationships" r:embed="rId124"/>
            <a:stretch>
              <a:fillRect/>
            </a:stretch>
          </xdr:blipFill>
          <xdr:spPr>
            <a:xfrm>
              <a:off x="2620800" y="3558300"/>
              <a:ext cx="1021320" cy="163440"/>
            </a:xfrm>
            <a:prstGeom prst="rect">
              <a:avLst/>
            </a:prstGeom>
          </xdr:spPr>
        </xdr:pic>
      </mc:Fallback>
    </mc:AlternateContent>
    <xdr:clientData/>
  </xdr:twoCellAnchor>
  <xdr:twoCellAnchor editAs="oneCell">
    <xdr:from>
      <xdr:col>5</xdr:col>
      <xdr:colOff>340320</xdr:colOff>
      <xdr:row>18</xdr:row>
      <xdr:rowOff>167460</xdr:rowOff>
    </xdr:from>
    <xdr:to>
      <xdr:col>6</xdr:col>
      <xdr:colOff>540000</xdr:colOff>
      <xdr:row>19</xdr:row>
      <xdr:rowOff>363</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64" name="Ink 63">
              <a:extLst>
                <a:ext uri="{FF2B5EF4-FFF2-40B4-BE49-F238E27FC236}">
                  <a16:creationId xmlns:a16="http://schemas.microsoft.com/office/drawing/2014/main" id="{99BA6846-35A3-4DA3-80D8-1B1766661319}"/>
                </a:ext>
              </a:extLst>
            </xdr14:cNvPr>
            <xdr14:cNvContentPartPr/>
          </xdr14:nvContentPartPr>
          <xdr14:nvPr macro=""/>
          <xdr14:xfrm>
            <a:off x="3891240" y="3505020"/>
            <a:ext cx="809280" cy="15120"/>
          </xdr14:xfrm>
        </xdr:contentPart>
      </mc:Choice>
      <mc:Fallback xmlns="">
        <xdr:pic>
          <xdr:nvPicPr>
            <xdr:cNvPr id="282" name="Ink 281">
              <a:extLst>
                <a:ext uri="{FF2B5EF4-FFF2-40B4-BE49-F238E27FC236}">
                  <a16:creationId xmlns:a16="http://schemas.microsoft.com/office/drawing/2014/main" id="{CF1AF4A6-203B-44EF-CE2F-ACE891EA86C0}"/>
                </a:ext>
              </a:extLst>
            </xdr:cNvPr>
            <xdr:cNvPicPr/>
          </xdr:nvPicPr>
          <xdr:blipFill>
            <a:blip xmlns:r="http://schemas.openxmlformats.org/officeDocument/2006/relationships" r:embed="rId126"/>
            <a:stretch>
              <a:fillRect/>
            </a:stretch>
          </xdr:blipFill>
          <xdr:spPr>
            <a:xfrm>
              <a:off x="3855240" y="3433380"/>
              <a:ext cx="880920" cy="158760"/>
            </a:xfrm>
            <a:prstGeom prst="rect">
              <a:avLst/>
            </a:prstGeom>
          </xdr:spPr>
        </xdr:pic>
      </mc:Fallback>
    </mc:AlternateContent>
    <xdr:clientData/>
  </xdr:twoCellAnchor>
  <xdr:twoCellAnchor editAs="oneCell">
    <xdr:from>
      <xdr:col>5</xdr:col>
      <xdr:colOff>55920</xdr:colOff>
      <xdr:row>17</xdr:row>
      <xdr:rowOff>25640</xdr:rowOff>
    </xdr:from>
    <xdr:to>
      <xdr:col>6</xdr:col>
      <xdr:colOff>10800</xdr:colOff>
      <xdr:row>17</xdr:row>
      <xdr:rowOff>71360</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65" name="Ink 64">
              <a:extLst>
                <a:ext uri="{FF2B5EF4-FFF2-40B4-BE49-F238E27FC236}">
                  <a16:creationId xmlns:a16="http://schemas.microsoft.com/office/drawing/2014/main" id="{295531C7-207B-400F-853A-155480BD30CE}"/>
                </a:ext>
              </a:extLst>
            </xdr14:cNvPr>
            <xdr14:cNvContentPartPr/>
          </xdr14:nvContentPartPr>
          <xdr14:nvPr macro=""/>
          <xdr14:xfrm>
            <a:off x="3606840" y="3177780"/>
            <a:ext cx="564480" cy="45720"/>
          </xdr14:xfrm>
        </xdr:contentPart>
      </mc:Choice>
      <mc:Fallback xmlns="">
        <xdr:pic>
          <xdr:nvPicPr>
            <xdr:cNvPr id="283" name="Ink 282">
              <a:extLst>
                <a:ext uri="{FF2B5EF4-FFF2-40B4-BE49-F238E27FC236}">
                  <a16:creationId xmlns:a16="http://schemas.microsoft.com/office/drawing/2014/main" id="{106E9056-E155-075C-676F-BE2E18A174F6}"/>
                </a:ext>
              </a:extLst>
            </xdr:cNvPr>
            <xdr:cNvPicPr/>
          </xdr:nvPicPr>
          <xdr:blipFill>
            <a:blip xmlns:r="http://schemas.openxmlformats.org/officeDocument/2006/relationships" r:embed="rId128"/>
            <a:stretch>
              <a:fillRect/>
            </a:stretch>
          </xdr:blipFill>
          <xdr:spPr>
            <a:xfrm>
              <a:off x="3570840" y="3105780"/>
              <a:ext cx="636120" cy="189360"/>
            </a:xfrm>
            <a:prstGeom prst="rect">
              <a:avLst/>
            </a:prstGeom>
          </xdr:spPr>
        </xdr:pic>
      </mc:Fallback>
    </mc:AlternateContent>
    <xdr:clientData/>
  </xdr:twoCellAnchor>
  <xdr:twoCellAnchor editAs="oneCell">
    <xdr:from>
      <xdr:col>3</xdr:col>
      <xdr:colOff>93960</xdr:colOff>
      <xdr:row>2</xdr:row>
      <xdr:rowOff>88880</xdr:rowOff>
    </xdr:from>
    <xdr:to>
      <xdr:col>3</xdr:col>
      <xdr:colOff>535680</xdr:colOff>
      <xdr:row>2</xdr:row>
      <xdr:rowOff>89240</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66" name="Ink 65">
              <a:extLst>
                <a:ext uri="{FF2B5EF4-FFF2-40B4-BE49-F238E27FC236}">
                  <a16:creationId xmlns:a16="http://schemas.microsoft.com/office/drawing/2014/main" id="{4C7F758E-BF0F-4B28-A4D5-9FEEDFE07030}"/>
                </a:ext>
              </a:extLst>
            </xdr14:cNvPr>
            <xdr14:cNvContentPartPr/>
          </xdr14:nvContentPartPr>
          <xdr14:nvPr macro=""/>
          <xdr14:xfrm>
            <a:off x="2425680" y="459720"/>
            <a:ext cx="441720" cy="360"/>
          </xdr14:xfrm>
        </xdr:contentPart>
      </mc:Choice>
      <mc:Fallback xmlns="">
        <xdr:pic>
          <xdr:nvPicPr>
            <xdr:cNvPr id="284" name="Ink 283">
              <a:extLst>
                <a:ext uri="{FF2B5EF4-FFF2-40B4-BE49-F238E27FC236}">
                  <a16:creationId xmlns:a16="http://schemas.microsoft.com/office/drawing/2014/main" id="{42F1595F-3420-2345-0097-E8B42988B153}"/>
                </a:ext>
              </a:extLst>
            </xdr:cNvPr>
            <xdr:cNvPicPr/>
          </xdr:nvPicPr>
          <xdr:blipFill>
            <a:blip xmlns:r="http://schemas.openxmlformats.org/officeDocument/2006/relationships" r:embed="rId130"/>
            <a:stretch>
              <a:fillRect/>
            </a:stretch>
          </xdr:blipFill>
          <xdr:spPr>
            <a:xfrm>
              <a:off x="2389680" y="387720"/>
              <a:ext cx="513360" cy="144000"/>
            </a:xfrm>
            <a:prstGeom prst="rect">
              <a:avLst/>
            </a:prstGeom>
          </xdr:spPr>
        </xdr:pic>
      </mc:Fallback>
    </mc:AlternateContent>
    <xdr:clientData/>
  </xdr:twoCellAnchor>
  <xdr:twoCellAnchor editAs="oneCell">
    <xdr:from>
      <xdr:col>4</xdr:col>
      <xdr:colOff>464640</xdr:colOff>
      <xdr:row>5</xdr:row>
      <xdr:rowOff>96740</xdr:rowOff>
    </xdr:from>
    <xdr:to>
      <xdr:col>5</xdr:col>
      <xdr:colOff>143040</xdr:colOff>
      <xdr:row>5</xdr:row>
      <xdr:rowOff>104660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67" name="Ink 66">
              <a:extLst>
                <a:ext uri="{FF2B5EF4-FFF2-40B4-BE49-F238E27FC236}">
                  <a16:creationId xmlns:a16="http://schemas.microsoft.com/office/drawing/2014/main" id="{28254F2F-9D13-477A-BD87-E6D96CC0DBF3}"/>
                </a:ext>
              </a:extLst>
            </xdr14:cNvPr>
            <xdr14:cNvContentPartPr/>
          </xdr14:nvContentPartPr>
          <xdr14:nvPr macro=""/>
          <xdr14:xfrm>
            <a:off x="3405960" y="1023840"/>
            <a:ext cx="288000" cy="7920"/>
          </xdr14:xfrm>
        </xdr:contentPart>
      </mc:Choice>
      <mc:Fallback xmlns="">
        <xdr:pic>
          <xdr:nvPicPr>
            <xdr:cNvPr id="285" name="Ink 284">
              <a:extLst>
                <a:ext uri="{FF2B5EF4-FFF2-40B4-BE49-F238E27FC236}">
                  <a16:creationId xmlns:a16="http://schemas.microsoft.com/office/drawing/2014/main" id="{35A3F73D-0199-AA95-9AAB-FF0E520FEEDC}"/>
                </a:ext>
              </a:extLst>
            </xdr:cNvPr>
            <xdr:cNvPicPr/>
          </xdr:nvPicPr>
          <xdr:blipFill>
            <a:blip xmlns:r="http://schemas.openxmlformats.org/officeDocument/2006/relationships" r:embed="rId132"/>
            <a:stretch>
              <a:fillRect/>
            </a:stretch>
          </xdr:blipFill>
          <xdr:spPr>
            <a:xfrm>
              <a:off x="3369960" y="951840"/>
              <a:ext cx="359640" cy="151560"/>
            </a:xfrm>
            <a:prstGeom prst="rect">
              <a:avLst/>
            </a:prstGeom>
          </xdr:spPr>
        </xdr:pic>
      </mc:Fallback>
    </mc:AlternateContent>
    <xdr:clientData/>
  </xdr:twoCellAnchor>
  <xdr:twoCellAnchor editAs="oneCell">
    <xdr:from>
      <xdr:col>3</xdr:col>
      <xdr:colOff>446760</xdr:colOff>
      <xdr:row>6</xdr:row>
      <xdr:rowOff>166560</xdr:rowOff>
    </xdr:from>
    <xdr:to>
      <xdr:col>4</xdr:col>
      <xdr:colOff>501360</xdr:colOff>
      <xdr:row>7</xdr:row>
      <xdr:rowOff>132340</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68" name="Ink 67">
              <a:extLst>
                <a:ext uri="{FF2B5EF4-FFF2-40B4-BE49-F238E27FC236}">
                  <a16:creationId xmlns:a16="http://schemas.microsoft.com/office/drawing/2014/main" id="{46CD6FCE-714A-4096-BBC7-8546DF75E48A}"/>
                </a:ext>
              </a:extLst>
            </xdr14:cNvPr>
            <xdr14:cNvContentPartPr/>
          </xdr14:nvContentPartPr>
          <xdr14:nvPr macro=""/>
          <xdr14:xfrm>
            <a:off x="2778480" y="1279080"/>
            <a:ext cx="664200" cy="151200"/>
          </xdr14:xfrm>
        </xdr:contentPart>
      </mc:Choice>
      <mc:Fallback xmlns="">
        <xdr:pic>
          <xdr:nvPicPr>
            <xdr:cNvPr id="286" name="Ink 285">
              <a:extLst>
                <a:ext uri="{FF2B5EF4-FFF2-40B4-BE49-F238E27FC236}">
                  <a16:creationId xmlns:a16="http://schemas.microsoft.com/office/drawing/2014/main" id="{52C0BC71-F737-A9CE-0DB6-FD10EE754484}"/>
                </a:ext>
              </a:extLst>
            </xdr:cNvPr>
            <xdr:cNvPicPr/>
          </xdr:nvPicPr>
          <xdr:blipFill>
            <a:blip xmlns:r="http://schemas.openxmlformats.org/officeDocument/2006/relationships" r:embed="rId134"/>
            <a:stretch>
              <a:fillRect/>
            </a:stretch>
          </xdr:blipFill>
          <xdr:spPr>
            <a:xfrm>
              <a:off x="2742840" y="1207440"/>
              <a:ext cx="735840" cy="294840"/>
            </a:xfrm>
            <a:prstGeom prst="rect">
              <a:avLst/>
            </a:prstGeom>
          </xdr:spPr>
        </xdr:pic>
      </mc:Fallback>
    </mc:AlternateContent>
    <xdr:clientData/>
  </xdr:twoCellAnchor>
  <xdr:twoCellAnchor editAs="oneCell">
    <xdr:from>
      <xdr:col>5</xdr:col>
      <xdr:colOff>45480</xdr:colOff>
      <xdr:row>8</xdr:row>
      <xdr:rowOff>153200</xdr:rowOff>
    </xdr:from>
    <xdr:to>
      <xdr:col>6</xdr:col>
      <xdr:colOff>10080</xdr:colOff>
      <xdr:row>9</xdr:row>
      <xdr:rowOff>15660</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69" name="Ink 68">
              <a:extLst>
                <a:ext uri="{FF2B5EF4-FFF2-40B4-BE49-F238E27FC236}">
                  <a16:creationId xmlns:a16="http://schemas.microsoft.com/office/drawing/2014/main" id="{84A17921-4E85-439E-B9B7-63D4D4445AB5}"/>
                </a:ext>
              </a:extLst>
            </xdr14:cNvPr>
            <xdr14:cNvContentPartPr/>
          </xdr14:nvContentPartPr>
          <xdr14:nvPr macro=""/>
          <xdr14:xfrm>
            <a:off x="3596400" y="1636560"/>
            <a:ext cx="574200" cy="47880"/>
          </xdr14:xfrm>
        </xdr:contentPart>
      </mc:Choice>
      <mc:Fallback xmlns="">
        <xdr:pic>
          <xdr:nvPicPr>
            <xdr:cNvPr id="287" name="Ink 286">
              <a:extLst>
                <a:ext uri="{FF2B5EF4-FFF2-40B4-BE49-F238E27FC236}">
                  <a16:creationId xmlns:a16="http://schemas.microsoft.com/office/drawing/2014/main" id="{A79E0D4E-8159-3E76-758E-AF3765285E39}"/>
                </a:ext>
              </a:extLst>
            </xdr:cNvPr>
            <xdr:cNvPicPr/>
          </xdr:nvPicPr>
          <xdr:blipFill>
            <a:blip xmlns:r="http://schemas.openxmlformats.org/officeDocument/2006/relationships" r:embed="rId136"/>
            <a:stretch>
              <a:fillRect/>
            </a:stretch>
          </xdr:blipFill>
          <xdr:spPr>
            <a:xfrm>
              <a:off x="3560760" y="1564560"/>
              <a:ext cx="645840" cy="191520"/>
            </a:xfrm>
            <a:prstGeom prst="rect">
              <a:avLst/>
            </a:prstGeom>
          </xdr:spPr>
        </xdr:pic>
      </mc:Fallback>
    </mc:AlternateContent>
    <xdr:clientData/>
  </xdr:twoCellAnchor>
  <xdr:twoCellAnchor editAs="oneCell">
    <xdr:from>
      <xdr:col>5</xdr:col>
      <xdr:colOff>332400</xdr:colOff>
      <xdr:row>10</xdr:row>
      <xdr:rowOff>116800</xdr:rowOff>
    </xdr:from>
    <xdr:to>
      <xdr:col>7</xdr:col>
      <xdr:colOff>297600</xdr:colOff>
      <xdr:row>10</xdr:row>
      <xdr:rowOff>169000</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70" name="Ink 69">
              <a:extLst>
                <a:ext uri="{FF2B5EF4-FFF2-40B4-BE49-F238E27FC236}">
                  <a16:creationId xmlns:a16="http://schemas.microsoft.com/office/drawing/2014/main" id="{B355AC0E-E40D-4F07-AD51-026BDA0DD3AF}"/>
                </a:ext>
              </a:extLst>
            </xdr14:cNvPr>
            <xdr14:cNvContentPartPr/>
          </xdr14:nvContentPartPr>
          <xdr14:nvPr macro=""/>
          <xdr14:xfrm>
            <a:off x="3883320" y="1971000"/>
            <a:ext cx="1184400" cy="52200"/>
          </xdr14:xfrm>
        </xdr:contentPart>
      </mc:Choice>
      <mc:Fallback xmlns="">
        <xdr:pic>
          <xdr:nvPicPr>
            <xdr:cNvPr id="288" name="Ink 287">
              <a:extLst>
                <a:ext uri="{FF2B5EF4-FFF2-40B4-BE49-F238E27FC236}">
                  <a16:creationId xmlns:a16="http://schemas.microsoft.com/office/drawing/2014/main" id="{664239F7-4605-B8B4-EDF0-98B9B477FF8C}"/>
                </a:ext>
              </a:extLst>
            </xdr:cNvPr>
            <xdr:cNvPicPr/>
          </xdr:nvPicPr>
          <xdr:blipFill>
            <a:blip xmlns:r="http://schemas.openxmlformats.org/officeDocument/2006/relationships" r:embed="rId138"/>
            <a:stretch>
              <a:fillRect/>
            </a:stretch>
          </xdr:blipFill>
          <xdr:spPr>
            <a:xfrm>
              <a:off x="3847680" y="1899000"/>
              <a:ext cx="1256040" cy="19584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1192188</xdr:colOff>
      <xdr:row>39</xdr:row>
      <xdr:rowOff>68064</xdr:rowOff>
    </xdr:from>
    <xdr:to>
      <xdr:col>3</xdr:col>
      <xdr:colOff>529366</xdr:colOff>
      <xdr:row>46</xdr:row>
      <xdr:rowOff>24591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2796B38-601F-1749-25DE-6053A5015E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52688" y="7497564"/>
              <a:ext cx="1813678" cy="129002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305898</xdr:colOff>
      <xdr:row>41</xdr:row>
      <xdr:rowOff>99177</xdr:rowOff>
    </xdr:from>
    <xdr:to>
      <xdr:col>9</xdr:col>
      <xdr:colOff>69695</xdr:colOff>
      <xdr:row>48</xdr:row>
      <xdr:rowOff>55705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C5831C7-9C58-131B-9800-013AAC5D19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83148" y="7909677"/>
              <a:ext cx="1827547" cy="129002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752205</xdr:colOff>
      <xdr:row>39</xdr:row>
      <xdr:rowOff>35110</xdr:rowOff>
    </xdr:from>
    <xdr:to>
      <xdr:col>5</xdr:col>
      <xdr:colOff>1111722</xdr:colOff>
      <xdr:row>45</xdr:row>
      <xdr:rowOff>174309</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83ACB9EC-DC13-DB28-DB37-243FC5E9EFA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92455" y="7464610"/>
              <a:ext cx="1820017" cy="128219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124564</xdr:colOff>
      <xdr:row>39</xdr:row>
      <xdr:rowOff>69903</xdr:rowOff>
    </xdr:from>
    <xdr:to>
      <xdr:col>1</xdr:col>
      <xdr:colOff>502449</xdr:colOff>
      <xdr:row>46</xdr:row>
      <xdr:rowOff>31860</xdr:rowOff>
    </xdr:to>
    <mc:AlternateContent xmlns:mc="http://schemas.openxmlformats.org/markup-compatibility/2006" xmlns:a14="http://schemas.microsoft.com/office/drawing/2010/main">
      <mc:Choice Requires="a14">
        <xdr:graphicFrame macro="">
          <xdr:nvGraphicFramePr>
            <xdr:cNvPr id="5" name="OrderChannel">
              <a:extLst>
                <a:ext uri="{FF2B5EF4-FFF2-40B4-BE49-F238E27FC236}">
                  <a16:creationId xmlns:a16="http://schemas.microsoft.com/office/drawing/2014/main" id="{EE8C387E-1DD2-03A3-3DBD-3598FF56E0BC}"/>
                </a:ext>
              </a:extLst>
            </xdr:cNvPr>
            <xdr:cNvGraphicFramePr/>
          </xdr:nvGraphicFramePr>
          <xdr:xfrm>
            <a:off x="0" y="0"/>
            <a:ext cx="0" cy="0"/>
          </xdr:xfrm>
          <a:graphic>
            <a:graphicData uri="http://schemas.microsoft.com/office/drawing/2010/slicer">
              <sle:slicer xmlns:sle="http://schemas.microsoft.com/office/drawing/2010/slicer" name="OrderChannel"/>
            </a:graphicData>
          </a:graphic>
        </xdr:graphicFrame>
      </mc:Choice>
      <mc:Fallback xmlns="">
        <xdr:sp macro="" textlink="">
          <xdr:nvSpPr>
            <xdr:cNvPr id="0" name=""/>
            <xdr:cNvSpPr>
              <a:spLocks noTextEdit="1"/>
            </xdr:cNvSpPr>
          </xdr:nvSpPr>
          <xdr:spPr>
            <a:xfrm>
              <a:off x="124564" y="7499403"/>
              <a:ext cx="1838385" cy="129545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1197707</xdr:colOff>
      <xdr:row>47</xdr:row>
      <xdr:rowOff>37029</xdr:rowOff>
    </xdr:from>
    <xdr:to>
      <xdr:col>4</xdr:col>
      <xdr:colOff>1442658</xdr:colOff>
      <xdr:row>54</xdr:row>
      <xdr:rowOff>126417</xdr:rowOff>
    </xdr:to>
    <mc:AlternateContent xmlns:mc="http://schemas.openxmlformats.org/markup-compatibility/2006" xmlns:tsle="http://schemas.microsoft.com/office/drawing/2012/timeslicer">
      <mc:Choice Requires="tsle">
        <xdr:graphicFrame macro="">
          <xdr:nvGraphicFramePr>
            <xdr:cNvPr id="6" name="OrderDate">
              <a:extLst>
                <a:ext uri="{FF2B5EF4-FFF2-40B4-BE49-F238E27FC236}">
                  <a16:creationId xmlns:a16="http://schemas.microsoft.com/office/drawing/2014/main" id="{C183EFAF-E54A-0C0C-CBB3-3D243FF3C534}"/>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2658207" y="8990529"/>
              <a:ext cx="3324701" cy="1422888"/>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xdr:from>
      <xdr:col>0</xdr:col>
      <xdr:colOff>0</xdr:colOff>
      <xdr:row>17</xdr:row>
      <xdr:rowOff>98468</xdr:rowOff>
    </xdr:from>
    <xdr:to>
      <xdr:col>3</xdr:col>
      <xdr:colOff>285315</xdr:colOff>
      <xdr:row>27</xdr:row>
      <xdr:rowOff>60891</xdr:rowOff>
    </xdr:to>
    <xdr:graphicFrame macro="">
      <xdr:nvGraphicFramePr>
        <xdr:cNvPr id="11" name="Chart 10">
          <a:extLst>
            <a:ext uri="{FF2B5EF4-FFF2-40B4-BE49-F238E27FC236}">
              <a16:creationId xmlns:a16="http://schemas.microsoft.com/office/drawing/2014/main" id="{7E5EDD97-99AC-3818-F3C8-1EA8D80B4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367081</xdr:colOff>
      <xdr:row>27</xdr:row>
      <xdr:rowOff>137612</xdr:rowOff>
    </xdr:from>
    <xdr:to>
      <xdr:col>7</xdr:col>
      <xdr:colOff>452328</xdr:colOff>
      <xdr:row>37</xdr:row>
      <xdr:rowOff>121780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298001D2-975D-9054-75AB-EF8883F583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97731" y="5109662"/>
              <a:ext cx="4625497" cy="1825668"/>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225294</xdr:colOff>
      <xdr:row>15</xdr:row>
      <xdr:rowOff>93538</xdr:rowOff>
    </xdr:from>
    <xdr:to>
      <xdr:col>11</xdr:col>
      <xdr:colOff>433916</xdr:colOff>
      <xdr:row>25</xdr:row>
      <xdr:rowOff>74083</xdr:rowOff>
    </xdr:to>
    <xdr:graphicFrame macro="">
      <xdr:nvGraphicFramePr>
        <xdr:cNvPr id="13" name="Chart 12">
          <a:extLst>
            <a:ext uri="{FF2B5EF4-FFF2-40B4-BE49-F238E27FC236}">
              <a16:creationId xmlns:a16="http://schemas.microsoft.com/office/drawing/2014/main" id="{C59B7AFC-2918-B0AC-E377-75F9A84E9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602730</xdr:colOff>
      <xdr:row>8</xdr:row>
      <xdr:rowOff>153441</xdr:rowOff>
    </xdr:from>
    <xdr:to>
      <xdr:col>13</xdr:col>
      <xdr:colOff>1014959</xdr:colOff>
      <xdr:row>17</xdr:row>
      <xdr:rowOff>36435</xdr:rowOff>
    </xdr:to>
    <xdr:graphicFrame macro="">
      <xdr:nvGraphicFramePr>
        <xdr:cNvPr id="14" name="Chart 13">
          <a:extLst>
            <a:ext uri="{FF2B5EF4-FFF2-40B4-BE49-F238E27FC236}">
              <a16:creationId xmlns:a16="http://schemas.microsoft.com/office/drawing/2014/main" id="{000C0279-C0C1-FD01-34BE-806066DEC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467401</xdr:colOff>
      <xdr:row>7</xdr:row>
      <xdr:rowOff>111802</xdr:rowOff>
    </xdr:from>
    <xdr:to>
      <xdr:col>17</xdr:col>
      <xdr:colOff>1082623</xdr:colOff>
      <xdr:row>16</xdr:row>
      <xdr:rowOff>114509</xdr:rowOff>
    </xdr:to>
    <xdr:graphicFrame macro="">
      <xdr:nvGraphicFramePr>
        <xdr:cNvPr id="15" name="Chart 14">
          <a:extLst>
            <a:ext uri="{FF2B5EF4-FFF2-40B4-BE49-F238E27FC236}">
              <a16:creationId xmlns:a16="http://schemas.microsoft.com/office/drawing/2014/main" id="{A33B683A-BF47-B441-95A3-B76A71AD3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21</xdr:row>
      <xdr:rowOff>0</xdr:rowOff>
    </xdr:from>
    <xdr:to>
      <xdr:col>21</xdr:col>
      <xdr:colOff>322036</xdr:colOff>
      <xdr:row>29</xdr:row>
      <xdr:rowOff>165100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181C9E08-3DBF-4934-9E2F-AD618590E3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2091650" y="3867150"/>
              <a:ext cx="3643086" cy="1638300"/>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476250</xdr:colOff>
      <xdr:row>9</xdr:row>
      <xdr:rowOff>93436</xdr:rowOff>
    </xdr:from>
    <xdr:to>
      <xdr:col>25</xdr:col>
      <xdr:colOff>301783</xdr:colOff>
      <xdr:row>20</xdr:row>
      <xdr:rowOff>81732</xdr:rowOff>
    </xdr:to>
    <xdr:graphicFrame macro="">
      <xdr:nvGraphicFramePr>
        <xdr:cNvPr id="21" name="Chart 20">
          <a:extLst>
            <a:ext uri="{FF2B5EF4-FFF2-40B4-BE49-F238E27FC236}">
              <a16:creationId xmlns:a16="http://schemas.microsoft.com/office/drawing/2014/main" id="{3DAA2E6C-2492-FAE4-9CF5-CA083F121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128352</xdr:colOff>
      <xdr:row>5</xdr:row>
      <xdr:rowOff>121596</xdr:rowOff>
    </xdr:from>
    <xdr:to>
      <xdr:col>27</xdr:col>
      <xdr:colOff>1222713</xdr:colOff>
      <xdr:row>8</xdr:row>
      <xdr:rowOff>33776</xdr:rowOff>
    </xdr:to>
    <xdr:sp macro="" textlink="$AB$2">
      <xdr:nvSpPr>
        <xdr:cNvPr id="23" name="TextBox 22">
          <a:extLst>
            <a:ext uri="{FF2B5EF4-FFF2-40B4-BE49-F238E27FC236}">
              <a16:creationId xmlns:a16="http://schemas.microsoft.com/office/drawing/2014/main" id="{37FEB13C-16C4-4EB8-6BB1-1280DBFAF055}"/>
            </a:ext>
          </a:extLst>
        </xdr:cNvPr>
        <xdr:cNvSpPr txBox="1"/>
      </xdr:nvSpPr>
      <xdr:spPr>
        <a:xfrm>
          <a:off x="23886809" y="1033564"/>
          <a:ext cx="1094361" cy="459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44F8B9-5630-48C7-BB4A-6216130B4BFB}" type="TxLink">
            <a:rPr lang="en-US" sz="1100" b="0" i="0" u="none" strike="noStrike">
              <a:solidFill>
                <a:srgbClr val="000000"/>
              </a:solidFill>
              <a:latin typeface="Aptos Narrow"/>
            </a:rPr>
            <a:pPr/>
            <a:t> 57,012,219 </a:t>
          </a:fld>
          <a:endParaRPr lang="en-PK" sz="1100"/>
        </a:p>
      </xdr:txBody>
    </xdr:sp>
    <xdr:clientData/>
  </xdr:twoCellAnchor>
  <xdr:twoCellAnchor>
    <xdr:from>
      <xdr:col>29</xdr:col>
      <xdr:colOff>101330</xdr:colOff>
      <xdr:row>5</xdr:row>
      <xdr:rowOff>121596</xdr:rowOff>
    </xdr:from>
    <xdr:to>
      <xdr:col>29</xdr:col>
      <xdr:colOff>1195691</xdr:colOff>
      <xdr:row>8</xdr:row>
      <xdr:rowOff>33776</xdr:rowOff>
    </xdr:to>
    <xdr:sp macro="" textlink="$AD$2">
      <xdr:nvSpPr>
        <xdr:cNvPr id="24" name="TextBox 23">
          <a:extLst>
            <a:ext uri="{FF2B5EF4-FFF2-40B4-BE49-F238E27FC236}">
              <a16:creationId xmlns:a16="http://schemas.microsoft.com/office/drawing/2014/main" id="{677A4CD1-F994-FB22-AFD8-9A3EEA135FA1}"/>
            </a:ext>
          </a:extLst>
        </xdr:cNvPr>
        <xdr:cNvSpPr txBox="1"/>
      </xdr:nvSpPr>
      <xdr:spPr>
        <a:xfrm>
          <a:off x="26345745" y="1033564"/>
          <a:ext cx="1094361" cy="459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AA36F4-B2AE-4E96-A397-21D0E21A6198}" type="TxLink">
            <a:rPr lang="en-US" sz="1100" b="0" i="0" u="none" strike="noStrike">
              <a:solidFill>
                <a:srgbClr val="000000"/>
              </a:solidFill>
              <a:latin typeface="Aptos Narrow"/>
            </a:rPr>
            <a:pPr/>
            <a:t> 5 </a:t>
          </a:fld>
          <a:endParaRPr lang="en-PK" sz="1100"/>
        </a:p>
      </xdr:txBody>
    </xdr:sp>
    <xdr:clientData/>
  </xdr:twoCellAnchor>
  <xdr:twoCellAnchor>
    <xdr:from>
      <xdr:col>31</xdr:col>
      <xdr:colOff>128352</xdr:colOff>
      <xdr:row>5</xdr:row>
      <xdr:rowOff>121596</xdr:rowOff>
    </xdr:from>
    <xdr:to>
      <xdr:col>32</xdr:col>
      <xdr:colOff>162128</xdr:colOff>
      <xdr:row>8</xdr:row>
      <xdr:rowOff>33776</xdr:rowOff>
    </xdr:to>
    <xdr:sp macro="" textlink="$AF$2">
      <xdr:nvSpPr>
        <xdr:cNvPr id="25" name="TextBox 24">
          <a:extLst>
            <a:ext uri="{FF2B5EF4-FFF2-40B4-BE49-F238E27FC236}">
              <a16:creationId xmlns:a16="http://schemas.microsoft.com/office/drawing/2014/main" id="{3BEA5A47-EEC7-3808-8475-B359FEA8017F}"/>
            </a:ext>
          </a:extLst>
        </xdr:cNvPr>
        <xdr:cNvSpPr txBox="1"/>
      </xdr:nvSpPr>
      <xdr:spPr>
        <a:xfrm>
          <a:off x="28433139" y="1033564"/>
          <a:ext cx="1094361" cy="459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BA2EB5-3ED6-48CD-B145-85F6E9424EA9}" type="TxLink">
            <a:rPr lang="en-US" sz="1100" b="0" i="0" u="none" strike="noStrike">
              <a:solidFill>
                <a:srgbClr val="000000"/>
              </a:solidFill>
              <a:latin typeface="Aptos Narrow"/>
            </a:rPr>
            <a:pPr/>
            <a:t> 3 </a:t>
          </a:fld>
          <a:endParaRPr lang="en-PK"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35943</xdr:colOff>
      <xdr:row>0</xdr:row>
      <xdr:rowOff>23962</xdr:rowOff>
    </xdr:from>
    <xdr:to>
      <xdr:col>24</xdr:col>
      <xdr:colOff>239622</xdr:colOff>
      <xdr:row>34</xdr:row>
      <xdr:rowOff>95849</xdr:rowOff>
    </xdr:to>
    <xdr:sp macro="" textlink="">
      <xdr:nvSpPr>
        <xdr:cNvPr id="8" name="Rectangle 7">
          <a:extLst>
            <a:ext uri="{FF2B5EF4-FFF2-40B4-BE49-F238E27FC236}">
              <a16:creationId xmlns:a16="http://schemas.microsoft.com/office/drawing/2014/main" id="{6D25CA0F-77DB-F473-0660-20A1600E18E6}"/>
            </a:ext>
          </a:extLst>
        </xdr:cNvPr>
        <xdr:cNvSpPr/>
      </xdr:nvSpPr>
      <xdr:spPr>
        <a:xfrm>
          <a:off x="35943" y="23962"/>
          <a:ext cx="14868585" cy="6182264"/>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0</xdr:colOff>
      <xdr:row>5</xdr:row>
      <xdr:rowOff>1134</xdr:rowOff>
    </xdr:from>
    <xdr:to>
      <xdr:col>6</xdr:col>
      <xdr:colOff>3650</xdr:colOff>
      <xdr:row>20</xdr:row>
      <xdr:rowOff>36495</xdr:rowOff>
    </xdr:to>
    <xdr:graphicFrame macro="">
      <xdr:nvGraphicFramePr>
        <xdr:cNvPr id="11" name="Chart 10">
          <a:extLst>
            <a:ext uri="{FF2B5EF4-FFF2-40B4-BE49-F238E27FC236}">
              <a16:creationId xmlns:a16="http://schemas.microsoft.com/office/drawing/2014/main" id="{A2EE05B0-EC41-4248-A483-D192DA26A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447231</xdr:colOff>
      <xdr:row>26</xdr:row>
      <xdr:rowOff>9770</xdr:rowOff>
    </xdr:from>
    <xdr:to>
      <xdr:col>24</xdr:col>
      <xdr:colOff>263896</xdr:colOff>
      <xdr:row>34</xdr:row>
      <xdr:rowOff>107208</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D4915F0D-C84E-4459-AA1C-C36639D9E5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990867" y="4726913"/>
              <a:ext cx="5919263" cy="1548866"/>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320735</xdr:colOff>
      <xdr:row>11</xdr:row>
      <xdr:rowOff>105882</xdr:rowOff>
    </xdr:from>
    <xdr:to>
      <xdr:col>24</xdr:col>
      <xdr:colOff>257215</xdr:colOff>
      <xdr:row>26</xdr:row>
      <xdr:rowOff>0</xdr:rowOff>
    </xdr:to>
    <xdr:graphicFrame macro="">
      <xdr:nvGraphicFramePr>
        <xdr:cNvPr id="13" name="Chart 12">
          <a:extLst>
            <a:ext uri="{FF2B5EF4-FFF2-40B4-BE49-F238E27FC236}">
              <a16:creationId xmlns:a16="http://schemas.microsoft.com/office/drawing/2014/main" id="{EBF758EA-C0E2-4246-84E5-252DB49FA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540887</xdr:colOff>
      <xdr:row>11</xdr:row>
      <xdr:rowOff>102973</xdr:rowOff>
    </xdr:from>
    <xdr:to>
      <xdr:col>14</xdr:col>
      <xdr:colOff>482279</xdr:colOff>
      <xdr:row>34</xdr:row>
      <xdr:rowOff>102184</xdr:rowOff>
    </xdr:to>
    <xdr:graphicFrame macro="">
      <xdr:nvGraphicFramePr>
        <xdr:cNvPr id="14" name="Chart 13">
          <a:extLst>
            <a:ext uri="{FF2B5EF4-FFF2-40B4-BE49-F238E27FC236}">
              <a16:creationId xmlns:a16="http://schemas.microsoft.com/office/drawing/2014/main" id="{F7F15F5C-7AFC-40FE-B566-6959E5F11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10</xdr:col>
      <xdr:colOff>495300</xdr:colOff>
      <xdr:row>4</xdr:row>
      <xdr:rowOff>165100</xdr:rowOff>
    </xdr:to>
    <xdr:sp macro="" textlink="">
      <xdr:nvSpPr>
        <xdr:cNvPr id="18" name="Rectangle 17">
          <a:extLst>
            <a:ext uri="{FF2B5EF4-FFF2-40B4-BE49-F238E27FC236}">
              <a16:creationId xmlns:a16="http://schemas.microsoft.com/office/drawing/2014/main" id="{C9549F55-5E3A-39BE-65B3-4EC5107C4EDF}"/>
            </a:ext>
          </a:extLst>
        </xdr:cNvPr>
        <xdr:cNvSpPr/>
      </xdr:nvSpPr>
      <xdr:spPr>
        <a:xfrm>
          <a:off x="0" y="0"/>
          <a:ext cx="6591300" cy="901700"/>
        </a:xfrm>
        <a:prstGeom prst="rect">
          <a:avLst/>
        </a:prstGeom>
        <a:gradFill flip="none" rotWithShape="1">
          <a:gsLst>
            <a:gs pos="0">
              <a:schemeClr val="accent5">
                <a:lumMod val="60000"/>
                <a:lumOff val="40000"/>
                <a:tint val="66000"/>
                <a:satMod val="160000"/>
              </a:schemeClr>
            </a:gs>
            <a:gs pos="50000">
              <a:schemeClr val="accent5">
                <a:lumMod val="60000"/>
                <a:lumOff val="40000"/>
                <a:tint val="44500"/>
                <a:satMod val="160000"/>
              </a:schemeClr>
            </a:gs>
            <a:gs pos="100000">
              <a:schemeClr val="accent5">
                <a:lumMod val="60000"/>
                <a:lumOff val="40000"/>
                <a:tint val="23500"/>
                <a:satMod val="16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10</xdr:col>
      <xdr:colOff>518970</xdr:colOff>
      <xdr:row>0</xdr:row>
      <xdr:rowOff>0</xdr:rowOff>
    </xdr:from>
    <xdr:to>
      <xdr:col>24</xdr:col>
      <xdr:colOff>243162</xdr:colOff>
      <xdr:row>4</xdr:row>
      <xdr:rowOff>165100</xdr:rowOff>
    </xdr:to>
    <xdr:sp macro="" textlink="">
      <xdr:nvSpPr>
        <xdr:cNvPr id="19" name="Rectangle 18">
          <a:extLst>
            <a:ext uri="{FF2B5EF4-FFF2-40B4-BE49-F238E27FC236}">
              <a16:creationId xmlns:a16="http://schemas.microsoft.com/office/drawing/2014/main" id="{0392B070-8806-90F7-2513-408A80789935}"/>
            </a:ext>
          </a:extLst>
        </xdr:cNvPr>
        <xdr:cNvSpPr/>
      </xdr:nvSpPr>
      <xdr:spPr>
        <a:xfrm>
          <a:off x="6633785" y="0"/>
          <a:ext cx="8284933" cy="894174"/>
        </a:xfrm>
        <a:prstGeom prst="rect">
          <a:avLst/>
        </a:prstGeom>
        <a:gradFill flip="none" rotWithShape="1">
          <a:gsLst>
            <a:gs pos="0">
              <a:schemeClr val="accent5">
                <a:lumMod val="60000"/>
                <a:lumOff val="40000"/>
                <a:tint val="66000"/>
                <a:satMod val="160000"/>
              </a:schemeClr>
            </a:gs>
            <a:gs pos="50000">
              <a:schemeClr val="accent5">
                <a:lumMod val="60000"/>
                <a:lumOff val="40000"/>
                <a:tint val="44500"/>
                <a:satMod val="160000"/>
              </a:schemeClr>
            </a:gs>
            <a:gs pos="100000">
              <a:schemeClr val="accent5">
                <a:lumMod val="60000"/>
                <a:lumOff val="40000"/>
                <a:tint val="23500"/>
                <a:satMod val="16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12</xdr:col>
      <xdr:colOff>204115</xdr:colOff>
      <xdr:row>1</xdr:row>
      <xdr:rowOff>112928</xdr:rowOff>
    </xdr:from>
    <xdr:to>
      <xdr:col>15</xdr:col>
      <xdr:colOff>43025</xdr:colOff>
      <xdr:row>3</xdr:row>
      <xdr:rowOff>173771</xdr:rowOff>
    </xdr:to>
    <xdr:sp macro="" textlink="KPIs!$AB$2">
      <xdr:nvSpPr>
        <xdr:cNvPr id="20" name="TextBox 19">
          <a:extLst>
            <a:ext uri="{FF2B5EF4-FFF2-40B4-BE49-F238E27FC236}">
              <a16:creationId xmlns:a16="http://schemas.microsoft.com/office/drawing/2014/main" id="{6BCB4567-477C-4500-BD73-772F0D2F612F}"/>
            </a:ext>
          </a:extLst>
        </xdr:cNvPr>
        <xdr:cNvSpPr txBox="1"/>
      </xdr:nvSpPr>
      <xdr:spPr>
        <a:xfrm>
          <a:off x="7534748" y="297801"/>
          <a:ext cx="1671568" cy="4305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EC2DD8-0B64-487B-B2F9-559FE1C697BE}" type="TxLink">
            <a:rPr lang="en-US" sz="1400" b="1" i="0" u="none" strike="noStrike">
              <a:solidFill>
                <a:schemeClr val="accent5">
                  <a:lumMod val="75000"/>
                </a:schemeClr>
              </a:solidFill>
              <a:latin typeface="Aptos Narrow"/>
            </a:rPr>
            <a:pPr algn="ctr"/>
            <a:t> 57,012,219 </a:t>
          </a:fld>
          <a:endParaRPr lang="en-PK" sz="1400" b="1">
            <a:solidFill>
              <a:schemeClr val="accent5">
                <a:lumMod val="75000"/>
              </a:schemeClr>
            </a:solidFill>
          </a:endParaRPr>
        </a:p>
      </xdr:txBody>
    </xdr:sp>
    <xdr:clientData/>
  </xdr:twoCellAnchor>
  <xdr:twoCellAnchor>
    <xdr:from>
      <xdr:col>16</xdr:col>
      <xdr:colOff>607021</xdr:colOff>
      <xdr:row>1</xdr:row>
      <xdr:rowOff>116111</xdr:rowOff>
    </xdr:from>
    <xdr:to>
      <xdr:col>19</xdr:col>
      <xdr:colOff>440668</xdr:colOff>
      <xdr:row>3</xdr:row>
      <xdr:rowOff>176835</xdr:rowOff>
    </xdr:to>
    <xdr:sp macro="" textlink="KPIs!$AD$2">
      <xdr:nvSpPr>
        <xdr:cNvPr id="21" name="TextBox 20">
          <a:extLst>
            <a:ext uri="{FF2B5EF4-FFF2-40B4-BE49-F238E27FC236}">
              <a16:creationId xmlns:a16="http://schemas.microsoft.com/office/drawing/2014/main" id="{63ADD4D3-0EED-4721-B61F-9FED53E73B82}"/>
            </a:ext>
          </a:extLst>
        </xdr:cNvPr>
        <xdr:cNvSpPr txBox="1"/>
      </xdr:nvSpPr>
      <xdr:spPr>
        <a:xfrm>
          <a:off x="10381198" y="300984"/>
          <a:ext cx="1666305" cy="4304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84943-4AE8-4CFE-9415-3232DC6187A3}" type="TxLink">
            <a:rPr lang="en-US" sz="1400" b="1" i="0" u="none" strike="noStrike">
              <a:solidFill>
                <a:srgbClr val="000000"/>
              </a:solidFill>
              <a:latin typeface="Aptos Narrow"/>
            </a:rPr>
            <a:pPr algn="ctr"/>
            <a:t> 5 </a:t>
          </a:fld>
          <a:endParaRPr lang="en-PK" sz="1400" b="1"/>
        </a:p>
      </xdr:txBody>
    </xdr:sp>
    <xdr:clientData/>
  </xdr:twoCellAnchor>
  <xdr:twoCellAnchor>
    <xdr:from>
      <xdr:col>21</xdr:col>
      <xdr:colOff>139656</xdr:colOff>
      <xdr:row>1</xdr:row>
      <xdr:rowOff>111696</xdr:rowOff>
    </xdr:from>
    <xdr:to>
      <xdr:col>23</xdr:col>
      <xdr:colOff>587374</xdr:colOff>
      <xdr:row>3</xdr:row>
      <xdr:rowOff>182613</xdr:rowOff>
    </xdr:to>
    <xdr:sp macro="" textlink="KPIs!$AF$2">
      <xdr:nvSpPr>
        <xdr:cNvPr id="22" name="TextBox 21">
          <a:extLst>
            <a:ext uri="{FF2B5EF4-FFF2-40B4-BE49-F238E27FC236}">
              <a16:creationId xmlns:a16="http://schemas.microsoft.com/office/drawing/2014/main" id="{ED7BCB14-A1CA-4932-954A-00877A3C855B}"/>
            </a:ext>
          </a:extLst>
        </xdr:cNvPr>
        <xdr:cNvSpPr txBox="1"/>
      </xdr:nvSpPr>
      <xdr:spPr>
        <a:xfrm>
          <a:off x="12968264" y="296569"/>
          <a:ext cx="1669490" cy="4406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814D96-6DBC-4A41-906F-FA0767F312C2}" type="TxLink">
            <a:rPr lang="en-US" sz="1400" b="1" i="0" u="none" strike="noStrike">
              <a:solidFill>
                <a:srgbClr val="000000"/>
              </a:solidFill>
              <a:latin typeface="Aptos Narrow"/>
            </a:rPr>
            <a:pPr algn="ctr"/>
            <a:t> 3 </a:t>
          </a:fld>
          <a:endParaRPr lang="en-PK" sz="1400" b="1"/>
        </a:p>
      </xdr:txBody>
    </xdr:sp>
    <xdr:clientData/>
  </xdr:twoCellAnchor>
  <xdr:twoCellAnchor>
    <xdr:from>
      <xdr:col>12</xdr:col>
      <xdr:colOff>236596</xdr:colOff>
      <xdr:row>0</xdr:row>
      <xdr:rowOff>170248</xdr:rowOff>
    </xdr:from>
    <xdr:to>
      <xdr:col>14</xdr:col>
      <xdr:colOff>581975</xdr:colOff>
      <xdr:row>1</xdr:row>
      <xdr:rowOff>156654</xdr:rowOff>
    </xdr:to>
    <xdr:sp macro="" textlink="">
      <xdr:nvSpPr>
        <xdr:cNvPr id="26" name="TextBox 25">
          <a:extLst>
            <a:ext uri="{FF2B5EF4-FFF2-40B4-BE49-F238E27FC236}">
              <a16:creationId xmlns:a16="http://schemas.microsoft.com/office/drawing/2014/main" id="{A0BD005F-2FAC-642D-3E5A-C72FDE2659E2}"/>
            </a:ext>
          </a:extLst>
        </xdr:cNvPr>
        <xdr:cNvSpPr txBox="1"/>
      </xdr:nvSpPr>
      <xdr:spPr>
        <a:xfrm>
          <a:off x="7574374" y="170248"/>
          <a:ext cx="1568342" cy="168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accent5">
                  <a:lumMod val="75000"/>
                </a:schemeClr>
              </a:solidFill>
            </a:rPr>
            <a:t>Total</a:t>
          </a:r>
          <a:r>
            <a:rPr lang="en-US" sz="1000" b="1" baseline="0">
              <a:solidFill>
                <a:schemeClr val="accent5">
                  <a:lumMod val="75000"/>
                </a:schemeClr>
              </a:solidFill>
            </a:rPr>
            <a:t> Sales</a:t>
          </a:r>
        </a:p>
        <a:p>
          <a:endParaRPr lang="en-PK" sz="1000" b="1"/>
        </a:p>
      </xdr:txBody>
    </xdr:sp>
    <xdr:clientData/>
  </xdr:twoCellAnchor>
  <xdr:twoCellAnchor>
    <xdr:from>
      <xdr:col>17</xdr:col>
      <xdr:colOff>37328</xdr:colOff>
      <xdr:row>1</xdr:row>
      <xdr:rowOff>2637</xdr:rowOff>
    </xdr:from>
    <xdr:to>
      <xdr:col>19</xdr:col>
      <xdr:colOff>379121</xdr:colOff>
      <xdr:row>1</xdr:row>
      <xdr:rowOff>184488</xdr:rowOff>
    </xdr:to>
    <xdr:sp macro="" textlink="">
      <xdr:nvSpPr>
        <xdr:cNvPr id="38" name="TextBox 37">
          <a:extLst>
            <a:ext uri="{FF2B5EF4-FFF2-40B4-BE49-F238E27FC236}">
              <a16:creationId xmlns:a16="http://schemas.microsoft.com/office/drawing/2014/main" id="{3B6FF413-7319-2D76-8AF5-2BD70123AE62}"/>
            </a:ext>
          </a:extLst>
        </xdr:cNvPr>
        <xdr:cNvSpPr txBox="1"/>
      </xdr:nvSpPr>
      <xdr:spPr>
        <a:xfrm>
          <a:off x="10371566" y="188491"/>
          <a:ext cx="1557585" cy="1818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accent5">
                  <a:lumMod val="75000"/>
                </a:schemeClr>
              </a:solidFill>
              <a:latin typeface="+mn-lt"/>
              <a:ea typeface="+mn-ea"/>
              <a:cs typeface="+mn-cs"/>
            </a:rPr>
            <a:t>Avg</a:t>
          </a:r>
          <a:r>
            <a:rPr lang="en-US" sz="1000" b="1" baseline="0"/>
            <a:t> </a:t>
          </a:r>
          <a:r>
            <a:rPr lang="en-US" sz="1000" b="1" baseline="0">
              <a:solidFill>
                <a:schemeClr val="accent5">
                  <a:lumMod val="75000"/>
                </a:schemeClr>
              </a:solidFill>
            </a:rPr>
            <a:t>Days</a:t>
          </a:r>
        </a:p>
        <a:p>
          <a:pPr algn="ctr"/>
          <a:endParaRPr lang="en-US" sz="1000" b="1" baseline="0"/>
        </a:p>
        <a:p>
          <a:endParaRPr lang="en-PK" sz="1000" b="1"/>
        </a:p>
      </xdr:txBody>
    </xdr:sp>
    <xdr:clientData/>
  </xdr:twoCellAnchor>
  <xdr:twoCellAnchor>
    <xdr:from>
      <xdr:col>21</xdr:col>
      <xdr:colOff>184014</xdr:colOff>
      <xdr:row>0</xdr:row>
      <xdr:rowOff>168098</xdr:rowOff>
    </xdr:from>
    <xdr:to>
      <xdr:col>23</xdr:col>
      <xdr:colOff>528941</xdr:colOff>
      <xdr:row>1</xdr:row>
      <xdr:rowOff>157795</xdr:rowOff>
    </xdr:to>
    <xdr:sp macro="" textlink="">
      <xdr:nvSpPr>
        <xdr:cNvPr id="39" name="TextBox 38">
          <a:extLst>
            <a:ext uri="{FF2B5EF4-FFF2-40B4-BE49-F238E27FC236}">
              <a16:creationId xmlns:a16="http://schemas.microsoft.com/office/drawing/2014/main" id="{ACA244C4-2DBC-7594-FAFF-BC3314A280C7}"/>
            </a:ext>
          </a:extLst>
        </xdr:cNvPr>
        <xdr:cNvSpPr txBox="1"/>
      </xdr:nvSpPr>
      <xdr:spPr>
        <a:xfrm>
          <a:off x="12919688" y="168098"/>
          <a:ext cx="1557849" cy="1752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accent5">
                  <a:lumMod val="75000"/>
                </a:schemeClr>
              </a:solidFill>
            </a:rPr>
            <a:t>Avg Rating</a:t>
          </a:r>
        </a:p>
        <a:p>
          <a:pPr algn="ctr"/>
          <a:endParaRPr lang="en-US" sz="1000" b="1" baseline="0"/>
        </a:p>
        <a:p>
          <a:endParaRPr lang="en-PK" sz="1000" b="1"/>
        </a:p>
      </xdr:txBody>
    </xdr:sp>
    <xdr:clientData/>
  </xdr:twoCellAnchor>
  <xdr:twoCellAnchor editAs="oneCell">
    <xdr:from>
      <xdr:col>11</xdr:col>
      <xdr:colOff>271212</xdr:colOff>
      <xdr:row>0</xdr:row>
      <xdr:rowOff>145172</xdr:rowOff>
    </xdr:from>
    <xdr:to>
      <xdr:col>12</xdr:col>
      <xdr:colOff>190576</xdr:colOff>
      <xdr:row>3</xdr:row>
      <xdr:rowOff>122264</xdr:rowOff>
    </xdr:to>
    <xdr:pic>
      <xdr:nvPicPr>
        <xdr:cNvPr id="41" name="Graphic 40" descr="Bar graph with upward trend with solid fill">
          <a:extLst>
            <a:ext uri="{FF2B5EF4-FFF2-40B4-BE49-F238E27FC236}">
              <a16:creationId xmlns:a16="http://schemas.microsoft.com/office/drawing/2014/main" id="{76698670-E3C8-73F7-EC9F-A81447B8CB8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997508" y="145172"/>
          <a:ext cx="530846" cy="523898"/>
        </a:xfrm>
        <a:prstGeom prst="rect">
          <a:avLst/>
        </a:prstGeom>
      </xdr:spPr>
    </xdr:pic>
    <xdr:clientData/>
  </xdr:twoCellAnchor>
  <xdr:twoCellAnchor editAs="oneCell">
    <xdr:from>
      <xdr:col>16</xdr:col>
      <xdr:colOff>8355</xdr:colOff>
      <xdr:row>0</xdr:row>
      <xdr:rowOff>161439</xdr:rowOff>
    </xdr:from>
    <xdr:to>
      <xdr:col>16</xdr:col>
      <xdr:colOff>539202</xdr:colOff>
      <xdr:row>3</xdr:row>
      <xdr:rowOff>138531</xdr:rowOff>
    </xdr:to>
    <xdr:pic>
      <xdr:nvPicPr>
        <xdr:cNvPr id="43" name="Graphic 42" descr="Bus with solid fill">
          <a:extLst>
            <a:ext uri="{FF2B5EF4-FFF2-40B4-BE49-F238E27FC236}">
              <a16:creationId xmlns:a16="http://schemas.microsoft.com/office/drawing/2014/main" id="{54E0BE07-9E3E-8003-AF13-3F9EBA72B27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792059" y="161439"/>
          <a:ext cx="530847" cy="523898"/>
        </a:xfrm>
        <a:prstGeom prst="rect">
          <a:avLst/>
        </a:prstGeom>
      </xdr:spPr>
    </xdr:pic>
    <xdr:clientData/>
  </xdr:twoCellAnchor>
  <xdr:twoCellAnchor editAs="oneCell">
    <xdr:from>
      <xdr:col>20</xdr:col>
      <xdr:colOff>149909</xdr:colOff>
      <xdr:row>0</xdr:row>
      <xdr:rowOff>138363</xdr:rowOff>
    </xdr:from>
    <xdr:to>
      <xdr:col>21</xdr:col>
      <xdr:colOff>69273</xdr:colOff>
      <xdr:row>3</xdr:row>
      <xdr:rowOff>115455</xdr:rowOff>
    </xdr:to>
    <xdr:pic>
      <xdr:nvPicPr>
        <xdr:cNvPr id="45" name="Graphic 44" descr="Users with solid fill">
          <a:extLst>
            <a:ext uri="{FF2B5EF4-FFF2-40B4-BE49-F238E27FC236}">
              <a16:creationId xmlns:a16="http://schemas.microsoft.com/office/drawing/2014/main" id="{D8CCFABE-2246-67FB-7FB3-0B97FA1D0FC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373659" y="138363"/>
          <a:ext cx="530552" cy="524780"/>
        </a:xfrm>
        <a:prstGeom prst="rect">
          <a:avLst/>
        </a:prstGeom>
      </xdr:spPr>
    </xdr:pic>
    <xdr:clientData/>
  </xdr:twoCellAnchor>
  <xdr:twoCellAnchor editAs="oneCell">
    <xdr:from>
      <xdr:col>15</xdr:col>
      <xdr:colOff>10949</xdr:colOff>
      <xdr:row>4</xdr:row>
      <xdr:rowOff>178823</xdr:rowOff>
    </xdr:from>
    <xdr:to>
      <xdr:col>17</xdr:col>
      <xdr:colOff>99365</xdr:colOff>
      <xdr:row>11</xdr:row>
      <xdr:rowOff>92753</xdr:rowOff>
    </xdr:to>
    <mc:AlternateContent xmlns:mc="http://schemas.openxmlformats.org/markup-compatibility/2006">
      <mc:Choice xmlns:a14="http://schemas.microsoft.com/office/drawing/2010/main" Requires="a14">
        <xdr:graphicFrame macro="">
          <xdr:nvGraphicFramePr>
            <xdr:cNvPr id="46" name="Category 1">
              <a:extLst>
                <a:ext uri="{FF2B5EF4-FFF2-40B4-BE49-F238E27FC236}">
                  <a16:creationId xmlns:a16="http://schemas.microsoft.com/office/drawing/2014/main" id="{A2734BFA-AC1C-422B-9C4B-4B14F3C9439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174240" y="918317"/>
              <a:ext cx="1310188" cy="120804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570788</xdr:colOff>
      <xdr:row>4</xdr:row>
      <xdr:rowOff>181726</xdr:rowOff>
    </xdr:from>
    <xdr:to>
      <xdr:col>15</xdr:col>
      <xdr:colOff>2</xdr:colOff>
      <xdr:row>11</xdr:row>
      <xdr:rowOff>100697</xdr:rowOff>
    </xdr:to>
    <mc:AlternateContent xmlns:mc="http://schemas.openxmlformats.org/markup-compatibility/2006">
      <mc:Choice xmlns:a14="http://schemas.microsoft.com/office/drawing/2010/main" Requires="a14">
        <xdr:graphicFrame macro="">
          <xdr:nvGraphicFramePr>
            <xdr:cNvPr id="47" name="Gender 1">
              <a:extLst>
                <a:ext uri="{FF2B5EF4-FFF2-40B4-BE49-F238E27FC236}">
                  <a16:creationId xmlns:a16="http://schemas.microsoft.com/office/drawing/2014/main" id="{B5BE3D4B-FD1D-46FC-B990-12E33E2D1FC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901421" y="921220"/>
              <a:ext cx="1261872" cy="121308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533736</xdr:colOff>
      <xdr:row>4</xdr:row>
      <xdr:rowOff>182185</xdr:rowOff>
    </xdr:from>
    <xdr:to>
      <xdr:col>12</xdr:col>
      <xdr:colOff>570696</xdr:colOff>
      <xdr:row>11</xdr:row>
      <xdr:rowOff>98079</xdr:rowOff>
    </xdr:to>
    <mc:AlternateContent xmlns:mc="http://schemas.openxmlformats.org/markup-compatibility/2006">
      <mc:Choice xmlns:a14="http://schemas.microsoft.com/office/drawing/2010/main" Requires="a14">
        <xdr:graphicFrame macro="">
          <xdr:nvGraphicFramePr>
            <xdr:cNvPr id="48" name="OrderChannel 1">
              <a:extLst>
                <a:ext uri="{FF2B5EF4-FFF2-40B4-BE49-F238E27FC236}">
                  <a16:creationId xmlns:a16="http://schemas.microsoft.com/office/drawing/2014/main" id="{71865843-205E-4254-B461-7B2F0BF6D7E7}"/>
                </a:ext>
              </a:extLst>
            </xdr:cNvPr>
            <xdr:cNvGraphicFramePr/>
          </xdr:nvGraphicFramePr>
          <xdr:xfrm>
            <a:off x="0" y="0"/>
            <a:ext cx="0" cy="0"/>
          </xdr:xfrm>
          <a:graphic>
            <a:graphicData uri="http://schemas.microsoft.com/office/drawing/2010/slicer">
              <sle:slicer xmlns:sle="http://schemas.microsoft.com/office/drawing/2010/slicer" name="OrderChannel 1"/>
            </a:graphicData>
          </a:graphic>
        </xdr:graphicFrame>
      </mc:Choice>
      <mc:Fallback>
        <xdr:sp macro="" textlink="">
          <xdr:nvSpPr>
            <xdr:cNvPr id="0" name=""/>
            <xdr:cNvSpPr>
              <a:spLocks noTextEdit="1"/>
            </xdr:cNvSpPr>
          </xdr:nvSpPr>
          <xdr:spPr>
            <a:xfrm>
              <a:off x="6642597" y="921679"/>
              <a:ext cx="1258732" cy="121000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197922</xdr:colOff>
      <xdr:row>4</xdr:row>
      <xdr:rowOff>160812</xdr:rowOff>
    </xdr:from>
    <xdr:to>
      <xdr:col>24</xdr:col>
      <xdr:colOff>238199</xdr:colOff>
      <xdr:row>11</xdr:row>
      <xdr:rowOff>87847</xdr:rowOff>
    </xdr:to>
    <mc:AlternateContent xmlns:mc="http://schemas.openxmlformats.org/markup-compatibility/2006">
      <mc:Choice xmlns:tsle="http://schemas.microsoft.com/office/drawing/2012/timeslicer" Requires="tsle">
        <xdr:graphicFrame macro="">
          <xdr:nvGraphicFramePr>
            <xdr:cNvPr id="49" name="OrderDate 1">
              <a:extLst>
                <a:ext uri="{FF2B5EF4-FFF2-40B4-BE49-F238E27FC236}">
                  <a16:creationId xmlns:a16="http://schemas.microsoft.com/office/drawing/2014/main" id="{D1CBD258-FDEA-4246-87E6-2EAB4DA6C33E}"/>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11804757" y="900306"/>
              <a:ext cx="3094708" cy="1221149"/>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editAs="oneCell">
    <xdr:from>
      <xdr:col>17</xdr:col>
      <xdr:colOff>106421</xdr:colOff>
      <xdr:row>4</xdr:row>
      <xdr:rowOff>175559</xdr:rowOff>
    </xdr:from>
    <xdr:to>
      <xdr:col>19</xdr:col>
      <xdr:colOff>200950</xdr:colOff>
      <xdr:row>11</xdr:row>
      <xdr:rowOff>98256</xdr:rowOff>
    </xdr:to>
    <mc:AlternateContent xmlns:mc="http://schemas.openxmlformats.org/markup-compatibility/2006">
      <mc:Choice xmlns:a14="http://schemas.microsoft.com/office/drawing/2010/main" Requires="a14">
        <xdr:graphicFrame macro="">
          <xdr:nvGraphicFramePr>
            <xdr:cNvPr id="50" name="Region 1">
              <a:extLst>
                <a:ext uri="{FF2B5EF4-FFF2-40B4-BE49-F238E27FC236}">
                  <a16:creationId xmlns:a16="http://schemas.microsoft.com/office/drawing/2014/main" id="{9591773F-7CCD-40C9-9029-A5AADDF234C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491484" y="915053"/>
              <a:ext cx="1316301" cy="121681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4</xdr:row>
      <xdr:rowOff>182471</xdr:rowOff>
    </xdr:from>
    <xdr:to>
      <xdr:col>10</xdr:col>
      <xdr:colOff>525518</xdr:colOff>
      <xdr:row>23</xdr:row>
      <xdr:rowOff>8819</xdr:rowOff>
    </xdr:to>
    <mc:AlternateContent xmlns:mc="http://schemas.openxmlformats.org/markup-compatibility/2006">
      <mc:Choice xmlns:cx4="http://schemas.microsoft.com/office/drawing/2016/5/10/chartex" Requires="cx4">
        <xdr:graphicFrame macro="">
          <xdr:nvGraphicFramePr>
            <xdr:cNvPr id="52" name="Chart 51">
              <a:extLst>
                <a:ext uri="{FF2B5EF4-FFF2-40B4-BE49-F238E27FC236}">
                  <a16:creationId xmlns:a16="http://schemas.microsoft.com/office/drawing/2014/main" id="{CAC78603-F165-479F-8050-B24C788276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656724" y="912356"/>
              <a:ext cx="2963334" cy="3293302"/>
            </a:xfrm>
            <a:prstGeom prst="rect">
              <a:avLst/>
            </a:prstGeom>
            <a:solidFill>
              <a:prstClr val="white"/>
            </a:solidFill>
            <a:ln w="1">
              <a:solidFill>
                <a:prstClr val="green"/>
              </a:solidFill>
            </a:ln>
          </xdr:spPr>
          <xdr:txBody>
            <a:bodyPr vertOverflow="clip" horzOverflow="clip"/>
            <a:lstStyle/>
            <a:p>
              <a:r>
                <a:rPr lang="en-PK"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481371</xdr:colOff>
      <xdr:row>11</xdr:row>
      <xdr:rowOff>107208</xdr:rowOff>
    </xdr:from>
    <xdr:to>
      <xdr:col>18</xdr:col>
      <xdr:colOff>313851</xdr:colOff>
      <xdr:row>26</xdr:row>
      <xdr:rowOff>15301</xdr:rowOff>
    </xdr:to>
    <xdr:graphicFrame macro="">
      <xdr:nvGraphicFramePr>
        <xdr:cNvPr id="53" name="Chart 52">
          <a:extLst>
            <a:ext uri="{FF2B5EF4-FFF2-40B4-BE49-F238E27FC236}">
              <a16:creationId xmlns:a16="http://schemas.microsoft.com/office/drawing/2014/main" id="{8E14F069-4DC6-492C-A34A-C1DDA8D3C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20</xdr:row>
      <xdr:rowOff>39688</xdr:rowOff>
    </xdr:from>
    <xdr:to>
      <xdr:col>6</xdr:col>
      <xdr:colOff>10582</xdr:colOff>
      <xdr:row>34</xdr:row>
      <xdr:rowOff>105833</xdr:rowOff>
    </xdr:to>
    <xdr:graphicFrame macro="">
      <xdr:nvGraphicFramePr>
        <xdr:cNvPr id="54" name="Chart 53">
          <a:extLst>
            <a:ext uri="{FF2B5EF4-FFF2-40B4-BE49-F238E27FC236}">
              <a16:creationId xmlns:a16="http://schemas.microsoft.com/office/drawing/2014/main" id="{2C9E9CBC-FA49-4806-9350-EC33BD44F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269875</xdr:colOff>
      <xdr:row>0</xdr:row>
      <xdr:rowOff>47625</xdr:rowOff>
    </xdr:from>
    <xdr:to>
      <xdr:col>10</xdr:col>
      <xdr:colOff>404813</xdr:colOff>
      <xdr:row>4</xdr:row>
      <xdr:rowOff>95250</xdr:rowOff>
    </xdr:to>
    <xdr:sp macro="" textlink="">
      <xdr:nvSpPr>
        <xdr:cNvPr id="58" name="TextBox 57">
          <a:extLst>
            <a:ext uri="{FF2B5EF4-FFF2-40B4-BE49-F238E27FC236}">
              <a16:creationId xmlns:a16="http://schemas.microsoft.com/office/drawing/2014/main" id="{8424AAE5-15D5-0595-E847-30F4386537DA}"/>
            </a:ext>
          </a:extLst>
        </xdr:cNvPr>
        <xdr:cNvSpPr txBox="1"/>
      </xdr:nvSpPr>
      <xdr:spPr>
        <a:xfrm>
          <a:off x="269875" y="47625"/>
          <a:ext cx="6246813" cy="7778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latin typeface="Arial Black" panose="020B0A04020102020204" pitchFamily="34" charset="0"/>
            </a:rPr>
            <a:t>SALES</a:t>
          </a:r>
          <a:r>
            <a:rPr lang="en-US" sz="3600" b="1" baseline="0"/>
            <a:t> </a:t>
          </a:r>
          <a:r>
            <a:rPr lang="en-US" sz="3600" b="1" baseline="0">
              <a:latin typeface="Arial Black" panose="020B0A04020102020204" pitchFamily="34" charset="0"/>
            </a:rPr>
            <a:t>DASHBOARAD</a:t>
          </a:r>
          <a:r>
            <a:rPr lang="en-US" sz="3600" b="1" baseline="0"/>
            <a:t> </a:t>
          </a:r>
          <a:endParaRPr lang="en-PK" sz="3600" b="1"/>
        </a:p>
      </xdr:txBody>
    </xdr:sp>
    <xdr:clientData/>
  </xdr:twoCellAnchor>
  <xdr:twoCellAnchor>
    <xdr:from>
      <xdr:col>6</xdr:col>
      <xdr:colOff>160760</xdr:colOff>
      <xdr:row>24</xdr:row>
      <xdr:rowOff>24114</xdr:rowOff>
    </xdr:from>
    <xdr:to>
      <xdr:col>10</xdr:col>
      <xdr:colOff>409936</xdr:colOff>
      <xdr:row>28</xdr:row>
      <xdr:rowOff>112531</xdr:rowOff>
    </xdr:to>
    <xdr:sp macro="" textlink="">
      <xdr:nvSpPr>
        <xdr:cNvPr id="6" name="Rectangle: Beveled 5">
          <a:hlinkClick xmlns:r="http://schemas.openxmlformats.org/officeDocument/2006/relationships" r:id="rId14"/>
          <a:extLst>
            <a:ext uri="{FF2B5EF4-FFF2-40B4-BE49-F238E27FC236}">
              <a16:creationId xmlns:a16="http://schemas.microsoft.com/office/drawing/2014/main" id="{E5EA88AC-BBE1-C6AC-A3F8-5AD20786CFAF}"/>
            </a:ext>
          </a:extLst>
        </xdr:cNvPr>
        <xdr:cNvSpPr/>
      </xdr:nvSpPr>
      <xdr:spPr>
        <a:xfrm>
          <a:off x="3826076" y="4461076"/>
          <a:ext cx="2692721" cy="827911"/>
        </a:xfrm>
        <a:prstGeom prst="bevel">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DATA</a:t>
          </a:r>
          <a:endParaRPr lang="en-PK" sz="2400" b="1"/>
        </a:p>
      </xdr:txBody>
    </xdr:sp>
    <xdr:clientData/>
  </xdr:twoCellAnchor>
  <xdr:twoCellAnchor>
    <xdr:from>
      <xdr:col>6</xdr:col>
      <xdr:colOff>128608</xdr:colOff>
      <xdr:row>29</xdr:row>
      <xdr:rowOff>120569</xdr:rowOff>
    </xdr:from>
    <xdr:to>
      <xdr:col>10</xdr:col>
      <xdr:colOff>377784</xdr:colOff>
      <xdr:row>34</xdr:row>
      <xdr:rowOff>24113</xdr:rowOff>
    </xdr:to>
    <xdr:sp macro="" textlink="">
      <xdr:nvSpPr>
        <xdr:cNvPr id="7" name="Rectangle: Beveled 6">
          <a:hlinkClick xmlns:r="http://schemas.openxmlformats.org/officeDocument/2006/relationships" r:id="rId15"/>
          <a:extLst>
            <a:ext uri="{FF2B5EF4-FFF2-40B4-BE49-F238E27FC236}">
              <a16:creationId xmlns:a16="http://schemas.microsoft.com/office/drawing/2014/main" id="{089ADD32-54D5-14F7-012D-BB1690B82E15}"/>
            </a:ext>
          </a:extLst>
        </xdr:cNvPr>
        <xdr:cNvSpPr/>
      </xdr:nvSpPr>
      <xdr:spPr>
        <a:xfrm>
          <a:off x="3793924" y="5481898"/>
          <a:ext cx="2692721" cy="827911"/>
        </a:xfrm>
        <a:prstGeom prst="bevel">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lt1"/>
              </a:solidFill>
              <a:effectLst/>
              <a:latin typeface="+mn-lt"/>
              <a:ea typeface="+mn-ea"/>
              <a:cs typeface="+mn-cs"/>
            </a:rPr>
            <a:t>KPI's</a:t>
          </a:r>
          <a:endParaRPr lang="en-PK" sz="2400">
            <a:effectLst/>
          </a:endParaRPr>
        </a:p>
        <a:p>
          <a:pPr algn="ctr"/>
          <a:endParaRPr lang="en-PK" sz="2000"/>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237"/>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23 1,'-5'0,"-1"1,0 3,1 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238"/>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69 120,'-8'1,"-1"1,1 0,-1 1,1-1,-11 6,16-6,3-2,0 0,-1 0,1 0,0 0,0 0,0 0,-1 0,1 0,0 0,0 0,0 0,0 0,-1 0,1 0,0 0,0 1,0-1,0 0,0 0,-1 0,1 0,0 0,0 1,0-1,0 0,0 0,0 0,0 0,0 1,0-1,-1 0,1 0,0 0,0 1,0-1,0 0,0 0,0 1,8 3,13 0,43 0,102-6,65-20,-81 6,534-17,-650 35,-22-1,0-1,0 1,0-2,0 0,16-3,-28 4,0 0,0 1,1-1,-1 0,0 0,0 0,0 0,1 0,-1 0,0 0,0 0,0 0,1-1,-1 1,0 0,0 0,0 0,0 0,1 0,-1 0,0 0,0 0,0 0,0-1,0 1,1 0,-1 0,0 0,0 0,0 0,0-1,0 1,0 0,0 0,0 0,1 0,-1-1,0 1,0 0,0 0,0 0,0-1,0 1,0 0,-10-4,-16 1,-68 3,-100 14,126-8,-220 22,-411 23,681-50,12 0,0-1,0 0,0 0,0 0,-1-1,-9-2,43-2,399 4,-330 2,-77-1,314 7,-2 20,-308-24,-14-3,0 1,0 0,0 1,-1 0,1 0,10 5,-52-2,-72-14,-176-38,162 24,1 3,0 4,0 6,-121 4,229 8,21 1,21 0,200 0,352-40,-630 39,0-3,0-1,-72-13,51 6,32 5,-237-25,195 24,-119 9,191-4,-4 0,0 1,0 0,0 1,1 0,-17 6,24-8,1 0,0 0,0 0,0 0,0 0,0 0,0 0,0 0,-1 0,1 0,0 0,0 0,0 0,0 0,0 0,0 0,0 0,0 0,-1 1,1-1,0 0,0 0,0 0,0 0,0 0,0 0,0 0,0 1,0-1,0 0,0 0,0 0,0 0,0 0,0 0,0 0,0 1,0-1,0 0,0 0,0 0,0 0,0 0,0 0,0 1,0-1,0 0,0 0,0 0,0 0,0 0,1 0,-1 0,10 6,22 4,-22-7,30 8,0-1,1-2,67 5,125-8,-80-8,286-44,-426 45,-8 1,0 1,0-1,-1 0,1 0,0-1,0 0,-1 1,1-1,-1-1,5-2,-7 0,-5 2</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239"/>
    </inkml:context>
    <inkml:brush xml:id="br0">
      <inkml:brushProperty name="width" value="0.025" units="cm"/>
      <inkml:brushProperty name="height" value="0.025" units="cm"/>
    </inkml:brush>
  </inkml:definitions>
  <inkml:trace contextRef="#ctx0" brushRef="#br0">3 64 24575,'0'0'0,"0"0"0,0 0 0,-1 0 0,1 0 0,0 1 0,0-1 0,0 0 0,0 0 0,0 0 0,-1 0 0,1 1 0,0-1 0,0 0 0,0 0 0,0 0 0,0 0 0,0 1 0,0-1 0,0 0 0,0 0 0,0 0 0,0 1 0,0-1 0,0 0 0,0 0 0,0 1 0,0-1 0,0 0 0,0 0 0,0 0 0,0 1 0,0-1 0,0 0 0,0 0 0,0 0 0,0 0 0,0 1 0,0-1 0,1 0 0,9 4 0,15-1 0,-24-3 0,335 2 196,-170-4-1757,-155 2-5265</inkml:trace>
  <inkml:trace contextRef="#ctx0" brushRef="#br0" timeOffset="1">433 1 24575,'8'1'0,"0"1"0,-1 0 0,0 0 0,1 0 0,-1 1 0,10 6 0,0 0 0,31 21 0,-46-29 0,-1 0 0,1 0 0,0 1 0,-1-1 0,1 0 0,-1 1 0,1 0 0,-1-1 0,0 1 0,0 0 0,0-1 0,0 1 0,0 0 0,0 0 0,0 0 0,0 3 0,-1-4 0,0 1 0,0 0 0,-1 0 0,1-1 0,0 1 0,-1-1 0,1 1 0,-1 0 0,0-1 0,0 1 0,1-1 0,-1 1 0,0-1 0,0 0 0,-1 1 0,1-1 0,0 0 0,0 0 0,0 0 0,-3 2 0,-61 45-1365,58-43-5461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241"/>
    </inkml:context>
    <inkml:brush xml:id="br0">
      <inkml:brushProperty name="width" value="0.025" units="cm"/>
      <inkml:brushProperty name="height" value="0.025" units="cm"/>
    </inkml:brush>
  </inkml:definitions>
  <inkml:trace contextRef="#ctx0" brushRef="#br0">17 30 24575,'-1'-5'0,"-2"6"0,-2 11 0,0 40 0,2 0 0,5 64 0,-1-82 0,2 2 0,-3-36 0,0 0 0,0 0 0,0 0 0,0 0 0,0 0 0,0 0 0,1 0 0,-1 0 0,0 0 0,0 0 0,0 0 0,0 0 0,0 0 0,0 0 0,0 0 0,0 0 0,0 0 0,0 0 0,0 0 0,0 0 0,0 0 0,0 0 0,0 0 0,1 0 0,-1 0 0,0 0 0,0 0 0,0 0 0,0 0 0,0 0 0,0 0 0,0 0 0,0 0 0,0 0 0,0 0 0,0 0 0,0 0 0,0 0 0,0 0 0,0 0 0,0 1 0,2-23 0,-2-39 0,-1 28 0,2-1 0,1 0 0,10-47 0,-6 65 0,-6 16 0,0 0 0,0 0 0,0 0 0,0 0 0,0 0 0,0 0 0,1 0 0,-1 0 0,0 0 0,0 0 0,0 0 0,0 0 0,0 0 0,1 0 0,-1 0 0,0 0 0,0 0 0,0 0 0,0 0 0,0 0 0,1 0 0,-1 0 0,0 0 0,0 1 0,0-1 0,0 0 0,0 0 0,0 0 0,0 0 0,1 0 0,-1 0 0,0 0 0,0 0 0,0 1 0,0-1 0,0 0 0,0 0 0,0 0 0,0 0 0,0 0 0,0 0 0,0 1 0,0-1 0,0 0 0,0 0 0,0 0 0,0 0 0,0 0 0,0 1 0,7 30 0,-5-19 0,-1-6 0,0 0 0,1 0 0,0 0 0,0-1 0,1 1 0,0-1 0,3 6 0,-5-10 0,0 0 0,0 1 0,0-1 0,0 0 0,0 0 0,1 0 0,-1 0 0,0-1 0,0 1 0,1 0 0,-1 0 0,1-1 0,-1 1 0,1-1 0,-1 1 0,1-1 0,-1 0 0,1 1 0,-1-1 0,1 0 0,-1 0 0,1 0 0,-1 0 0,1-1 0,0 1 0,-1 0 0,1-1 0,-1 1 0,0-1 0,1 1 0,-1-1 0,3-1 0,0 0 0,0 0 0,0-1 0,0 1 0,-1-1 0,1 0 0,-1 0 0,0 0 0,0 0 0,0-1 0,0 1 0,0-1 0,-1 0 0,0 0 0,3-5 0,0-2 0,-1 0 0,-1-1 0,0 1 0,2-14 0,-6 41 0,2-1 0,-1 1 0,6 26 0,0 4 0,-3 16 0,-2-29 0,6 36 0,-7-67 34,0 0 1,1 0-1,-1 0 0,1-1 0,0 1 0,-1 0 0,1 0 0,0-1 0,2 4 1,-3-5-75,0 0 0,1 0 1,-1 1-1,0-1 0,1 0 0,-1 1 1,1-1-1,-1 0 0,0 0 1,1 0-1,-1 1 0,1-1 1,-1 0-1,1 0 0,-1 0 1,0 0-1,1 0 0,-1 0 0,1 0 1,-1 0-1,1 0 0,-1 0 1,1 0-1,-1 0 0,0 0 1,1 0-1,-1-1 0,1 1 1,-1 0-1,1 0 0,-1 0 1,0-1-1,1 1 0,-1 0 0,0 0 1,1-1-1,-1 1 0,0 0 1,1-1-1,-1 1 0,0-1 1,1 1-1,7-10-6786</inkml:trace>
  <inkml:trace contextRef="#ctx0" brushRef="#br0" timeOffset="1">363 199 24575,'0'-1'0,"-1"-1"0,1 0 0,-1 0 0,1 0 0,-1 0 0,0 0 0,0 0 0,0 0 0,0 1 0,0-1 0,0 0 0,0 1 0,0-1 0,-1 1 0,1-1 0,0 1 0,-1 0 0,0-1 0,1 1 0,-4-1 0,4 1 0,-1 0 0,1 0 0,-1 0 0,1 0 0,-1 1 0,0-1 0,1 1 0,-1-1 0,0 1 0,1-1 0,-1 1 0,0 0 0,1 0 0,-1 0 0,0 0 0,0 0 0,1 1 0,-1-1 0,0 0 0,1 1 0,-1-1 0,0 1 0,-2 1 0,1 1 0,0 0 0,0 1 0,0-1 0,1 1 0,-1 0 0,1 0 0,0 0 0,0 0 0,1 0 0,-1 1 0,1-1 0,0 0 0,0 1 0,0-1 0,0 1 0,1 7 0,0-9 0,0 1 0,0-1 0,0 0 0,1 1 0,-1-1 0,1 0 0,0 0 0,0 0 0,0 1 0,3 4 0,-3-7 0,0 1 0,0-1 0,0 1 0,0-1 0,0 0 0,1 0 0,-1 0 0,0 1 0,1-1 0,-1-1 0,1 1 0,-1 0 0,1 0 0,-1 0 0,1-1 0,0 1 0,-1-1 0,1 1 0,0-1 0,0 0 0,1 1 0,-2-2 0,1 1 0,-1 0 0,0 0 0,1 0 0,-1-1 0,0 1 0,1-1 0,-1 1 0,0-1 0,0 1 0,0-1 0,0 0 0,0 0 0,0 0 0,0 1 0,0-1 0,0 0 0,0 0 0,0 0 0,0 0 0,0-1 0,-1 1 0,1 0 0,0 0 0,-1 0 0,1 0 0,-1-1 0,0 1 0,1 0 0,-1-3 0,2-4 0,0-1 0,-1 1 0,0-12 0,0 19 0,-1-4 0,0-7 0,1 1 0,0 0 0,5-16 0,-6 25 0,1-1 0,0 1 0,0 0 0,0 0 0,0 0 0,0 0 0,0 0 0,1 0 0,-1 0 0,3-2 0,-4 3 0,1 1 0,0-1 0,0 1 0,0-1 0,0 0 0,0 1 0,0 0 0,0-1 0,0 1 0,0 0 0,0-1 0,0 1 0,0 0 0,0 0 0,0 0 0,1 0 0,-1 0 0,0 0 0,0 0 0,0 0 0,0 1 0,2-1 0,0 2 0,-1-1 0,1 1 0,0 0 0,-1 0 0,1 0 0,-1 0 0,0 0 0,0 0 0,0 0 0,0 1 0,0-1 0,0 1 0,0 0 0,-1-1 0,1 1 0,1 5 0,2 6 0,8 29 0,-10-34 0,-2 0 0,1-1 0,-1 1 0,0 0 0,-1 11 0,-1-22 0,0-20 0,0-29 0,2 42 0,1-1 0,0 1 0,1 0 0,7-16 0,-9 23 0,0 0 0,0 0 0,0 0 0,0 0 0,0 0 0,1 1 0,-1-1 0,0 0 0,1 1 0,0 0 0,-1-1 0,4-1 0,-4 3 0,0 0 0,0-1 0,-1 1 0,1 0 0,0 0 0,0 0 0,0 0 0,0 0 0,0 0 0,0 0 0,0 0 0,0 0 0,0 0 0,0 0 0,0 1 0,0-1 0,0 0 0,0 1 0,0-1 0,0 1 0,0-1 0,0 1 0,-1 0 0,1-1 0,0 1 0,0 0 0,-1-1 0,2 2 0,1 2 0,0 0 0,0 0 0,0 1 0,-1-1 0,1 1 0,-1 0 0,0-1 0,0 1 0,-1 0 0,1 0 0,-1 1 0,1 6 0,0 11 0,0 32 0,-2-48 0,-1 5 147,1 12-13,1-22-616,2-13-682,0-3-5662</inkml:trace>
  <inkml:trace contextRef="#ctx0" brushRef="#br0" timeOffset="2">659 65 24575,'0'2'0,"0"4"0,0 7 0,0 5 0,0 7 0,0 2 0,0 2 0,0-3 0,0-3 0,2-3 0,2-6 0,-1-5-8191</inkml:trace>
  <inkml:trace contextRef="#ctx0" brushRef="#br0" timeOffset="3">631 157 24575,'0'0'0,"1"0"0,-1 0 0,0 0 0,1 0 0,-1 0 0,0 0 0,0 1 0,1-1 0,-1 0 0,0 0 0,1 0 0,-1 0 0,0 0 0,1 1 0,-1-1 0,0 0 0,0 0 0,0 1 0,1-1 0,-1 0 0,0 0 0,0 1 0,0-1 0,1 0 0,-1 0 0,0 1 0,0-1 0,0 0 0,0 1 0,0-1 0,0 0 0,0 1 0,0-1 0,1 0 0,-1 1 0,0-1 0,0 0 0,-1 1 0,1-1 0,0 0 0,0 1 0,0-1 0,0 0 0,0 1 0,0-1 0,0 0 0,0 1 0,-1-1 0,1 0 0,0 0 0,0 1 0,0-1 0,-1 0 0,1 0 0,0 1 0,0-1 0,-1 0 0,1 0 0,0 0 0,-1 0 0,1 1 0,0-1 0,0 0 0,-1 0 0,1 0 0,0 0 0,-1 0 0,26 6 0,-20-6 0,0 0 0,-1 0 0,1-1 0,-1 0 0,1 1 0,-1-2 0,0 1 0,1 0 0,-1-1 0,0 0 0,0 0 0,0 0 0,0 0 0,0-1 0,0 0 0,-1 0 0,1 0 0,-1 0 0,0 0 0,0-1 0,0 1 0,0-1 0,2-5 0,-2 3 0,0 0 0,0 0 0,-1 0 0,1-1 0,-2 1 0,1 0 0,-1-1 0,0 0 0,0 1 0,-1-1 0,1 0 0,-2 1 0,1-1 0,-1 0 0,-2-8 0,-2 4 0,0 15 0,-1 21 0,2 47 0,6 112 0,1-196 0,1 0 0,1 1 0,0-1 0,11-17 0,-15 27 0,0 1 0,0-1 0,1 1 0,-1-1 0,0 1 0,1 0 0,-1 0 0,1 0 0,-1-1 0,1 2 0,-1-1 0,1 0 0,0 0 0,0 0 0,-1 1 0,1-1 0,0 1 0,2-1 0,-3 1 0,1 1 0,-1-1 0,0 0 0,0 1 0,1-1 0,-1 1 0,0-1 0,0 1 0,0 0 0,0-1 0,0 1 0,0 0 0,0 0 0,0 0 0,0 0 0,0 0 0,0 0 0,0 0 0,-1 0 0,1 0 0,0 0 0,-1 0 0,1 1 0,-1-1 0,1 0 0,0 2 0,15 67-1365,-13-60-5461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245"/>
    </inkml:context>
    <inkml:brush xml:id="br0">
      <inkml:brushProperty name="width" value="0.025" units="cm"/>
      <inkml:brushProperty name="height" value="0.025" units="cm"/>
    </inkml:brush>
  </inkml:definitions>
  <inkml:trace contextRef="#ctx0" brushRef="#br0">110 60 24575,'0'-4'0,"-1"1"0,1-1 0,-1 1 0,0-1 0,0 1 0,0-1 0,0 1 0,-1 0 0,1-1 0,-4-4 0,4 7 0,1 0 0,-1 0 0,0 0 0,0 0 0,0 0 0,0 0 0,0 0 0,0 0 0,0 0 0,0 0 0,0 0 0,0 0 0,-1 1 0,1-1 0,0 1 0,0-1 0,-1 1 0,1-1 0,0 1 0,-1 0 0,1-1 0,0 1 0,-1 0 0,1 0 0,-1 0 0,1 0 0,0 0 0,-1 1 0,-1-1 0,1 1 0,0 0 0,0 1 0,0-1 0,1 0 0,-1 0 0,0 1 0,1-1 0,0 1 0,-1 0 0,1-1 0,0 1 0,0 0 0,0 0 0,0-1 0,0 1 0,0 0 0,-1 3 0,-9 38 0,10-37 0,-6 26 0,2-1 0,1 1 0,1 0 0,2 0 0,5 57 0,-3-84 0,0 0 0,0-1 0,0 1 0,1-1 0,0 1 0,0-1 0,0 0 0,1 0 0,-1 0 0,1 0 0,0 0 0,4 3 0,-6-5 0,0-1 0,1 0 0,-1 0 0,1 0 0,-1 0 0,1 0 0,-1 0 0,1 0 0,0 0 0,-1-1 0,1 1 0,0-1 0,0 1 0,0-1 0,-1 0 0,1 0 0,0 1 0,0-1 0,0 0 0,0-1 0,-1 1 0,1 0 0,0-1 0,0 1 0,0-1 0,-1 1 0,1-1 0,0 0 0,-1 1 0,1-1 0,-1 0 0,1 0 0,2-3 0,0 1 0,-1 0 0,1 0 0,-1-1 0,0 0 0,0 0 0,0 0 0,0 0 0,-1 0 0,0-1 0,2-4 0,13-47 0,-16 53 0,7 16 0,-5-7 0,0-1 0,0 1 0,1-1 0,0 0 0,4 5 0,-7-9 0,0 0 0,1 0 0,-1 0 0,1 0 0,-1-1 0,1 1 0,-1 0 0,1 0 0,-1-1 0,1 1 0,0-1 0,-1 0 0,1 1 0,0-1 0,-1 0 0,1 0 0,0 0 0,0 0 0,-1 0 0,1-1 0,0 1 0,-1 0 0,1-1 0,-1 1 0,1-1 0,0 0 0,-1 1 0,3-2 0,-3 0 0,0 1 0,1 0 0,-1-1 0,0 1 0,1-1 0,-1 1 0,0-1 0,0 1 0,0-1 0,0 0 0,-1 0 0,1 1 0,0-1 0,-1 0 0,1 0 0,-1 0 0,0 0 0,0 0 0,1 0 0,-1 0 0,0 0 0,-1 1 0,1-1 0,0 0 0,-1-3 0,-1 0 0,1-1 0,-1 1 0,0-1 0,-1 1 0,1 0 0,-1 0 0,0 0 0,0 1 0,-1-1 0,1 1 0,-8-7 0,9 9 0,1 1 0,0 0 0,-1 0 0,1 1 0,0-1 0,-1 0 0,1 0 0,-1 1 0,0-1 0,1 1 0,-1-1 0,1 1 0,-1 0 0,0-1 0,1 1 0,-1 0 0,-3 1 0,3-1 0,0 1 0,0 0 0,0 0 0,0 0 0,0 0 0,1 0 0,-1 0 0,0 0 0,0 1 0,1-1 0,-1 1 0,1-1 0,-1 1 0,1-1 0,0 1 0,0 0 0,-2 3 0,0-1 0,1 1 0,0 0 0,1 0 0,-1 0 0,1-1 0,0 1 0,0 0 0,0 1 0,1-1 0,-1 0 0,1 0 0,1 7 0,-1-10 0,1-1 0,-1 1 0,0 0 0,0 0 0,1-1 0,-1 1 0,1 0 0,0-1 0,-1 1 0,1-1 0,0 1 0,0-1 0,0 1 0,0-1 0,0 0 0,0 1 0,0-1 0,1 0 0,-1 0 0,0 0 0,1 0 0,-1 0 0,1 0 0,-1 0 0,1 0 0,-1-1 0,1 1 0,0 0 0,-1-1 0,1 0 0,0 1 0,-1-1 0,1 0 0,0 0 0,0 0 0,-1 0 0,1 0 0,0 0 0,2-1 0,-2 1 0,0-1 0,0 1 0,0-1 0,1 0 0,-1 0 0,0 0 0,0 0 0,0 0 0,-1 0 0,1 0 0,0-1 0,0 1 0,-1 0 0,1-1 0,-1 0 0,3-3 0,0-1 0,0 0 0,-1-1 0,5-12 0,-7 15 0,1-1 0,-1 1 0,1 0 0,0 0 0,1 0 0,-1 0 0,0 0 0,1 1 0,0-1 0,0 1 0,5-5 0,-8 8 0,1 0 0,-1 0 0,1-1 0,-1 1 0,1 0 0,-1 0 0,1 0 0,0 0 0,-1-1 0,1 1 0,-1 0 0,1 0 0,0 0 0,-1 0 0,1 1 0,-1-1 0,1 0 0,0 0 0,-1 0 0,1 0 0,-1 1 0,1-1 0,-1 0 0,1 0 0,-1 1 0,1-1 0,-1 0 0,1 1 0,-1-1 0,1 1 0,-1-1 0,1 1 0,-1-1 0,0 1 0,1-1 0,-1 1 0,0-1 0,0 1 0,1-1 0,-1 1 0,0-1 0,0 2 0,10 26 0,-10-28 0,18 79 0,-14-74 0,1-11 0,0-13 0,-4 18 0,1-11 0,-1 4 0,1 1 0,0-1 0,0 0 0,1 1 0,0 0 0,0 0 0,5-8 0,-8 15 0,0 0 0,0-1 0,1 1 0,-1 0 0,0 0 0,0 0 0,0 0 0,0-1 0,0 1 0,0 0 0,0 0 0,1 0 0,-1 0 0,0 0 0,0 0 0,0 0 0,0-1 0,1 1 0,-1 0 0,0 0 0,0 0 0,0 0 0,1 0 0,-1 0 0,0 0 0,0 0 0,0 0 0,0 0 0,1 0 0,-1 0 0,0 0 0,0 0 0,0 0 0,1 0 0,-1 0 0,0 0 0,0 0 0,5 9 0,-2 14 0,-3-20 0,1 5 0,0-1 0,1 0 0,-1 0 0,2 0 0,-1 0 0,6 10 0,-8-15 0,1-1 0,0 0 0,-1 0 0,1 0 0,0 0 0,0 0 0,0-1 0,-1 1 0,1 0 0,0 0 0,0 0 0,0-1 0,0 1 0,0 0 0,1-1 0,-1 1 0,0-1 0,0 0 0,1 1 0,0-1 0,0 0 0,-1 0 0,1-1 0,-1 1 0,0-1 0,1 1 0,-1-1 0,1 1 0,-1-1 0,0 0 0,1 1 0,-1-1 0,0 0 0,0 0 0,1 0 0,-1 0 0,0 0 0,0 0 0,0-1 0,0 0 0,5-6 0,-1 0 0,0-1 0,-1 1 0,0-1 0,-1 0 0,0 0 0,0 0 0,0-1 0,-1 1 0,1-15 0,-3 19 0,2 10 0,0 1 0,0-1 0,0 0 0,0 0 0,1 0 0,0-1 0,0 1 0,0 0 0,6 4 0,-2 2 0,-2-5 0,-1 1 0,0-1 0,-1 1 0,4 8 0,-6-14 0,-1-1 0,0 1 0,0 0 0,1 0 0,-1 0 0,0-1 0,0 1 0,0 0 0,0 0 0,0 0 0,0 0 0,0-1 0,0 1 0,0 0 0,-1 0 0,1 0 0,0-1 0,0 1 0,-1 0 0,0 1 0,1-2 0,-1 1 0,0-1 0,0 1 0,0-1 0,0 1 0,0-1 0,0 0 0,0 1 0,0-1 0,0 0 0,0 0 0,0 0 0,0 1 0,0-1 0,0 0 0,0-1 0,0 1 0,0 0 0,0 0 0,0 0 0,-1-1 0,2 1 0,0 0 0,1 0 0,-1-1 0,0 1 0,0 0 0,1 0 0,-1 0 0,0 0 0,0-1 0,1 1 0,-1 0 0,0 0 0,0-1 0,1 1 0,-1 0 0,0 0 0,0-1 0,0 1 0,0 0 0,0-1 0,0 1 0,1 0 0,-1-1 0,0 1 0,0 0 0,0-1 0,0 1 0,0 0 0,0-1 0,0 1 0,0 0 0,0-1 0,0 1 0,0 0 0,-1 0 0,1-1 0,0 1 0,0 0 0,0-1 0,0 1 0,0 0 0,-1 0 0,1-1 0,0 1 0,0 0 0,0 0 0,-1-1 0,1 1 0,0 0 0,0 0 0,-1 0 0,1-1 0,0 1 0,-1 0 0,1 0 0,0 0 0,0 0 0,-1 0 0,1 0 0,0 0 0,-1-1 0,1 1 0,0 0 0,-1 0 0,1 0 0,0 0 0,-1 1 0,1-1 0,25-16 0,-20 13 0,1-1 0,0 0 0,-1 0 0,1-1 0,6-7 0,10-8 0,-22 20 0,0-1 0,0 1 0,0 0 0,1 0 0,-1 0 0,0 0 0,0-1 0,1 1 0,-1 0 0,0 0 0,0 0 0,1 0 0,-1 0 0,0 0 0,0-1 0,1 1 0,-1 0 0,0 0 0,0 0 0,1 0 0,-1 0 0,0 0 0,1 0 0,-1 0 0,0 0 0,0 1 0,1-1 0,-1 0 0,0 0 0,0 0 0,1 0 0,-1 0 0,0 0 0,0 0 0,1 1 0,-1-1 0,0 0 0,5 13 0,-4 19 0,-2-30 0,1 10 152,1 27-1669,2-28-5309</inkml:trace>
  <inkml:trace contextRef="#ctx0" brushRef="#br0" timeOffset="1">639 80 24575,'-1'0'0,"-1"3"0,1 3 0,-1 2 0,4 5 0,1-1-8191</inkml:trace>
  <inkml:trace contextRef="#ctx0" brushRef="#br0" timeOffset="2">759 306 24575,'-3'-35'0,"2"33"0,1 0 0,0 1 0,-1-1 0,1 1 0,-1-1 0,1 0 0,-1 1 0,0-1 0,0 1 0,0 0 0,0-1 0,0 1 0,0 0 0,0 0 0,0-1 0,0 1 0,0 0 0,-3-2 0,3 3 0,0 0 0,-1 0 0,1 0 0,0 0 0,0 1 0,0-1 0,0 0 0,0 0 0,0 1 0,-1-1 0,1 0 0,0 1 0,0-1 0,0 1 0,0 0 0,0-1 0,1 1 0,-1 0 0,0 0 0,0-1 0,0 1 0,1 0 0,-1 0 0,0 0 0,1 0 0,-1 0 0,0 0 0,1 0 0,0 0 0,-1 0 0,0 1 0,-13 36 0,13-35 0,0 0 0,0 0 0,1 0 0,0 1 0,-1-1 0,1 0 0,0 0 0,1 1 0,-1-1 0,0 0 0,1 0 0,1 4 0,-2-6 0,1 0 0,-1-1 0,0 1 0,1 0 0,-1 0 0,1 0 0,-1-1 0,1 1 0,0 0 0,-1-1 0,1 1 0,0-1 0,0 1 0,-1-1 0,1 1 0,0-1 0,0 1 0,1-1 0,0 1 0,-1-1 0,1 0 0,0 0 0,-1 0 0,1 0 0,-1 0 0,1 0 0,0 0 0,-1-1 0,1 1 0,-1-1 0,1 1 0,2-2 0,-1 0 0,0 0 0,-1 0 0,1 0 0,0 0 0,-1 0 0,0 0 0,0-1 0,0 1 0,0-1 0,0 1 0,0-1 0,-1 0 0,1 0 0,-1 0 0,1 0 0,-1 0 0,0 0 0,0-5 0,3-8 0,-2 1 0,1-24 0,-3 34 0,1-6 0,1-12 0,-2-1 0,0 1 0,-5-35 0,2 102 0,1-5 0,1-5 0,5 60 0,-4-89-195,1-1 0,0 1 0,0 0 0,1-1 0,0 0 0,1 5 0,3 0-6631</inkml:trace>
  <inkml:trace contextRef="#ctx0" brushRef="#br0" timeOffset="3">829 250 24575,'0'1'0,"0"-1"0,0 0 0,1 1 0,-1-1 0,0 1 0,0-1 0,0 1 0,0-1 0,0 1 0,0-1 0,1 0 0,-1 1 0,0-1 0,0 1 0,0-1 0,1 0 0,-1 1 0,0-1 0,1 0 0,-1 1 0,0-1 0,1 0 0,-1 0 0,0 1 0,1-1 0,-1 0 0,1 0 0,-1 0 0,0 1 0,1-1 0,-1 0 0,1 0 0,-1 0 0,1 0 0,-1 0 0,1 0 0,-1 0 0,0 0 0,1 0 0,-1 0 0,1 0 0,-1 0 0,1 0 0,0-1 0,1 1 0,-1 0 0,0 0 0,0-1 0,0 1 0,0-1 0,0 1 0,0-1 0,1 0 0,-2 1 0,1-1 0,0 0 0,0 1 0,0-1 0,1-2 0,-1 2 0,0-1 0,-1 1 0,1 0 0,0-1 0,-1 1 0,0-1 0,1 1 0,-1-1 0,0 1 0,0-1 0,0 1 0,0-1 0,0 1 0,0-1 0,0 1 0,-1-1 0,1 1 0,0-1 0,-1 1 0,1 0 0,-1-1 0,0 1 0,1 0 0,-1-1 0,-1-1 0,1 3 0,0-1 0,1 0 0,-1 1 0,1 0 0,-1-1 0,0 1 0,1-1 0,-1 1 0,0 0 0,1-1 0,-1 1 0,0 0 0,0-1 0,1 1 0,-1 0 0,0 0 0,0 0 0,0 0 0,1 0 0,-1 0 0,0 0 0,0 0 0,1 0 0,-1 0 0,0 1 0,0-1 0,1 0 0,-1 0 0,0 1 0,0-1 0,1 0 0,-1 1 0,0-1 0,1 1 0,-1-1 0,1 1 0,-1-1 0,1 1 0,-1 0 0,1-1 0,-1 1 0,1-1 0,-1 1 0,1 0 0,0 0 0,-1-1 0,1 2 0,-2 3 0,0-1 0,0 1 0,0-1 0,1 1 0,0 0 0,0-1 0,0 1 0,1 0 0,0 0 0,0 0 0,0 0 0,1 5 0,-1-8 0,0-1 0,0 1 0,0-1 0,1 1 0,-1-1 0,0 1 0,1-1 0,-1 1 0,1-1 0,-1 1 0,1-1 0,0 0 0,0 1 0,0-1 0,0 0 0,0 0 0,0 0 0,0 0 0,0 1 0,0-1 0,0-1 0,0 1 0,1 0 0,-1 0 0,0 0 0,1-1 0,-1 1 0,1 0 0,-1-1 0,1 0 0,-1 1 0,1-1 0,-1 0 0,1 0 0,-1 0 0,1 0 0,-1 0 0,1 0 0,-1 0 0,1 0 0,2-1 0,-1 0 0,0-1 0,0 1 0,0-1 0,-1 0 0,1 0 0,0 0 0,-1 0 0,1 0 0,-1 0 0,1-1 0,-1 1 0,0-1 0,0 0 0,-1 1 0,1-1 0,0 0 0,-1 0 0,2-4 0,-1 3 0,0 0 0,0 0 0,0 0 0,1 0 0,0 0 0,0 1 0,0-1 0,5-4 0,-8 8 0,1 0 0,-1-1 0,1 1 0,-1 0 0,1-1 0,-1 1 0,1 0 0,-1 0 0,1 0 0,-1 0 0,1-1 0,-1 1 0,1 0 0,-1 0 0,1 0 0,-1 0 0,1 0 0,-1 0 0,1 0 0,-1 0 0,1 0 0,-1 1 0,1-1 0,-1 0 0,1 0 0,-1 0 0,1 0 0,-1 1 0,1-1 0,-1 0 0,1 1 0,0 0 0,0 0 0,0 1 0,0-1 0,0 1 0,0-1 0,0 1 0,0 0 0,0-1 0,-1 1 0,2 4 0,-1-4 0,0 1 0,-1-1 0,1 1 0,-1-1 0,0 1 0,1 0 0,-1-1 0,-1 1 0,1-1 0,0 1 0,0 0 0,-1-1 0,0 1 0,-1 3 0,-1-36 0,4 22 0,0 0 0,1 0 0,0 0 0,4-11 0,-6 17 0,1 0 0,0 0 0,0-1 0,0 1 0,0 0 0,1 0 0,-1 0 0,0 0 0,1 0 0,0 0 0,-1 0 0,1 1 0,0-1 0,0 1 0,0-1 0,0 1 0,0 0 0,4-3 0,-5 4-41,1 1 0,-1-1-1,0 0 1,0 0-1,0 0 1,0 1 0,0-1-1,1 0 1,-1 1 0,0-1-1,0 1 1,0-1-1,0 1 1,0 0 0,0-1-1,-1 1 1,1 0 0,0 0-1,0 0 1,0 0-1,-1 0 1,1-1 0,0 1-1,-1 0 1,1 1 0,-1-1-1,1 0 1,-1 0-1,0 0 1,1 0 0,-1 0-1,0 2 1,4 12-6785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249"/>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1 3,'437'2,"490"-4,-842 0,168 3,-185-2,-42 1,39 3,-59-1,-5 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250"/>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0 0,'1'1,"-1"-1,0 1,1 0,-1-1,1 1,-1-1,1 1,-1-1,1 1,-1-1,1 1,-1-1,1 0,0 1,-1-1,1 0,0 0,-1 1,1-1,0 0,1 0,21 6,-15-4,31 5,-1 0,54 1,-15-2,470 6,-505-12,212-7,144-1,-322 9,-16 0,118-11,-80 0,192 6,-159 5,-79 3,-45-2</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251"/>
    </inkml:context>
    <inkml:brush xml:id="br0">
      <inkml:brushProperty name="width" value="0.035" units="cm"/>
      <inkml:brushProperty name="height" value="0.035" units="cm"/>
    </inkml:brush>
  </inkml:definitions>
  <inkml:trace contextRef="#ctx0" brushRef="#br0">12 78 24575,'-2'0'-2135,"-4"0"2135,2 0 1038,4 0-1038,6 0 359,7 0-359,7 0 182,6 0-182,3 0 556,3 0-556,0 0 0,-1 0 0,-1 0 0,-5 0 0,-1 0 0,-6 0-8191</inkml:trace>
  <inkml:trace contextRef="#ctx0" brushRef="#br0" timeOffset="1">245 7 24575,'-1'-1'0,"0"1"0,0-1 0,0 0 0,0 1 0,-1-1 0,1 1 0,0-1 0,0 1 0,0-1 0,-1 1 0,1 0 0,0 0 0,0 0 0,-1-1 0,1 1 0,-2 1 0,3 3 0,13 4 0,7 0 0,31 16 0,-48-23 0,0 1 0,-1-1 0,1 1 0,-1 0 0,1 0 0,-1 0 0,0 0 0,0 1 0,0-1 0,0 0 0,0 1 0,-1 0 0,1-1 0,1 5 0,-2-5 2,-1 0 0,0-1-1,0 1 1,0 0 0,0 0 0,0-1-1,0 1 1,0 0 0,-1-1-1,1 1 1,-1 0 0,1-1 0,-1 1-1,1 0 1,-1-1 0,0 1 0,0-1-1,0 0 1,0 1 0,0-1-1,0 1 1,0-1 0,-1 0 0,0 1-1,-6 5-75,-1 0-1,-17 10 1,6-4-1111,13-7-5641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253"/>
    </inkml:context>
    <inkml:brush xml:id="br0">
      <inkml:brushProperty name="width" value="0.025" units="cm"/>
      <inkml:brushProperty name="height" value="0.025" units="cm"/>
    </inkml:brush>
  </inkml:definitions>
  <inkml:trace contextRef="#ctx0" brushRef="#br0">148 122 24575,'0'-4'0,"0"-11"0,-1 1 0,-2-17 0,3 27 0,-1 1 0,0-1 0,0 1 0,0-1 0,-1 0 0,1 1 0,-1 0 0,0-1 0,0 1 0,0 0 0,0 0 0,0 0 0,-4-3 0,5 5 0,0 0 0,0 1 0,1-1 0,-1 0 0,0 1 0,0-1 0,0 1 0,0-1 0,0 1 0,0 0 0,0 0 0,0-1 0,0 1 0,0 0 0,1 0 0,-1 0 0,0 0 0,0 0 0,0 0 0,0 0 0,0 0 0,0 0 0,-2 1 0,1 0 0,0-1 0,1 1 0,-1 1 0,0-1 0,0 0 0,0 0 0,1 1 0,-1-1 0,0 1 0,-1 2 0,-2 3 0,-1 0 0,2 1 0,-1 0 0,-3 9 0,-2 5 0,1 1 0,-10 44 0,16-57 0,2 0 0,-1 0 0,1 0 0,1 1 0,-1-1 0,2 0 0,-1 0 0,2 0 0,3 17 0,-4-25 0,-1 1 0,1-1 0,0 1 0,0-1 0,0 1 0,0-1 0,1 1 0,-1-1 0,1 0 0,-1 0 0,1 0 0,0 0 0,0 0 0,0 0 0,0 0 0,0-1 0,0 1 0,0-1 0,1 1 0,-1-1 0,1 0 0,-1 0 0,1 0 0,-1 0 0,1 0 0,-1-1 0,1 1 0,0-1 0,-1 0 0,1 0 0,0 0 0,-1 0 0,1 0 0,5-1 0,-1-1 0,0 0 0,0-1 0,0 0 0,0 0 0,0 0 0,-1-1 0,1 0 0,-1 0 0,0-1 0,0 1 0,6-8 0,12-17 0,-22 27 0,-1-1 0,0 1 0,1 0 0,-1 0 0,0-1 0,0 1 0,0 0 0,-1-1 0,1 1 0,-1-1 0,1 1 0,-1-4 0,-11 29 0,10-18 0,0 1 0,1-1 0,-1 1 0,1-1 0,1 0 0,-1 1 0,1-1 0,0 1 0,0-1 0,0 0 0,4 9 0,-5-12 0,1 0 0,0 0 0,0 0 0,0-1 0,0 1 0,0 0 0,0-1 0,0 1 0,1-1 0,-1 1 0,0-1 0,1 0 0,-1 1 0,1-1 0,0 0 0,-1 0 0,1 0 0,0 0 0,0-1 0,0 1 0,-1 0 0,1-1 0,0 1 0,0-1 0,0 0 0,0 1 0,0-1 0,0 0 0,0 0 0,0 0 0,0-1 0,0 1 0,0 0 0,0-1 0,3-1 0,-2 1 0,0-1 0,0 1 0,0-1 0,0 0 0,-1 0 0,1-1 0,-1 1 0,1-1 0,-1 1 0,0-1 0,0 0 0,0 1 0,0-1 0,0 0 0,-1 0 0,1 0 0,-1-1 0,0 1 0,0 0 0,0 0 0,-1-1 0,1 1 0,0-5 0,-1 5 0,0 0 0,1 1 0,-1-1 0,0 0 0,0 0 0,0 0 0,-1 0 0,1 0 0,-1 1 0,0-1 0,1 0 0,-1 1 0,-1-1 0,1 0 0,0 1 0,0-1 0,-1 1 0,0-1 0,1 1 0,-1 0 0,0 0 0,0 0 0,0 0 0,0 0 0,-1 0 0,1 1 0,-5-4 0,6 5 0,-1-1 0,1 1 0,0-1 0,-1 1 0,1 0 0,-1 0 0,1 0 0,0-1 0,-1 1 0,1 0 0,0 1 0,-1-1 0,1 0 0,-1 0 0,1 1 0,0-1 0,-1 0 0,1 1 0,0 0 0,0-1 0,-3 2 0,2 0 0,0 0 0,-1 0 0,1 0 0,1 1 0,-1-1 0,0 0 0,0 1 0,1-1 0,0 1 0,-2 3 0,0 1 0,1 0 0,0 1 0,0-1 0,0 1 0,1-1 0,0 1 0,0 10 0,1-16 0,0 1 0,1 0 0,-1-1 0,1 1 0,-1 0 0,1-1 0,0 1 0,0-1 0,0 1 0,0-1 0,0 1 0,1-1 0,-1 0 0,1 0 0,0 0 0,-1 0 0,1 0 0,0 0 0,4 3 0,-5-4 0,1-1 0,0 1 0,-1 0 0,1-1 0,0 1 0,0-1 0,-1 1 0,1-1 0,0 0 0,0 0 0,-1 0 0,1 0 0,0 0 0,0 0 0,0-1 0,-1 1 0,1 0 0,0-1 0,-1 1 0,1-1 0,0 0 0,-1 0 0,1 0 0,-1 0 0,1 0 0,-1 0 0,1 0 0,-1 0 0,0 0 0,2-2 0,3-4 0,0 0 0,-1 0 0,0-1 0,0 0 0,0 0 0,4-12 0,11-18 0,-20 38 0,1 0 0,-1-1 0,0 1 0,0-1 0,0 1 0,0 0 0,1 0 0,-1-1 0,0 1 0,0 0 0,0-1 0,1 1 0,-1 0 0,0 0 0,1-1 0,-1 1 0,0 0 0,0 0 0,1 0 0,-1 0 0,0-1 0,1 1 0,-1 0 0,0 0 0,1 0 0,-1 0 0,1 0 0,-1 0 0,0 0 0,1 0 0,0 0 0,4 11 0,0 27 0,-4-28 0,-1-7 0,1 1 0,0-1 0,-1 1 0,1-1 0,1 0 0,-1 1 0,0-1 0,1 0 0,3 5 0,-5-7 0,0-1 0,1 1 0,-1-1 0,1 1 0,-1-1 0,1 0 0,-1 1 0,1-1 0,-1 0 0,1 0 0,-1 1 0,1-1 0,-1 0 0,1 0 0,-1 0 0,1 1 0,0-1 0,-1 0 0,1 0 0,-1 0 0,1 0 0,-1 0 0,2 0 0,0-1 0,-1 0 0,0 1 0,1-1 0,-1 0 0,0 0 0,1 0 0,-1 0 0,0 0 0,0 0 0,0 0 0,0 0 0,0 0 0,1-2 0,4-6 0,0-1 0,-1 1 0,-1-1 0,1 0 0,2-12 0,7 112 0,-14-87 0,1 0 0,0-1 0,0 0 0,0 1 0,0-1 0,0 1 0,1-1 0,-1 0 0,1 0 0,-1 0 0,1 0 0,0 0 0,0 0 0,0 0 0,0-1 0,0 1 0,0-1 0,4 3 0,-5-4 0,1 1 0,0-1 0,-1 0 0,1 0 0,0 1 0,0-1 0,-1-1 0,1 1 0,0 0 0,-1 0 0,1-1 0,0 1 0,-1 0 0,1-1 0,0 0 0,-1 1 0,1-1 0,-1 0 0,1 0 0,-1 0 0,0 0 0,1 0 0,-1 0 0,0 0 0,0-1 0,1 1 0,-1 0 0,0-1 0,1-2 0,2-2 0,0 0 0,-1-1 0,0 0 0,-1 1 0,1-1 0,2-12 0,3-9 0,-8 28 0,0 0 0,0-1 0,0 1 0,0-1 0,0 1 0,0 0 0,1-1 0,-1 1 0,0 0 0,0-1 0,0 1 0,0 0 0,1-1 0,-1 1 0,0 0 0,0-1 0,0 1 0,1 0 0,-1 0 0,0-1 0,1 1 0,-1 0 0,0 0 0,1-1 0,-1 1 0,0 0 0,1 0 0,-1 0 0,0 0 0,1 0 0,-1 0 0,0-1 0,1 1 0,-1 0 0,0 0 0,1 0 0,-1 0 0,1 0 0,-1 0 0,0 0 0,1 1 0,0-1 0,12 16 0,6 28 0,-11-10 0,-7-33 0,-1 0 0,0 1 0,0-1 0,0 0 0,0 0 0,0 0 0,0 0 0,0 0 0,0 0 0,0 0 0,-1 0 0,1 0 0,0 0 0,-1 0 0,1 0 0,-1 0 0,1 0 0,-1 0 0,1 0 0,-1 0 0,0 0 0,1 0 0,-1-1 0,0 1 0,0 0 0,1 0 0,-1-1 0,0 1 0,-2 0 0,3-1 0,-1 1 0,1-1 0,0 0 0,-1 0 0,1 0 0,0 0 0,-1 0 0,1 0 0,-1 0 0,1 0 0,0 0 0,-1 0 0,1 0 0,0 0 0,-1 0 0,1 0 0,-1 0 0,1 0 0,0 0 0,-1 0 0,1 0 0,0 0 0,-1-1 0,1 1 0,-1 0 0,1 0 0,0-1 0,0 1 0,-1 0 0,1 0 0,-1-1 0,-1-13 0,2 10 0,1 1 0,0-1 0,-1 1 0,1 0 0,0-1 0,3-4 0,0 2 0,1 0 0,0 0 0,1 0 0,6-5 0,-11 9 0,1 0 0,0 0 0,1 1 0,-1-1 0,0 1 0,0-1 0,1 1 0,-1 0 0,1 0 0,-1 0 0,1 0 0,-1 1 0,1-1 0,-1 0 0,4 1 0,-4 0 0,-1 0 0,0 1 0,0-1 0,0 1 0,0-1 0,0 1 0,0 0 0,0-1 0,0 1 0,0 0 0,0-1 0,0 1 0,-1 0 0,1 0 0,0 0 0,0 0 0,-1 0 0,1 0 0,-1 0 0,1 0 0,-1 0 0,1 0 0,-1 0 0,1 0 0,-1 1 0,0-1 0,0 0 0,0 2 0,2 39 0,-2-29 0,4 12-1365,-1-19-5461</inkml:trace>
  <inkml:trace contextRef="#ctx0" brushRef="#br0" timeOffset="1">719 158 24575,'0'1'0,"0"3"0,0 3 0,0 3 0,0 3 0,3 2 0,0-2-8191</inkml:trace>
  <inkml:trace contextRef="#ctx0" brushRef="#br0" timeOffset="2">846 327 24575,'0'-3'0,"0"-2"0,0 0 0,0 0 0,0 0 0,-1 0 0,-1-5 0,2 9 0,-1 1 0,1-1 0,0 1 0,0-1 0,0 1 0,-1-1 0,1 1 0,0-1 0,-1 1 0,1 0 0,0-1 0,-1 1 0,1-1 0,-1 1 0,1 0 0,0-1 0,-1 1 0,1 0 0,-1-1 0,1 1 0,-2 0 0,1 0 0,0 0 0,0 0 0,0 0 0,1 0 0,-1 0 0,0 0 0,0 1 0,0-1 0,0 0 0,0 1 0,0-1 0,0 0 0,1 1 0,-1-1 0,0 1 0,0 0 0,0 0 0,-2 1 0,1 1 0,0-1 0,0 0 0,0 1 0,0-1 0,0 1 0,1 0 0,-1 0 0,1-1 0,0 1 0,0 0 0,0 0 0,0 0 0,0 0 0,1 0 0,-1 1 0,1-1 0,0 0 0,0 0 0,0 0 0,1 4 0,-1-6 0,0 1 0,1-1 0,-1 1 0,0 0 0,1-1 0,0 1 0,-1-1 0,1 1 0,0-1 0,0 1 0,0-1 0,0 0 0,0 0 0,0 1 0,0-1 0,0 0 0,0 0 0,1 0 0,-1 0 0,0 0 0,1 0 0,-1 0 0,1-1 0,-1 1 0,1-1 0,-1 1 0,1-1 0,0 1 0,-1-1 0,1 0 0,-1 0 0,1 1 0,0-1 0,-1 0 0,1-1 0,0 1 0,-1 0 0,1 0 0,0-1 0,2 0 0,0-1 0,-1 1 0,1-1 0,0 0 0,-1 0 0,0 0 0,1-1 0,-1 1 0,0-1 0,0 0 0,0 0 0,-1 0 0,1 0 0,-1 0 0,1-1 0,-1 1 0,0-1 0,-1 1 0,1-1 0,0 0 0,-1 0 0,0 1 0,1-8 0,2-8 0,-1 0 0,0 1 0,-1-29 0,-2 36 0,0-1 0,-1 0 0,-4-23 0,-1 23 0,1 14 0,-2 21 0,3 4 0,2 2 0,0-1 0,2 0 0,0 0 0,9 45 0,-1-52 0,-8-21 0,1 0 0,-1 1 0,1-1 0,-1 1 0,0-1 0,1 0 0,-1 1 0,1-1 0,-1 0 0,1 0 0,-1 1 0,1-1 0,-1 0 0,1 0 0,-1 0 0,1 0 0,-1 0 0,1 1 0,-1-1 0,1 0 0,-1 0 0,2 0 0,0-1 0,-1 0 0,1 0 0,0 0 0,-1 0 0,1 0 0,0 0 0,-1 0 0,0-1 0,1 1 0,-1 0 0,0-1 0,1 1 0,-1-1 0,0 1 0,0-1 0,1-3 0,5-10 0,-6 12 0,1 0 0,-1 0 0,0 0 0,1 0 0,-1 0 0,1 0 0,0 1 0,0-1 0,0 1 0,0-1 0,3-1 0,-4 4 0,0 0 0,1 0 0,-1 0 0,0 0 0,0 0 0,0 1 0,0-1 0,1 0 0,-1 1 0,0-1 0,0 1 0,0-1 0,0 1 0,0 0 0,1 1 0,9 3 0,-9-5 0,-1 1 0,1-1 0,-1 0 0,1 0 0,0 0 0,-1 0 0,1 0 0,0 0 0,-1 0 0,1-1 0,-1 1 0,1-1 0,-1 1 0,1-1 0,-1 0 0,1 1 0,-1-1 0,1 0 0,-1 0 0,0 0 0,0 0 0,1 0 0,-1 0 0,0 0 0,0-1 0,0 1 0,0 0 0,0 0 0,0-1 0,0-1 0,1 0 0,-1 0 0,0 1 0,0-1 0,-1 0 0,1 1 0,0-1 0,-1 0 0,0 0 0,1 0 0,-1 1 0,0-1 0,-1 0 0,1 0 0,0 0 0,-1 1 0,-1-6 0,2 7 0,0 0 0,-1 1 0,1-1 0,0 0 0,-1 1 0,1-1 0,0 0 0,-1 1 0,1-1 0,-1 1 0,1-1 0,-1 0 0,1 1 0,-1-1 0,1 1 0,-1 0 0,0-1 0,1 1 0,-1-1 0,0 1 0,1 0 0,-1-1 0,0 1 0,0 0 0,1 0 0,-1 0 0,0 0 0,0-1 0,1 1 0,-1 0 0,0 0 0,0 0 0,1 1 0,-1-1 0,0 0 0,0 0 0,1 0 0,-1 1 0,0-1 0,1 0 0,-1 0 0,0 1 0,1-1 0,-1 1 0,0-1 0,1 1 0,-1-1 0,1 1 0,-1 0 0,-3 2 0,1 0 0,0 0 0,0 0 0,0 0 0,0 1 0,1-1 0,-3 6 0,2-4 0,0 1 0,1 0 0,0 0 0,0 0 0,1 0 0,0 1 0,0-1 0,0 0 0,1 0 0,0 12 0,0-16 0,1 1 0,-1-1 0,1 0 0,-1 0 0,1 1 0,0-1 0,-1 0 0,1 0 0,0 0 0,0 0 0,1 0 0,-1 0 0,0 0 0,1 0 0,-1 0 0,1-1 0,0 1 0,-1-1 0,1 1 0,0-1 0,0 0 0,0 1 0,0-1 0,0 0 0,0 0 0,1 0 0,-1-1 0,0 1 0,0-1 0,1 1 0,-1-1 0,3 1 0,-3-1 0,1 0 0,-1 0 0,1 0 0,-1 0 0,1-1 0,-1 1 0,1-1 0,-1 1 0,1-1 0,-1 0 0,1 0 0,-1 0 0,0 0 0,0 0 0,0-1 0,1 1 0,-1-1 0,-1 1 0,1-1 0,3-3 0,1-2 0,-1-1 0,1-1 0,-1 1 0,4-11 0,-6 12 0,0 1 0,0 0 0,0 0 0,1 1 0,-1-1 0,2 1 0,-1 0 0,7-7 0,-10 12 0,-1-1 0,1 0 0,0 1 0,0-1 0,0 1 0,0-1 0,0 1 0,0 0 0,0-1 0,0 1 0,0 0 0,0 0 0,0-1 0,0 1 0,0 0 0,0 0 0,0 0 0,0 0 0,0 1 0,0-1 0,0 0 0,1 0 0,0 1 0,0 0 0,0 0 0,0 1 0,-1-1 0,1 0 0,-1 1 0,1-1 0,-1 1 0,1-1 0,-1 1 0,0 0 0,2 2 0,0 3 0,1 0 0,-1 0 0,-1 1 0,1-1 0,1 12 0,-3 10 0,0-28 0,-1 0 0,0 0 0,0-1 0,0 1 0,0 0 0,0 0 0,0-1 0,0 1 0,0 0 0,-1 0 0,1-1 0,0 1 0,0 0 0,0 0 0,-1-1 0,1 1 0,-1 0 0,1-1 0,0 1 0,-1-1 0,1 1 0,-1 0 0,1-1 0,-1 1 0,0-1 0,1 1 0,-1-1 0,1 0 0,-1 1 0,0-1 0,1 1 0,-1-1 0,-1 0 0,1 0 0,1 0 0,-1-1 0,1 1 0,-1 0 0,0-1 0,1 1 0,-1-1 0,1 1 0,-1-1 0,1 1 0,-1-1 0,1 1 0,-1-1 0,1 0 0,0 1 0,-1-1 0,1 1 0,0-1 0,0 0 0,-1 0 0,1 1 0,0-1 0,0 0 0,0 0 0,-3-22 0,2 20 0,0-8 0,1-1 0,0 1 0,2-16 0,-2 23 0,1 0 0,-1 0 0,1 0 0,1 0 0,-1 0 0,0 0 0,1 0 0,0 0 0,0 0 0,0 1 0,0-1 0,4-4 0,-5 7 11,0 1 0,-1-1-1,1 0 1,0 1 0,0-1-1,-1 1 1,1-1 0,0 1-1,0-1 1,0 1 0,0-1-1,-1 1 1,1 0 0,0 0-1,0-1 1,0 1 0,0 0-1,0 0 1,0 0 0,0 0-1,0 0 1,0 0 0,0 0-1,0 1 1,0-1 0,0 0-1,0 0 1,-1 1 0,1-1-1,0 1 1,1 0 0,1 1-225,0 0 1,-1 0 0,1 0-1,-1 1 1,1-1 0,-1 1-1,3 4 1,5 9-6613</inkml:trace>
  <inkml:trace contextRef="#ctx0" brushRef="#br0" timeOffset="3">1651 263 24575,'3'0'0,"4"0"0,5 0 0,5 0 0,8 0 0,4 0 0,3 0 0,2 0 0,0 3 0,-2 0 0,-4 0 0,-4-1 0,-8-2 0,-6-2-8191</inkml:trace>
  <inkml:trace contextRef="#ctx0" brushRef="#br0" timeOffset="4">1869 221 24575,'-11'-14'0,"11"9"0,9 7 0,-5 0 0,6 3 0,0 0 0,-1 0 0,0 1 0,17 14 0,-25-19 0,0 0 0,1 0 0,-1 0 0,0 1 0,0-1 0,0 0 0,0 1 0,0-1 0,0 1 0,0-1 0,-1 1 0,1 0 0,0-1 0,-1 1 0,0 0 0,1-1 0,-1 1 0,0 0 0,0-1 0,0 1 0,0 0 0,0 0 0,0-1 0,0 1 0,0 0 0,-1-1 0,1 1 0,-1 0 0,0-1 0,1 1 0,-1 0 0,0-1 0,0 1 0,0-1 0,0 0 0,0 1 0,0-1 0,-2 2 0,-3 3-136,1-2-1,-1 1 1,1-1-1,-1 1 1,-1-1-1,1-1 1,-1 0-1,1 0 0,-9 3 1,3-2-6690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258"/>
    </inkml:context>
    <inkml:brush xml:id="br0">
      <inkml:brushProperty name="width" value="0.025" units="cm"/>
      <inkml:brushProperty name="height" value="0.025" units="cm"/>
    </inkml:brush>
  </inkml:definitions>
  <inkml:trace contextRef="#ctx0" brushRef="#br0">155 163 24575,'6'-48'-1769,"-1"13"2559,-5 34-777,1 0-1,-1 0 1,0 1 0,0-1 0,0 0-1,0 0 1,0 1 0,0-1 0,0 0-1,0 0 1,0 0 0,-1 1-1,1-1 1,0 0 0,0 1 0,-1-1-1,1 0 1,-1 0 0,1 1 0,0-1-1,-1 1 1,1-1 0,-1 0 0,0 0-1,0 1 5,0 0 0,0-1 0,0 1-1,0 0 1,1 0 0,-1 0 0,0 0-1,0 0 1,0 1 0,0-1 0,1 0-1,-1 0 1,0 0 0,0 1 0,1-1-1,-1 0 1,0 1 0,-1 0 0,-3 2 51,0 1 1,0-1-1,0 1 1,-7 9-1,4-4-68,1 0 0,-12 20 0,18-26 0,-1 0 0,0 0 0,1 0 0,0 0 0,0 0 0,0 0 0,0 0 0,0 0 0,1 1 0,-1-1 0,1 0 0,0 1 0,0-1 0,0 0 0,1 5 0,0-6 0,0 0 0,0-1 0,1 1 0,-1-1 0,0 1 0,1-1 0,-1 1 0,1-1 0,0 0 0,-1 0 0,1 1 0,0-1 0,0 0 0,0-1 0,-1 1 0,1 0 0,0-1 0,0 1 0,4 0 0,-3 0 0,-1-1 0,1 1 0,0 0 0,0 1 0,-1-1 0,1 0 0,3 3 0,-5-3 0,-1 0 0,1-1 0,-1 1 0,1 0 0,-1 0 0,1-1 0,-1 1 0,0 0 0,1 0 0,-1 0 0,0 0 0,0-1 0,1 1 0,-1 0 0,0 0 0,0 0 0,0 0 0,0 0 0,0 0 0,0 0 0,-1-1 0,1 1 0,0 0 0,0 0 0,-1 0 0,1 0 0,0-1 0,-1 1 0,0 1 0,-1 2 0,0 0 0,0 0 0,-1-1 0,0 1 0,0-1 0,0 1 0,0-1 0,0 0 0,0 0 0,-1 0 0,0-1 0,1 1 0,-1-1 0,0 0 0,0 0 0,-8 2 0,10-3 0,0 0 0,0-1 0,0 1 0,0-1 0,0 0 0,0 0 0,0 0 0,0 0 0,0 0 0,0 0 0,0 0 0,0 0 0,0-1 0,0 1 0,0-1 0,0 0 0,0 0 0,0 1 0,0-1 0,0 0 0,1-1 0,-1 1 0,0 0 0,1 0 0,-1-1 0,1 1 0,-1-1 0,1 1 0,0-1 0,0 0 0,0 1 0,-1-1 0,2 0 0,-1 0 0,0 0 0,0 0 0,0-2 0,-4-23 0,7 22 0,6 17 0,-3 0 0,0-1 0,1 0 0,0 0 0,13 16 0,-16-24 0,-1-1 0,0 1 0,1-1 0,-1 1 0,1-1 0,0 0 0,0 0 0,0 0 0,0-1 0,0 1 0,0-1 0,0 1 0,1-1 0,-1 0 0,0 0 0,1-1 0,-1 1 0,1-1 0,-1 0 0,1 0 0,-1 0 0,4 0 0,3-2 0,-1-1 0,0 1 0,0-1 0,0-1 0,0 0 0,-1 0 0,0-1 0,1 0 0,-2 0 0,1-1 0,13-12 0,-13 10 0,0-1 0,0 0 0,0 0 0,-1-1 0,-1 0 0,0 0 0,0-1 0,-1 0 0,5-12 0,-6 9 0,0-1 0,-1 1 0,-1-1 0,0 0 0,-1-21 0,-4 18 0,3 18 0,0 0 0,0-1 0,-1 1 0,1 0 0,0 0 0,0 0 0,0 0 0,0 0 0,-1 0 0,1 0 0,0 0 0,0-1 0,0 1 0,-1 0 0,1 0 0,0 0 0,0 0 0,0 0 0,0 0 0,-1 0 0,1 0 0,0 0 0,0 0 0,0 0 0,-1 0 0,1 0 0,0 0 0,0 0 0,0 1 0,-1-1 0,1 0 0,0 0 0,0 0 0,0 0 0,0 0 0,-1 0 0,1 0 0,0 1 0,0-1 0,0 0 0,-2 2 0,0 0 0,0 1 0,1-1 0,-1 0 0,1 1 0,0-1 0,-1 1 0,1 0 0,0 2 0,-3 6 0,2 0 0,-1 0 0,2 1 0,-1-1 0,1 0 0,2 22 0,-1-31 0,0 1 0,0-1 0,0 1 0,1-1 0,-1 1 0,1-1 0,0 1 0,0-1 0,0 0 0,0 1 0,0-1 0,0 0 0,1 0 0,-1 0 0,1 0 0,-1 0 0,1 0 0,0 0 0,0 0 0,0-1 0,0 1 0,0-1 0,0 0 0,0 1 0,0-1 0,1 0 0,-1 0 0,0 0 0,1-1 0,-1 1 0,1 0 0,-1-1 0,1 0 0,-1 1 0,1-1 0,4-1 0,-4 1 0,-1 0 0,1-1 0,-1 0 0,1 1 0,-1-1 0,1 0 0,-1 0 0,0 0 0,1-1 0,-1 1 0,0-1 0,0 1 0,0-1 0,0 1 0,0-1 0,0 0 0,-1 0 0,1 0 0,0 0 0,-1-1 0,0 1 0,1 0 0,0-4 0,0 1 0,0 0 0,0 0 0,0 0 0,-1 0 0,0 0 0,0-1 0,0 1 0,-1 0 0,0-1 0,0-6 0,-1 10 0,0 5 0,-2 11 0,0 19 0,3-30-80,0 0 0,0 0-1,0 0 1,1 0 0,-1 0-1,1 0 1,0 0 0,0 0-1,0 0 1,0 0 0,1 0 0,-1-1-1,1 1 1,-1 0 0,1-1-1,2 3 1,4 1-6746</inkml:trace>
  <inkml:trace contextRef="#ctx0" brushRef="#br0" timeOffset="1">452 0 24575,'-1'0'0,"0"0"0,1 3 0,3 0 0,1 3 0,-1-1-8191</inkml:trace>
  <inkml:trace contextRef="#ctx0" brushRef="#br0" timeOffset="2">628 142 24575,'0'-2'0,"1"0"0,-2 0 0,1 0 0,0 0 0,0 0 0,0 0 0,-1 0 0,1 0 0,-1 0 0,0 0 0,0 0 0,1 1 0,-1-1 0,0 0 0,0 1 0,-2-3 0,3 4 0,-1 0 0,1-1 0,-1 1 0,1 0 0,0 0 0,-1-1 0,1 1 0,-1 0 0,1 0 0,-1 0 0,1 0 0,-1 0 0,1-1 0,-1 1 0,1 0 0,-1 0 0,1 0 0,-1 1 0,1-1 0,-1 0 0,1 0 0,-1 0 0,0 0 0,-1 1 0,1 0 0,-1 0 0,1 0 0,-1 0 0,1 1 0,-1-1 0,1 0 0,0 0 0,-2 4 0,-1 1 0,0 0 0,0 0 0,1 1 0,0 0 0,1-1 0,-1 1 0,1 0 0,1 0 0,-1 0 0,0 13 0,2-17 0,0 0 0,0 0 0,0 0 0,1-1 0,-1 1 0,1 0 0,-1 0 0,1-1 0,0 1 0,0 0 0,0-1 0,1 1 0,1 2 0,-2-3 0,0-1 0,1 1 0,-1-1 0,1 0 0,-1 0 0,1 1 0,0-1 0,0 0 0,-1 0 0,1-1 0,0 1 0,0 0 0,0 0 0,0-1 0,0 0 0,0 1 0,0-1 0,0 0 0,0 0 0,3 0 0,-3 0 0,0 0 0,0 0 0,0-1 0,1 1 0,-1-1 0,0 1 0,0-1 0,0 0 0,0 1 0,-1-1 0,1 0 0,0-1 0,0 1 0,0 0 0,-1 0 0,1-1 0,-1 1 0,1-1 0,-1 1 0,1-1 0,-1 0 0,0 0 0,0 1 0,1-4 0,2-4 0,0 1 0,-1-1 0,-1 0 0,3-12 0,1-4 0,-6 27 0,0-1 0,0 1 0,0-1 0,0 1 0,1-1 0,-1 0 0,0 1 0,1-1 0,-1 1 0,1-1 0,0 0 0,-1 1 0,1-1 0,0 0 0,0 0 0,0 1 0,0-1 0,1 1 0,21 20 0,-20-20 0,-1 0 0,1 0 0,0 0 0,0-1 0,0 1 0,0-1 0,0 1 0,0-1 0,1 0 0,-1 0 0,6 0 0,-9-1 0,1 0 0,0 0 0,0 0 0,0 0 0,-1 0 0,1 0 0,0-1 0,0 1 0,-1 0 0,1 0 0,0-1 0,0 1 0,-1 0 0,1-1 0,0 1 0,-1-1 0,1 1 0,-1-1 0,1 1 0,0-2 0,0 1 0,0 0 0,-1-1 0,1 1 0,-1-1 0,1 1 0,-1-1 0,1 1 0,-1-1 0,0 1 0,0-1 0,0 1 0,0-1 0,0 1 0,-1-3 0,1-1 0,-1 0 0,0 0 0,-1 0 0,1 1 0,-1-1 0,0 1 0,0-1 0,-4-5 0,6 9 0,-1 0 0,1 0 0,-1 0 0,0 0 0,1 1 0,-1-1 0,0 0 0,1 1 0,-1-1 0,0 0 0,0 1 0,0-1 0,0 1 0,1-1 0,-1 1 0,0-1 0,0 1 0,0 0 0,0 0 0,0-1 0,0 1 0,0 0 0,0 0 0,0 0 0,0 0 0,0 0 0,0 0 0,0 0 0,0 0 0,0 1 0,0-1 0,0 0 0,0 1 0,0-1 0,0 0 0,0 1 0,0-1 0,1 1 0,-1 0 0,0-1 0,0 1 0,0 0 0,1-1 0,-1 1 0,0 0 0,1 0 0,-2 1 0,-1 2 0,0 0 0,1 0 0,-1 0 0,1 1 0,0-1 0,0 1 0,0-1 0,0 1 0,1 0 0,0-1 0,0 1 0,0 0 0,1 0 0,-1 0 0,2 9 0,-1-12 0,0 1 0,0-1 0,1 0 0,-1 0 0,1 0 0,-1 0 0,1 0 0,0 0 0,0 0 0,0 0 0,0 0 0,0 0 0,0-1 0,0 1 0,1 0 0,-1-1 0,1 1 0,-1-1 0,1 1 0,0-1 0,-1 0 0,1 0 0,0 0 0,0 0 0,0 0 0,0 0 0,0 0 0,0 0 0,0-1 0,0 1 0,0-1 0,0 0 0,0 1 0,1-1 0,-1 0 0,0 0 0,3-1 0,-2 0 0,0 1 0,0-1 0,-1 0 0,1 0 0,0 0 0,-1 0 0,1 0 0,-1-1 0,1 1 0,-1-1 0,0 1 0,1-1 0,-1 0 0,0 0 0,3-4 0,27-41 0,-7 10 0,-23 35 0,-1 0 0,1 0 0,0 1 0,0-1 0,0 0 0,0 1 0,0-1 0,0 1 0,0 0 0,0 0 0,0 0 0,1 0 0,-1 0 0,5-1 0,-6 2 0,0 0 0,1 1 0,-1-1 0,0 0 0,0 0 0,1 1 0,-1-1 0,0 1 0,0-1 0,1 1 0,-1 0 0,0-1 0,0 1 0,0 0 0,0 0 0,0 0 0,0-1 0,0 1 0,0 0 0,-1 0 0,1 1 0,0-1 0,0 0 0,-1 0 0,1 0 0,-1 0 0,1 1 0,-1-1 0,1 3 0,3 5 0,-1 1 0,0 1 0,0-1 0,-1 0 0,0 1 0,-1 0 0,0-1 0,-1 1 0,-1 12 0,1-23 0,0 1 0,0 0 0,-1 0 0,1 0 0,0-1 0,0 1 0,-1 0 0,1 0 0,0 0 0,-1-1 0,1 1 0,-1 0 0,1-1 0,-1 1 0,1 0 0,-1-1 0,1 1 0,-1-1 0,0 1 0,1-1 0,-2 1 0,1-1 0,1 0 0,-1 0 0,1 0 0,-1 0 0,1 0 0,-1-1 0,1 1 0,-1 0 0,1 0 0,-1-1 0,1 1 0,-1 0 0,1-1 0,0 1 0,-1-1 0,1 1 0,-1 0 0,1-1 0,0 1 0,0-1 0,-1 1 0,1-1 0,0 1 0,0-1 0,-1 1 0,1-1 0,0 1 0,0-1 0,0 1 0,0-1 0,0 0 0,0 1 0,0-2 0,-1-6 0,0 0 0,0-1 0,1 1 0,0 0 0,1-1 0,0 1 0,3-16 0,-2 18 0,-1 1 0,1-1 0,0 0 0,0 1 0,1 0 0,-1-1 0,1 1 0,0 0 0,1 0 0,-1 1 0,1-1 0,6-5 0,-10 9 9,1 1-1,0-1 1,0 0-1,0 1 1,0-1-1,0 0 1,0 1 0,0-1-1,0 1 1,1 0-1,-1-1 1,0 1-1,0 0 1,0 0-1,0-1 1,1 1-1,-1 0 1,0 0-1,0 0 1,0 1-1,0-1 1,1 0 0,-1 0-1,0 1 1,0-1-1,0 0 1,0 1-1,0-1 1,0 1-1,0-1 1,0 1-1,0 0 1,0 0-1,0-1 1,0 1-1,0 0 1,0 0 0,-1 0-1,2 1 1,1 2-199,-1 0 0,1 0 1,-1 1-1,0-1 0,0 1 1,0-1-1,0 1 1,0 5-1,1 4-6636</inkml:trace>
  <inkml:trace contextRef="#ctx0" brushRef="#br0" timeOffset="3">1546 29 24575,'-2'-2'0,"-5"-2"0,-6 1 0,-5 6 0,-4 10 0,-3 12 0,4 10 0,2 7 0,4 3 0,6-4 0,6-5 0,8-7 0,7-9 0,7-7 0,5-6 0,4-4 0,1-3 0,-5-1-8191</inkml:trace>
  <inkml:trace contextRef="#ctx0" brushRef="#br0" timeOffset="4">1673 99 24575,'0'27'0,"1"4"0,-2 0 0,-1 0 0,-9 45 0,11-74 0,0-1 0,0 0 0,0 1 0,-1-1 0,1 0 0,0 1 0,-1-1 0,1 0 0,-1 1 0,0-1 0,1 0 0,-1 0 0,0 0 0,0 0 0,0 0 0,1 0 0,-1 0 0,-2 2 0,2-3 0,0 0 0,1 0 0,-1-1 0,0 1 0,1 0 0,-1-1 0,0 1 0,1 0 0,-1-1 0,1 1 0,-1 0 0,1-1 0,-1 1 0,1-1 0,-1 1 0,1-1 0,-1 0 0,1 1 0,0-1 0,-1 1 0,1-1 0,0 0 0,0 1 0,-1-1 0,1 0 0,-3-8 0,0 0 0,0 0 0,1 0 0,-2-12 0,2 4 0,2 1 0,0-1 0,0 1 0,2-1 0,0 1 0,1-1 0,0 1 0,2 0 0,0 1 0,0-1 0,11-20 0,-15 34 0,0 0 0,0 0 0,0 1 0,1-1 0,-1 0 0,0 1 0,1-1 0,-1 1 0,1-1 0,-1 1 0,1 0 0,-1 0 0,1 0 0,0 0 0,0 0 0,0 0 0,0 0 0,-1 0 0,1 1 0,0-1 0,0 1 0,4-1 0,-4 1 0,-1 1 0,1-1 0,0 1 0,0 0 0,-1-1 0,1 1 0,-1 0 0,1 0 0,0 0 0,-1 0 0,0 0 0,1 0 0,-1 1 0,0-1 0,0 0 0,1 1 0,-1-1 0,0 1 0,0-1 0,-1 1 0,1 0 0,0-1 0,0 1 0,-1 0 0,1 2 0,2 7 0,0 0 0,-1 0 0,0 0 0,-1 0 0,0 0 0,0 0 0,-2 11 0,0-16 0,1 0 0,-1-1 0,0 1 0,0-1 0,0 0 0,-1 1 0,0-1 0,0 0 0,0 0 0,-1 0 0,1 0 0,-1 0 0,-1-1 0,1 1 0,-7 6 0,7-10 0,7-8 0,14-10 0,-16 17 0,0-1 0,0 0 0,0 1 0,0 0 0,0-1 0,0 1 0,0 0 0,0 0 0,0 0 0,0 0 0,0 1 0,0-1 0,0 0 0,-1 1 0,1 0 0,0-1 0,0 1 0,0 0 0,0 0 0,-1 0 0,1 0 0,0 0 0,-1 0 0,1 0 0,-1 1 0,1-1 0,-1 1 0,0-1 0,1 1 0,-1-1 0,2 4 0,-2-3 0,0 0 0,0-1 0,0 1 0,0 0 0,0 0 0,0-1 0,-1 1 0,1 0 0,0 0 0,-1 0 0,0 0 0,1 0 0,-1 0 0,0 0 0,0 0 0,0 0 0,0 0 0,-1 0 0,1 0 0,0 0 0,-1 0 0,1 0 0,-1 0 0,0 0 0,0 0 0,0-1 0,0 1 0,0 0 0,0 0 0,0-1 0,-3 3 0,0-1 0,0 0 0,-1-1 0,0 1 0,1-1 0,-1 0 0,0-1 0,0 1 0,0-1 0,0 0 0,-8 1 0,10-2 0,1 1 0,-1-1 0,0 0 0,1 0 0,-1 0 0,0 0 0,0 0 0,1-1 0,-1 1 0,1-1 0,-1 0 0,0 0 0,1 0 0,-1 0 0,1 0 0,0-1 0,-1 1 0,1-1 0,0 1 0,0-1 0,-3-2 0,5 3 0,0 1 0,-1 0 0,1-1 0,0 1 0,0-1 0,0 1 0,0 0 0,0-1 0,0 1 0,-1 0 0,1-1 0,0 1 0,0-1 0,0 1 0,0 0 0,0-1 0,1 1 0,-1-1 0,0 1 0,0 0 0,0-1 0,0 1 0,0 0 0,0-1 0,1 1 0,-1 0 0,0-1 0,0 1 0,1 0 0,-1-1 0,0 1 0,0 0 0,1 0 0,-1-1 0,0 1 0,1 0 0,-1 0 0,0-1 0,1 1 0,-1 0 0,0 0 0,1 0 0,-1 0 0,0 0 0,1 0 0,-1-1 0,1 1 0,-1 0 0,0 0 0,1 0 0,0 1 0,22-4 0,59 6 0,-51 0 0,0-3 0,46-3 0,-73 2 0,0 1 0,0-1 0,0 0 0,0-1 0,0 1 0,-1-1 0,1 1 0,0-1 0,-1 0 0,1 0 0,-1-1 0,0 1 0,0-1 0,0 0 0,4-4 0,-6 5 0,1 0 0,-1 0 0,0 0 0,0-1 0,1 1 0,-1 0 0,-1-1 0,1 1 0,0-1 0,-1 1 0,1-1 0,-1 1 0,0-1 0,1 1 0,-1-1 0,-1 1 0,1-1 0,0 1 0,-1-1 0,1 0 0,-1 1 0,0 0 0,1-1 0,-1 1 0,-2-3 0,3 4 0,0 0 0,-1 1 0,1-1 0,0 0 0,-1 0 0,1 1 0,-1-1 0,1 0 0,-1 1 0,1-1 0,-1 0 0,0 1 0,1-1 0,-1 1 0,0-1 0,0 1 0,1-1 0,-1 1 0,0-1 0,0 1 0,1 0 0,-1 0 0,0-1 0,0 1 0,0 0 0,0 0 0,-1 0 0,1 0 0,-1 1 0,0-1 0,1 1 0,0-1 0,-1 1 0,1 0 0,-1 0 0,1 0 0,0 0 0,-1 0 0,1 0 0,0 0 0,-2 2 0,-1 2 0,0 0 0,1 0 0,-1 1 0,1-1 0,0 1 0,-3 10 0,5-13 0,0 0 0,1 0 0,-1 0 0,1 0 0,0 0 0,0 0 0,0 1 0,1-1 0,-1 0 0,1 0 0,-1 0 0,1 0 0,0 0 0,0 0 0,1 0 0,1 2 0,-3-4 0,1 0 0,-1 0 0,1 0 0,0-1 0,-1 1 0,1 0 0,0-1 0,-1 1 0,1-1 0,0 1 0,0-1 0,0 1 0,0-1 0,0 1 0,0-1 0,-1 0 0,1 1 0,0-1 0,0 0 0,2 0 0,-1 0 0,0 0 0,-1-1 0,1 1 0,0-1 0,0 1 0,-1-1 0,1 0 0,0 1 0,-1-1 0,1 0 0,-1 0 0,1 0 0,-1 0 0,0-1 0,3-1 0,0-4 0,0 1 0,0-1 0,0 0 0,-1-1 0,0 1 0,0-1 0,-1 1 0,3-13 0,-4 16 0,-1 8 0,1 0 0,-1 0 0,1 0 0,0 0 0,0 0 0,0 0 0,1 0 0,-1 0 0,1 0 0,0 0 0,0-1 0,0 1 0,1-1 0,-1 0 0,1 1 0,0-1 0,6 5 0,-8-7 0,0 0 0,1 0 0,-1 0 0,1 0 0,-1 0 0,1 0 0,0 0 0,-1 0 0,1-1 0,0 1 0,-1-1 0,1 0 0,0 1 0,0-1 0,-1 0 0,1 0 0,0 0 0,0 0 0,0 0 0,-1 0 0,1-1 0,0 1 0,0-1 0,-1 1 0,1-1 0,0 1 0,-1-1 0,1 0 0,-1 0 0,1 0 0,-1 0 0,1 0 0,-1 0 0,1 0 0,-1-1 0,0 1 0,0 0 0,0-1 0,0 1 0,0-1 0,0 1 0,0-1 0,0-2 0,3-3 0,-1 1 0,-1-1 0,1 0 0,-1-1 0,1-8 0,7-19 0,-8 37 0,0 1 0,0 0 0,0 0 0,0-1 0,0 1 0,-1 1 0,2 3 0,3 4 0,-2-4 0,-1-1 0,1 1 0,-2 0 0,1 0 0,-1 0 0,3 10 0,-5-16 0,0 0 0,0 0 0,0 0 0,0 0 0,0 0 0,0 0 0,0 0 0,0 0 0,-1 0 0,1 0 0,0 0 0,-1 0 0,1 0 0,0 0 0,-1 0 0,1 0 0,-1-1 0,0 1 0,1 0 0,-1 0 0,0 0 0,-1 0 0,0 0 0,1 0 0,-1 0 0,0-1 0,0 1 0,1-1 0,-1 1 0,0-1 0,0 0 0,0 1 0,0-1 0,1 0 0,-1 0 0,0 0 0,0-1 0,-2 1 0,3 0 0,0 0 0,0 0 0,0 0 0,0 0 0,0-1 0,0 1 0,0 0 0,0 0 0,0-1 0,0 1 0,0 0 0,1-1 0,-1 1 0,0-1 0,0 1 0,0-1 0,0 1 0,1-1 0,-1 0 0,0 1 0,0-1 0,1 0 0,-2-1 0,2 1 0,0 0 0,0 0 0,1 0 0,-1 1 0,0-1 0,0 0 0,0 0 0,1 0 0,-1 0 0,0 1 0,1-1 0,-1 0 0,1 0 0,-1 1 0,1-1 0,-1 0 0,1 1 0,0-1 0,-1 0 0,2 0 0,5-5 0,0 1 0,0-1 0,14-6 0,10-3 0,-22 11 0,0 0 0,-1 0 0,0 0 0,0-1 0,-1-1 0,1 1 0,10-12 0,-22 65 0,2-29 0,1-15 16,0 5-292,0 0-1,1 0 1,0 0 0,1 15 0,1-18-6550</inkml:trace>
  <inkml:trace contextRef="#ctx0" brushRef="#br0" timeOffset="5">2265 114 24575,'0'1'0,"0"3"0,3 1 0,2 2 0,1 1-8191</inkml:trace>
  <inkml:trace contextRef="#ctx0" brushRef="#br0" timeOffset="6">2463 177 24575,'0'-1'0,"-1"0"0,1 0 0,0 0 0,0 0 0,-1 1 0,1-1 0,0 0 0,-1 0 0,1 0 0,-1 1 0,1-1 0,-1 0 0,1 0 0,-1 1 0,1-1 0,-1 0 0,0 1 0,0-1 0,1 1 0,-1-1 0,0 1 0,0-1 0,1 1 0,-1 0 0,0-1 0,0 1 0,0 0 0,0 0 0,0-1 0,0 1 0,1 0 0,-1 0 0,0 0 0,0 0 0,0 0 0,0 0 0,0 1 0,-1-1 0,-1 0 0,-1 1 0,1-1 0,0 1 0,-1 0 0,1-1 0,0 2 0,0-1 0,-1 0 0,-2 2 0,5-2 0,0-1 0,0 1 0,0-1 0,0 1 0,0 0 0,1-1 0,-1 1 0,0 0 0,0-1 0,1 1 0,-1 0 0,0 0 0,1 0 0,-1 0 0,1 0 0,-1 0 0,1 0 0,0-1 0,-1 1 0,1 0 0,0 1 0,0-1 0,-1 0 0,1 0 0,0 0 0,0 0 0,0 0 0,0 0 0,0 0 0,1 0 0,-1 0 0,0 0 0,0 0 0,1 0 0,-1 0 0,1 0 0,-1 0 0,2 1 0,2 3 0,0 0 0,0-1 0,1 1 0,0-1 0,9 6 0,-10-8 0,-1 1 0,1-1 0,-1 1 0,1 0 0,-1 0 0,0 0 0,3 5 0,-5-6 9,-1-1-1,1 0 0,-1 1 1,0-1-1,0 1 0,0-1 1,1 1-1,-1-1 0,0 0 1,-1 1-1,1-1 0,0 1 0,0-1 1,-1 1-1,1-1 0,-1 0 1,1 1-1,-1-1 0,1 0 1,-1 1-1,0-1 0,0 0 1,0 0-1,1 0 0,-1 0 1,0 0-1,0 0 0,-1 0 1,1 0-1,0 0 0,0 0 1,0-1-1,-1 1 0,1 0 1,0-1-1,-1 1 0,1-1 1,0 1-1,-1-1 0,-1 0 1,1 1-70,1 0 0,-1 0 0,0-1 0,0 1 0,0-1 0,0 0 0,0 0 0,0 1 0,0-1 0,0-1 0,0 1 0,0 0 0,0 0 0,0-1 0,0 1 0,0-1 0,0 1 0,0-1 1,0 0-1,0 0 0,0 0 0,1 0 0,-1 0 0,0 0 0,1-1 0,-1 1 0,-2-3 0,0-6-6765</inkml:trace>
  <inkml:trace contextRef="#ctx0" brushRef="#br0" timeOffset="7">2540 22 24575,'0'-1'-37,"0"1"0,1-1-1,-1 1 1,0-1-1,0 1 1,0-1 0,0 1-1,1-1 1,-1 1 0,0-1-1,0 1 1,1-1 0,-1 1-1,0-1 1,1 1 0,-1 0-1,0-1 1,1 1-1,-1 0 1,1-1 0,-1 1-1,1 0 1,-1-1 0,1 1-1,-1 0 1,1 0 0,-1 0-1,1 0 1,-1-1 0,1 1-1,-1 0 1,1 0-1,-1 0 1,1 0 0,-1 0-1,1 0 1,-1 0 0,1 0-1,-1 1 1,1-1 0,-1 0-1,1 0 1,-1 0-1,1 0 1,-1 1 0,1-1-1,0 1 1,25 11 598,-17-5-517,-1 1 0,0-1-1,0 2 1,-1-1 0,0 1-1,-1 0 1,0 0 0,0 1-1,-1-1 1,0 1 0,-1 1-1,0-1 1,0 1 0,1 11-1,-2-11-1,-1 0-1,0 1 0,-1-1 0,0 1 0,-1-1 1,0 1-1,-1 0 0,0-1 0,-1 1 0,0-1 1,-1 0-1,0 0 0,-7 15 0,6-17-132,-1-1 0,0 1 0,0-1 0,-1-1 0,0 1 0,0-1 0,-1 0 0,0 0 0,0-1 0,-1 0 0,0-1 0,0 1 0,0-1 0,-11 4 0,-6 0-6735</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266"/>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0 78,'1'-1,"-1"0,0 1,1-1,-1 0,1 0,-1 1,1-1,-1 0,1 1,-1-1,1 1,-1-1,1 1,0-1,-1 1,1-1,0 1,0 0,-1-1,1 1,0 0,0-1,0 1,-1 0,1 0,0 0,0 0,0 0,0 0,32-1,-27 1,227 5,-181-2,82 7,25 1,-367-19,156 3,1-2,-59-16,15-9,47 14,67 23,1-1,0-2,35 2,82-4,72-12,-197 11,5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267"/>
    </inkml:context>
    <inkml:brush xml:id="br0">
      <inkml:brushProperty name="width" value="0.025" units="cm"/>
      <inkml:brushProperty name="height" value="0.025" units="cm"/>
    </inkml:brush>
  </inkml:definitions>
  <inkml:trace contextRef="#ctx0" brushRef="#br0">0 79 24575,'2'-2'0,"0"1"0,0 0 0,0 0 0,0-1 0,0 1 0,0 0 0,0 0 0,0 1 0,0-1 0,0 0 0,0 1 0,1-1 0,-1 1 0,0 0 0,0 0 0,1 0 0,-1 0 0,2 0 0,9-1 0,156-25 0,121-11 0,-289 37 0,1-1 0,-1 1 0,1 0 0,0 0 0,-1 0 0,1 0 0,-1 0 0,1 0 0,-1 1 0,0-1 0,0 0 0,1 1 0,-1-1 0,1 1 0,-1 0 0,1-1 0,-1 1 0,0 0 0,1 0 0,-1 0 0,0 0 0,0 0 0,0 0 0,0 0 0,2 3 0,-2-1 0,0 0 0,0 0 0,-1-1 0,0 1 0,1 1 0,-1-1 0,0 0 0,0 1 0,-1-1 0,1 0 0,-2 5 0,-37 336 0,17-117 0,2-50 0,4 180 0,17-297 0,-2 78 0,1-137 0,0-1 0,0 1 0,0-1 0,0 1 0,0 0 0,0-1 0,0 1 0,0-1 0,0 1 0,0-1 0,0 1 0,0 0 0,0-1 0,-1 1 0,1-1 0,0 1 0,0-1 0,-1 1 0,1-1 0,0 1 0,-1-1 0,1 1 0,0-1 0,-1 1 0,1-1 0,-1 0 0,1 1 0,-1-1 0,1 0 0,-1 1 0,1-1 0,-1 0 0,1 0 0,-1 0 0,1 1 0,-1-1 0,0 0 0,1 0 0,-1 0 0,1 0 0,-1 0 0,1 0 0,-1 0 0,0 0 0,1 0 0,-1 0 0,1 0 0,-1 0 0,1-1 0,-1 1 0,1 0 0,-1 0 0,0-1 0,0 1 0,-5-4 0,1 0 0,-1 0 0,1 0 0,-5-5 0,-1 0 0,-9-8 0,-1 2 0,-1 1 0,-1 0 0,2 2 0,-3 0 0,0 1 0,0 3 0,-1-1 0,-27-5 0,49 14 92,-7-2 125,10 2-242,0 0 1,0 0 0,-1 0 0,1 0-1,0 0 1,0 0 0,0 0 0,0 0-1,0 0 1,0 0 0,0 0 0,0 0-1,0 0 1,-1 0 0,1 0 0,0 0-1,0 0 1,0-1 0,0 1-1,0 0 1,0 0 0,0 0 0,0 0-1,0 0 1,0 0 0,0 0 0,0 0-1,-1 0 1,1 0 0,0 0 0,0 0-1,0-1 1,0 1 0,0 0 0,0 0-1,0 0 1,0 0 0,0 0 0,0 0-1,0 0 1,0 0 0,0 0 0,0-1-1,0 1 1,0 0 0,0 0 0,0 0-1,0 0 1,0 0 0,0 0 0,0 0-1,0 0 1,1 0 0,-1-1 0,0 1-1,0 0 1,0 0 0,0 0 0,0 0-1,0 0 1,0 0 0,0 0 0,0 0-1,0 0 1,0 0 0,0 0 0,1 0-1,-1 0 1,5-4-6802</inkml:trace>
  <inkml:trace contextRef="#ctx0" brushRef="#br0" timeOffset="1">749 674 24575,'-3'0'0,"-6"-3"0,1 0 0,6 0 0,8 2 0,6-1 0,6 1 0,3 0 0,4 1 0,-1 0 0,-1 0 0,-1 0 0,-6-2 0,-5-1-8191</inkml:trace>
  <inkml:trace contextRef="#ctx0" brushRef="#br0" timeOffset="2">854 577 24575,'-1'0'0,"0"-1"0,0 1 0,0 0 0,0 0 0,0 0 0,0 0 0,1 0 0,-1 0 0,0 1 0,0-1 0,0 0 0,0 0 0,0 1 0,0-1 0,0 0 0,0 1 0,0-1 0,0 1 0,1-1 0,-1 1 0,0-1 0,0 1 0,0 1 0,1-2 0,0 1 0,0 0 0,0 0 0,0 0 0,1-1 0,-1 1 0,0 0 0,0 0 0,1-1 0,-1 1 0,0 0 0,1-1 0,-1 1 0,1 0 0,-1-1 0,1 1 0,-1-1 0,1 1 0,0 0 0,0 0 0,41 27 0,-35-24 0,-1-1 0,0 1 0,0-1 0,-1 1 0,1 0 0,-1 0 0,6 6 0,-10-9 0,-1 0 0,1 0 0,0 0 0,-1 0 0,1 0 0,0 1 0,-1-1 0,0 0 0,1 0 0,-1 1 0,0-1 0,1 0 0,-1 1 0,0-1 0,0 0 0,0 1 0,0-1 0,0 0 0,-1 1 0,1-1 0,0 0 0,-1 1 0,1-1 0,-1 0 0,1 0 0,-1 1 0,1-1 0,-1 0 0,0 0 0,0 0 0,1 0 0,-1 0 0,0 0 0,0 0 0,0 0 0,-2 1 0,-78 68-1365,68-59-5461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270"/>
    </inkml:context>
    <inkml:brush xml:id="br0">
      <inkml:brushProperty name="width" value="0.025" units="cm"/>
      <inkml:brushProperty name="height" value="0.025" units="cm"/>
    </inkml:brush>
  </inkml:definitions>
  <inkml:trace contextRef="#ctx0" brushRef="#br0">149 69 24575,'-19'-23'0,"-8"-8"0,25 29 0,0 1 0,0-1 0,0 1 0,0 0 0,-1-1 0,1 1 0,0 0 0,0 0 0,-1 1 0,1-1 0,-1 0 0,1 1 0,0 0 0,-4-1 0,4 2 0,0-1 0,0 1 0,0-1 0,1 1 0,-1 0 0,0 0 0,1-1 0,-1 1 0,0 1 0,1-1 0,-1 0 0,1 0 0,0 0 0,-1 1 0,1-1 0,0 1 0,0-1 0,0 1 0,0 0 0,0-1 0,0 1 0,0 0 0,1-1 0,-2 3 0,-13 49 0,15-52 0,-5 21 0,1 1 0,-2 45 0,5-62 0,1 1 0,1 0 0,-1 0 0,1 0 0,0-1 0,1 1 0,-1 0 0,1-1 0,1 1 0,-1-1 0,1 0 0,0 0 0,1 0 0,6 9 0,-9-13 0,1 0 0,0 0 0,0 0 0,0 0 0,1 0 0,-1 0 0,0 0 0,1-1 0,-1 0 0,1 1 0,0-1 0,-1 0 0,1 0 0,0 0 0,-1-1 0,1 1 0,0-1 0,0 1 0,0-1 0,0 0 0,-1 0 0,1 0 0,0-1 0,0 1 0,0 0 0,0-1 0,-1 0 0,1 0 0,0 0 0,-1 0 0,6-3 0,-3 1 0,1-1 0,-1 0 0,0 0 0,0-1 0,-1 0 0,1 0 0,-1 0 0,0 0 0,0 0 0,-1-1 0,1 0 0,3-10 0,-2 5 0,-1 1 0,-1-1 0,0 0 0,0 0 0,-1-1 0,-1 1 0,1-20 0,-4 29 0,-1 9 0,-3 11 0,5-13 0,1 1 0,0 0 0,0 0 0,0 0 0,0-1 0,1 1 0,0 0 0,0-1 0,1 1 0,-1 0 0,1-1 0,1 0 0,2 6 0,-4-8 0,1 0 0,0-1 0,0 1 0,0 0 0,0-1 0,0 0 0,1 1 0,-1-1 0,1 0 0,-1 0 0,1-1 0,0 1 0,0 0 0,0-1 0,0 0 0,0 0 0,0 0 0,0 0 0,0 0 0,0 0 0,1-1 0,-1 1 0,0-1 0,6-1 0,-7 1 0,0 0 0,1 0 0,-1 0 0,0-1 0,0 1 0,0-1 0,0 0 0,0 0 0,0 0 0,0 0 0,-1 0 0,1 0 0,0 0 0,0 0 0,-1-1 0,1 1 0,-1 0 0,1-1 0,-1 0 0,0 1 0,1-1 0,0-2 0,0 0 0,-1 1 0,0-1 0,0 0 0,0 1 0,0-1 0,0 0 0,-1 0 0,1 0 0,-1 0 0,0 1 0,-1-8 0,0 5 0,0 0 0,0 1 0,-1-1 0,0 1 0,0 0 0,0 0 0,0-1 0,-4-4 0,4 7 0,1 1 0,-1 0 0,0 0 0,1-1 0,-1 1 0,0 0 0,-1 1 0,1-1 0,0 0 0,0 0 0,-1 1 0,1 0 0,-1-1 0,1 1 0,-5-1 0,4 1 0,1 1 0,0 0 0,0 0 0,-1 0 0,1 0 0,0 0 0,0 0 0,-1 1 0,1-1 0,0 1 0,0-1 0,0 1 0,0 0 0,0 0 0,-1 0 0,2 0 0,-4 3 0,1-2 0,1 1 0,0 0 0,0 0 0,0 1 0,0-1 0,0 0 0,1 1 0,-1 0 0,-1 4 0,2-4 0,0 0 0,1 0 0,-1 0 0,1 0 0,0 0 0,0 1 0,1-1 0,-1 0 0,1 7 0,0-9 0,0 0 0,1 1 0,-1-1 0,1 0 0,-1 0 0,1 0 0,0 0 0,0 1 0,-1-1 0,1 0 0,1 0 0,-1-1 0,0 1 0,0 0 0,1 0 0,-1-1 0,1 1 0,2 1 0,0 0 0,0 0 0,0-1 0,0 1 0,1-1 0,0 0 0,-1-1 0,1 1 0,0-1 0,0 0 0,-1 0 0,1 0 0,0-1 0,0 1 0,0-1 0,0-1 0,0 1 0,0-1 0,0 1 0,0-1 0,0-1 0,5-1 0,-4 1 0,-1-1 0,1 1 0,-1-1 0,0 0 0,0 0 0,0-1 0,-1 1 0,1-1 0,-1 0 0,0 0 0,0-1 0,0 1 0,0-1 0,-1 0 0,0 0 0,0 0 0,3-7 0,0-1 0,-6 13 0,0 0 0,0 0 0,0 0 0,0 0 0,0 0 0,0 0 0,0 0 0,1 0 0,-1 0 0,0 0 0,0 0 0,0 0 0,0 0 0,0-1 0,0 1 0,0 0 0,0 0 0,0 0 0,0 0 0,0 0 0,0 0 0,0 0 0,1 0 0,-1 0 0,0 0 0,0 1 0,0-1 0,0 0 0,0 0 0,0 0 0,0 0 0,0 0 0,0 0 0,0 0 0,0 0 0,0 0 0,0 0 0,0 0 0,1 0 0,-1 0 0,0 0 0,0 0 0,0 0 0,0 0 0,0 0 0,0 0 0,0 1 0,0-1 0,0 0 0,0 0 0,0 0 0,0 0 0,0 0 0,0 0 0,0 0 0,0 0 0,0 0 0,0 0 0,0 0 0,0 0 0,0 0 0,0 1 0,0-1 0,0 0 0,0 0 0,0 0 0,0 0 0,-1 26 0,0-15 0,1-6 0,0 1 0,1-1 0,-1 0 0,1 1 0,0-1 0,0 0 0,1 1 0,0-1 0,4 9 0,-5-13 0,-1 0 0,1 1 0,0-1 0,0 0 0,0 0 0,0 1 0,0-1 0,0 0 0,0 0 0,0 0 0,0 0 0,1 0 0,-1-1 0,0 1 0,1 0 0,-1 0 0,0-1 0,1 1 0,-1-1 0,1 1 0,-1-1 0,1 0 0,-1 0 0,1 0 0,-1 1 0,1-1 0,-1-1 0,1 1 0,-1 0 0,1 0 0,-1 0 0,1-1 0,-1 1 0,1-1 0,-1 1 0,1-1 0,-1 0 0,0 0 0,2-1 0,-1 1 0,0 0 0,0-1 0,0 1 0,-1-1 0,1 1 0,-1-1 0,1 0 0,-1 0 0,1 0 0,-1 0 0,0 0 0,0 0 0,1-4 0,8-32 0,-5 13 0,-2 24 0,-1 7 0,2 21 0,0-8 0,-3-14 0,1 0 0,-1-1 0,1 0 0,0 1 0,1-1 0,-1 0 0,1 0 0,3 4 0,-6-7 0,1 0 0,-1-1 0,1 1 0,0-1 0,-1 1 0,1-1 0,-1 1 0,1-1 0,0 0 0,-1 1 0,1-1 0,0 0 0,0 0 0,-1 1 0,1-1 0,0 0 0,0 0 0,-1 0 0,1 0 0,0 0 0,1 0 0,-1 0 0,0-1 0,0 1 0,0-1 0,0 0 0,0 0 0,0 1 0,0-1 0,0 0 0,0 0 0,0 0 0,0 0 0,-1 0 0,1 0 0,0 0 0,-1 0 0,1 0 0,-1 0 0,1-2 0,8-22 0,-9 21 0,1 0 0,1 0 0,-1 0 0,0 0 0,1 0 0,0 0 0,0 0 0,0 0 0,1 1 0,-1-1 0,6-4 0,-7 7 0,-1 1 0,1 0 0,0-1 0,0 1 0,0 0 0,0 0 0,0 0 0,0 0 0,0 0 0,0 0 0,0 0 0,0 0 0,0 0 0,0 0 0,-1 0 0,1 1 0,0-1 0,0 0 0,0 1 0,0-1 0,0 1 0,-1-1 0,2 1 0,22 16 0,-18-12 0,-3-2 0,0-1 0,1 1 0,-1 0 0,-1 0 0,1 0 0,0 0 0,-1 1 0,1-1 0,-1 1 0,0-1 0,0 1 0,-1 0 0,1 0 0,-1 0 0,0 0 0,0 0 0,1 5 0,-2-7 0,0 1 0,0-1 0,0 1 0,-1-1 0,1 0 0,-1 1 0,1-1 0,-1 1 0,0-1 0,0 0 0,0 0 0,0 1 0,0-1 0,0 0 0,-1 0 0,1 0 0,-1 0 0,0-1 0,1 1 0,-1 0 0,0-1 0,0 1 0,0-1 0,0 0 0,0 1 0,0-1 0,-1 0 0,1 0 0,0 0 0,-4 0 0,6 0 0,-1-1 0,0 0 0,1 1 0,-1-1 0,0 0 0,0 0 0,1 1 0,-1-1 0,0 0 0,0 0 0,0 0 0,1 0 0,-1 0 0,0 0 0,0 0 0,0 0 0,1 0 0,-1-1 0,0 1 0,0 0 0,1 0 0,-1-1 0,0 1 0,0 0 0,1-1 0,-1 1 0,0-1 0,1 1 0,-1-1 0,1 1 0,-1-1 0,1 0 0,-1 1 0,1-1 0,-1 0 0,1 1 0,-1-1 0,1 0 0,0 1 0,-1-1 0,1 0 0,0 0 0,0 1 0,0-1 0,-1-1 0,1-1 0,0 1 0,0-1 0,0 1 0,0-1 0,0 0 0,1 1 0,-1-1 0,1 1 0,0-1 0,0 1 0,0 0 0,0-1 0,1-2 0,4-2 0,0-1 0,0 1 0,1 1 0,0-1 0,0 1 0,1 0 0,-1 1 0,1-1 0,1 2 0,-1-1 0,1 1 0,-1 0 0,1 1 0,0 0 0,17-3 0,-25 6 0,0 0 0,1 0 0,-1 1 0,0-1 0,0 0 0,1 1 0,-1-1 0,0 0 0,0 1 0,0-1 0,0 1 0,1 0 0,-1-1 0,0 1 0,0 0 0,0 0 0,-1 0 0,1 0 0,0-1 0,0 1 0,0 0 0,-1 1 0,1-1 0,0 0 0,-1 0 0,1 0 0,-1 0 0,1 0 0,-1 1 0,0-1 0,1 0 0,-1 0 0,0 1 0,0 1 0,1 7 0,0-1 0,-1 1 0,-1 14 0,0-15 0,1-4 46,0 1-248,-1-1 1,1 1-1,1-1 1,-1 0-1,1 1 1,1 4-1,0-4-6624</inkml:trace>
  <inkml:trace contextRef="#ctx0" brushRef="#br0" timeOffset="1">834 90 24575,'0'2'0,"0"4"0,0 3 0,0 2 0,2 1 0,1 0-8191</inkml:trace>
  <inkml:trace contextRef="#ctx0" brushRef="#br0" timeOffset="2">975 252 24575,'0'-2'0,"0"1"0,-1-1 0,1 0 0,0 0 0,-1 0 0,1 0 0,-1 0 0,1 1 0,-1-1 0,0 0 0,0 1 0,0-1 0,0 0 0,0 1 0,0-1 0,-1 1 0,1 0 0,0-1 0,-1 1 0,1 0 0,-3-2 0,2 2 0,1 1 0,0-1 0,0 1 0,0-1 0,-1 1 0,1 0 0,0 0 0,0-1 0,-1 1 0,1 0 0,0 0 0,0 0 0,-1 0 0,1 0 0,0 1 0,0-1 0,-1 0 0,1 1 0,0-1 0,0 0 0,0 1 0,-1 0 0,1-1 0,0 1 0,0 0 0,0-1 0,0 1 0,0 0 0,0 0 0,0 0 0,1 0 0,-1 0 0,-1 1 0,1 0 0,0 0 0,0-1 0,0 1 0,0 0 0,0 0 0,1 0 0,-1 0 0,1-1 0,-1 1 0,1 0 0,0 0 0,-1 0 0,1 0 0,0 0 0,0 0 0,1 0 0,-1 0 0,0 0 0,1 0 0,-1 0 0,1 0 0,-1 0 0,1 0 0,1 2 0,-1-2 0,0-1 0,0 0 0,0 0 0,-1 1 0,1-1 0,0 0 0,1 0 0,-1 0 0,0 0 0,0 0 0,0 0 0,1-1 0,-1 1 0,0 0 0,1-1 0,-1 1 0,0-1 0,1 1 0,-1-1 0,1 0 0,-1 1 0,1-1 0,-1 0 0,1 0 0,-1 0 0,1 0 0,-1 0 0,1 0 0,-1-1 0,1 1 0,-1 0 0,3-2 0,-2 1 0,0 0 0,0 0 0,-1 0 0,1-1 0,0 1 0,-1-1 0,1 1 0,-1-1 0,0 1 0,1-1 0,-1 0 0,0 0 0,0 0 0,0 1 0,0-1 0,0 0 0,0-3 0,9-39 0,-9 37 0,11-108 0,-13 185 0,1 83 0,0-151 7,3 17 326,-3-18-392,0-1 0,0 1 0,1 0 1,-1-1-1,0 1 0,0-1 0,0 1 0,1-1 1,-1 1-1,0-1 0,1 1 0,-1-1 1,1 1-1,-1-1 0,0 0 0,1 1 0,-1-1 1,1 0-1,-1 1 0,1-1 0,-1 0 0,1 1 1,-1-1-1,1 0 0,0 0 0,-1 0 1,1 0-1,0 1 0,8-3-6767</inkml:trace>
  <inkml:trace contextRef="#ctx0" brushRef="#br0" timeOffset="3">1102 274 24575,'-1'5'0,"1"-5"0,0 1 0,0-1 0,0 1 0,0-1 0,0 0 0,0 1 0,0-1 0,0 1 0,0-1 0,0 0 0,0 1 0,0-1 0,0 1 0,0-1 0,0 0 0,1 1 0,-1-1 0,0 0 0,0 1 0,0-1 0,0 0 0,1 1 0,-1-1 0,0 0 0,1 1 0,-1-1 0,0 0 0,0 0 0,1 1 0,-1-1 0,0 0 0,1 0 0,-1 0 0,0 1 0,1-1 0,-1 0 0,1 0 0,-1 0 0,0 0 0,1 0 0,-1 0 0,1 0 0,-1 0 0,0 0 0,1 0 0,-1 0 0,1 0 0,0 0 0,0 0 0,0 0 0,0-1 0,0 1 0,0 0 0,0 0 0,0-1 0,0 1 0,-1-1 0,1 1 0,0-1 0,0 1 0,0-1 0,0 1 0,-1-1 0,1 0 0,0 1 0,-1-1 0,1 0 0,0 0 0,-1 1 0,1-1 0,-1 0 0,0 0 0,1 0 0,-1 0 0,1 0 0,-1 0 0,0 0 0,0 0 0,0 0 0,1 0 0,-1 0 0,0-1 0,0 0 0,0-1 0,1 1 0,-1-1 0,0 1 0,0-1 0,0 1 0,0-1 0,-1 1 0,1-1 0,-1 1 0,1-1 0,-1 1 0,-1-3 0,1 4 0,1 0 0,-1 1 0,1-1 0,-1 0 0,1 0 0,-1 1 0,0-1 0,1 0 0,-1 1 0,0-1 0,0 1 0,0-1 0,1 1 0,-1-1 0,0 1 0,0-1 0,0 1 0,0 0 0,0 0 0,0-1 0,0 1 0,0 0 0,0 0 0,1 0 0,-1 0 0,0 0 0,0 0 0,0 0 0,0 0 0,0 1 0,0-1 0,0 0 0,0 0 0,0 1 0,0-1 0,0 1 0,1-1 0,-1 1 0,0-1 0,0 1 0,1-1 0,-1 1 0,0 0 0,0-1 0,1 1 0,-1 0 0,0 1 0,-1 0 0,0 1 0,0-1 0,1 1 0,-1 0 0,1 0 0,-1-1 0,1 1 0,0 0 0,0 0 0,1 0 0,-1 0 0,0 0 0,1 0 0,0 4 0,0-4 0,1 0 0,0 0 0,0 0 0,0-1 0,0 1 0,0 0 0,0-1 0,1 1 0,0-1 0,-1 1 0,1-1 0,0 0 0,0 1 0,0-1 0,0 0 0,1-1 0,-1 1 0,0 0 0,1-1 0,3 3 0,-4-3 0,0 0 0,0-1 0,0 1 0,-1 0 0,1-1 0,0 1 0,0-1 0,0 1 0,1-1 0,-1 0 0,0 0 0,0 0 0,0 0 0,0 0 0,0-1 0,0 1 0,0 0 0,0-1 0,0 0 0,0 1 0,0-1 0,-1 0 0,1 0 0,0 0 0,0 0 0,-1 0 0,1-1 0,0 1 0,1-3 0,1-2 0,0 0 0,0 0 0,0 0 0,-1-1 0,0 1 0,3-13 0,-4 12 0,1-1 0,0 1 0,0 0 0,9-13 0,-12 19 0,0 0 0,1 1 0,-1-1 0,1 1 0,-1-1 0,1 1 0,-1-1 0,1 1 0,-1-1 0,1 1 0,0-1 0,-1 1 0,1-1 0,-1 1 0,1 0 0,0 0 0,0-1 0,-1 1 0,1 0 0,0 0 0,-1 0 0,1 0 0,0 0 0,0-1 0,-1 2 0,1-1 0,0 0 0,-1 0 0,1 0 0,0 0 0,0 0 0,-1 0 0,1 1 0,0-1 0,-1 0 0,1 1 0,0-1 0,-1 0 0,1 1 0,-1-1 0,1 1 0,-1-1 0,1 1 0,-1-1 0,1 1 0,-1 0 0,1-1 0,-1 1 0,1 0 0,3 5 0,0 0 0,-1 0 0,6 12 0,-7-14 0,6 13 0,-2-4 0,1 0 0,-2 0 0,0 1 0,0 0 0,-1 0 0,2 23 0,-8-25 0,-3-10 0,4-3 0,0 0 0,0 0 0,0 0 0,0 0 0,1 0 0,-1 0 0,0 0 0,0-1 0,1 1 0,-1 0 0,1 0 0,-1 0 0,1-1 0,-1 0 0,-1-9 0,0 1 0,0-1 0,1 0 0,1 1 0,0-1 0,0 0 0,4-20 0,-3 27 0,-1-1 0,1 0 0,0 1 0,1-1 0,-1 1 0,1 0 0,0-1 0,0 1 0,1 0 0,-1 0 0,1 0 0,0 0 0,0 1 0,0-1 0,0 1 0,0 0 0,1 0 0,0 0 0,0 0 0,5-3 0,-8 5-68,0 1 0,0 0-1,0-1 1,0 1 0,0 0 0,1 0-1,-1-1 1,0 1 0,0 0 0,0 0-1,0 0 1,0 0 0,0 0 0,0 1-1,0-1 1,0 0 0,0 0-1,0 1 1,2 0 0,5 4-6758</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274"/>
    </inkml:context>
    <inkml:brush xml:id="br0">
      <inkml:brushProperty name="width" value="0.025" units="cm"/>
      <inkml:brushProperty name="height" value="0.025" units="cm"/>
    </inkml:brush>
  </inkml:definitions>
  <inkml:trace contextRef="#ctx0" brushRef="#br0">283 163 24575,'1'-40'-7568,"0"20"9841,-1-1 0,-4-30 0,4 49-2234,0 1 1,-1-1-1,1 0 1,0 1-1,-1-1 0,1 1 1,-1 0-1,1-1 1,-1 1-1,0-1 1,0 1-1,1 0 1,-1-1-1,0 1 0,0 0 1,0 0-1,0 0 1,-3-2-1,3 3-29,0-1-1,0 1 0,0 0 1,-1-1-1,1 1 0,0 0 1,0 0-1,0 0 1,0 0-1,0 0 0,0 0 1,0 0-1,0 1 0,0-1 1,0 0-1,-1 0 1,1 1-1,0-1 0,-1 2 1,-4 1-34,1 0 1,0 1-1,0 0 1,0 0 0,1 0-1,-1 0 1,-6 11-1,-1 1 24,2 0 0,0 2 0,1-1 0,0 1 0,-5 19 0,10-25 0,0 0 0,1 1 0,1-1 0,0 0 0,1 2 0,0-2 0,1 1 0,0-1 0,2 15 0,-1-24 0,0 1 0,0 0 0,0-1 0,0 1 0,0-1 0,1 1 0,0-1 0,-1 0 0,1 1 0,0-1 0,1 0 0,-1 0 0,1-1 0,-1 1 0,1 0 0,0-1 0,0 1 0,3 1 0,-1-2 0,-1 0 0,1 0 0,-1 0 0,1 0 0,0-1 0,0 0 0,0 0 0,0 0 0,0-1 0,0 0 0,0 0 0,7 0 0,-5-1 0,-1 0 0,1 0 0,-1 0 0,0-1 0,0 0 0,0 0 0,0-1 0,0 1 0,0-1 0,0-1 0,-1 1 0,1-1 0,-1 0 0,0 0 0,0-1 0,0 1 0,-1-1 0,0 0 0,0 0 0,7-12 0,0-18 0,-10 33 0,-1-1 0,0 1 0,1 0 0,-1 0 0,0-1 0,0 1 0,-1 0 0,1 0 0,0 0 0,-1-1 0,1 1 0,-1 0 0,0-1 0,-1-1 0,2 3 0,0 1 0,-1-1 0,1 1 0,-1 0 0,1-1 0,0 1 0,-1 0 0,1-1 0,-1 1 0,1 0 0,-1 0 0,1-1 0,-1 1 0,1 0 0,-1 0 0,0 0 0,1 0 0,-1 0 0,1 0 0,-1 0 0,1 0 0,-1 0 0,1 0 0,-1 0 0,0 0 0,1 0 0,-1 0 0,1 0 0,-1 1 0,1-1 0,-1 0 0,1 0 0,-1 1 0,1-1 0,-1 0 0,1 0 0,0 1 0,-1-1 0,1 1 0,-1-1 0,1 0 0,0 1 0,-1-1 0,1 2 0,-18 21 0,18-23 0,-3 4 0,1 0 0,-1 0 0,1 1 0,0-1 0,0 1 0,0 0 0,1-1 0,0 1 0,0 0 0,-1 6 0,2-10 0,0 1 0,0 0 0,0 0 0,1-1 0,-1 1 0,1 0 0,-1 0 0,1-1 0,-1 1 0,1 0 0,0-1 0,0 1 0,0-1 0,0 1 0,0-1 0,0 0 0,0 1 0,0-1 0,0 0 0,1 0 0,-1 1 0,1-1 0,-1 0 0,1-1 0,-1 1 0,1 0 0,-1 0 0,1-1 0,0 1 0,0-1 0,2 1 0,-3 0 0,0-1 0,1 0 0,-1 1 0,0-1 0,1 0 0,-1 0 0,0 0 0,1 0 0,-1 0 0,0 0 0,1 0 0,-1-1 0,0 1 0,0 0 0,1-1 0,-1 1 0,0-1 0,0 1 0,0-1 0,1 1 0,-1-1 0,0 0 0,0 0 0,0 0 0,0 0 0,0 1 0,-1-1 0,1 0 0,0-1 0,0 1 0,-1 0 0,2-1 0,-1-1 0,0 0 0,0 0 0,0 0 0,0 0 0,0 0 0,-1-1 0,1 1 0,-1 0 0,0 0 0,0-1 0,-1-5 0,-1 5 0,0 11 0,1 14 0,1-20 0,1 1 0,-1-1 0,1 1 0,0-1 0,-1 1 0,1-1 0,0 0 0,0 1 0,0-1 0,0 0 0,0 0 0,0 0 0,0 1 0,1-1 0,-1 0 0,0-1 0,1 1 0,-1 0 0,1 0 0,-1 0 0,0-1 0,1 1 0,0-1 0,-1 1 0,1-1 0,-1 0 0,1 1 0,-1-1 0,1 0 0,0 0 0,-1 0 0,1 0 0,0-1 0,-1 1 0,1 0 0,2-1 0,-1 0 0,0 0 0,0 0 0,0 0 0,0-1 0,0 1 0,0-1 0,0 1 0,0-1 0,-1 0 0,1 0 0,-1 0 0,1-1 0,-1 1 0,0 0 0,0-1 0,0 0 0,2-4 0,0-2 0,-1-1 0,-1 1 0,1-1 0,-2 0 0,1 0 0,-1-16 0,-5-59 0,4 82 0,0-1 0,-1 1 0,1-1 0,-1 1 0,0-1 0,0 1 0,-3-6 0,4 9 0,0 0 0,0 0 0,0 0 0,0 0 0,0 0 0,0 0 0,0 0 0,0 0 0,0 0 0,0-1 0,0 1 0,-1 0 0,1 0 0,0 0 0,0 0 0,0 0 0,0 0 0,0 0 0,0 0 0,0 0 0,-1 0 0,1 0 0,0 0 0,0 0 0,0 0 0,0 0 0,0 0 0,0 0 0,0 0 0,-1 0 0,1 0 0,0 0 0,0 0 0,0 0 0,0 0 0,0 0 0,0 0 0,0 0 0,-1 0 0,1 0 0,0 0 0,0 0 0,0 0 0,0 1 0,0-1 0,0 0 0,0 0 0,0 0 0,0 0 0,0 0 0,-1 0 0,1 0 0,0 0 0,0 0 0,0 1 0,0-1 0,0 0 0,0 0 0,-4 20 0,0 9 0,2 0 0,1 1 0,1 0 0,2-1 0,1 0 0,8 37 0,-3-48 342,-8-18-367,0 0 1,0 0-1,0 0 1,0-1 0,0 1-1,0 0 1,0 0 0,0-1-1,0 1 1,1 0-1,-1 0 1,0 0 0,0-1-1,0 1 1,0 0-1,0 0 1,0 0 0,1-1-1,-1 1 1,0 0 0,0 0-1,0 0 1,0 0-1,1-1 1,-1 1 0,0 0-1,0 0 1,0 0 0,1 0-1,-1 0 1,0 0-1,0 0 1,1 0 0,-1 0-1,0 0 1,0 0 0,1 0-1,-1 0 1,0 0-1,0 0 1,1 0 0,-1 0-1,0 0 1,0 0-1,0 0 1,1 0 0,-1 0-1,0 0 1,0 0 0,1 1-1,-1-1 1,0 0-1,0 0 1,0 0 0,0 0-1,1 0 1,-1 1 0,0-1-1,0 0 1,0 0-1,0 0 1,0 1 0,1-1-1,-1 0 1,0 0-1,0 0 1,0 1 0,0-1-1,0 0 1,2-8-6802</inkml:trace>
  <inkml:trace contextRef="#ctx0" brushRef="#br0" timeOffset="1">459 219 24575,'0'2'0,"2"2"0,0-1 0,6-1 0,4 0 0,-1-2 0,1-1 0,-2-1-8191</inkml:trace>
  <inkml:trace contextRef="#ctx0" brushRef="#br0" timeOffset="2">552 283 24575,'0'0'0,"0"1"0,1 0 0,-1 0 0,1-1 0,-1 1 0,1 0 0,-1-1 0,1 1 0,-1-1 0,1 1 0,0-1 0,-1 1 0,1-1 0,0 1 0,-1-1 0,1 0 0,0 1 0,0-1 0,-1 0 0,1 0 0,0 1 0,0-1 0,0 0 0,-1 0 0,1 0 0,0 0 0,0 0 0,1 0 0,25-1 0,-24 0 0,1-1 0,-1 1 0,0-1 0,1 0 0,-1 0 0,0 0 0,0 0 0,0-1 0,-1 1 0,1-1 0,0 0 0,-1 0 0,0 0 0,0 0 0,0 0 0,0 0 0,0 0 0,0-1 0,-1 1 0,0-1 0,0 0 0,2-7 0,-3 10 0,0 1 0,0-1 0,0 1 0,0 0 0,0-1 0,0 1 0,0-1 0,0 1 0,0-1 0,0 1 0,0-1 0,-1 1 0,1-1 0,0 1 0,0-1 0,0 1 0,-1-1 0,1 1 0,0 0 0,0-1 0,-1 1 0,1-1 0,0 1 0,-1 0 0,1-1 0,-1 1 0,1 0 0,0 0 0,-1-1 0,1 1 0,-1 0 0,-1 0 0,1 0 0,0 0 0,0 0 0,0 0 0,0 0 0,0 0 0,0 1 0,0-1 0,0 0 0,0 1 0,0-1 0,0 1 0,-2 0 0,-1 2 0,0 0 0,0 0 0,0 0 0,0 0 0,-4 6 0,4-3 0,0-1 0,1 1 0,0-1 0,0 1 0,0 0 0,1 0 0,0 0 0,-2 8 0,3-12 0,1-1 0,0 1 0,0 0 0,-1 0 0,1 0 0,0 0 0,0 0 0,1 0 0,-1-1 0,0 1 0,1 0 0,-1 0 0,1 0 0,-1 0 0,1-1 0,0 1 0,0 0 0,0-1 0,0 1 0,0-1 0,0 1 0,0-1 0,1 1 0,-1-1 0,0 0 0,1 1 0,0-1 0,-1 0 0,1 0 0,-1 0 0,1 0 0,2 0 0,6 2 0,0-1 0,-1 0 0,1 0 0,1-1 0,-1 0 0,0-1 0,0 0 0,0-1 0,0 0 0,0 0 0,0-1 0,0-1 0,0 1 0,-1-2 0,1 1 0,-2-1 0,1-1 0,0 0 0,0 0 0,11-9 0,-17 11 0,1-1 0,-1 1 0,0-1 0,0 0 0,0 0 0,4-9 0,-6 12 0,-1-1 0,1 0 0,0 0 0,0 0 0,-1 0 0,1 1 0,-1-1 0,0 0 0,0 0 0,1 0 0,-1 0 0,0 0 0,-1 0 0,1 0 0,0 0 0,-1 0 0,1 0 0,-1 0 0,0-3 0,0 5 0,1-1 0,0 0 0,-1 1 0,1-1 0,-1 1 0,1-1 0,-1 1 0,1 0 0,-1-1 0,1 1 0,-1 0 0,1-1 0,-1 1 0,0 0 0,1-1 0,-1 1 0,0 0 0,1 0 0,-1 0 0,0 0 0,1-1 0,-1 1 0,0 0 0,1 0 0,-1 0 0,0 1 0,1-1 0,-1 0 0,0 0 0,1 0 0,-1 0 0,1 1 0,-1-1 0,0 0 0,1 0 0,-1 1 0,1-1 0,-1 0 0,0 1 0,1-1 0,-1 1 0,1-1 0,-1 1 0,-21 23 0,19-19 0,0 0 0,0 0 0,1 0 0,0 0 0,0 1 0,0-1 0,-2 9 0,4-12 0,0-1 0,-1 0 0,1 0 0,0 0 0,0 1 0,0-1 0,0 0 0,0 0 0,0 1 0,1-1 0,-1 0 0,0 0 0,1 0 0,-1 0 0,0 1 0,1-1 0,-1 0 0,1 0 0,0 0 0,-1 0 0,1 0 0,0 0 0,0 0 0,0 0 0,0-1 0,-1 1 0,1 0 0,0 0 0,0-1 0,1 1 0,-1 0 0,0-1 0,0 1 0,0-1 0,0 0 0,0 1 0,1-1 0,-1 0 0,0 0 0,2 1 0,-1-1 0,-1 0 0,1 0 0,-1 0 0,1-1 0,-1 1 0,1 0 0,-1-1 0,1 1 0,-1 0 0,1-1 0,-1 0 0,1 1 0,-1-1 0,0 0 0,1 0 0,-1 0 0,0 1 0,0-1 0,0-1 0,0 1 0,2-1 0,11-23 0,-12 22 0,-3 16 0,-1 7 0,-4 153 0,4-75 0,2-96 0,-1 7 0,1 0 0,-1 1 0,-3 11 0,3-20 0,1 1 0,0-1 0,-1 1 0,1-1 0,-1 0 0,1 1 0,-1-1 0,1 0 0,-1 1 0,0-1 0,0 0 0,0 0 0,0 1 0,0-1 0,0 0 0,0 0 0,0 0 0,0 0 0,0-1 0,-1 1 0,1 0 0,0 0 0,0-1 0,-1 1 0,1-1 0,-1 1 0,1-1 0,-1 1 0,-1-1 0,1 0 17,1 0-1,-1-1 0,0 1 0,1-1 1,-1 1-1,1-1 0,0 0 0,-1 0 1,1 1-1,0-1 0,-1 0 0,1 0 1,0 0-1,0 0 0,0 0 0,0-1 1,0 1-1,0 0 0,0 0 0,-2-4 1,-10-28-1724,6 10-5119</inkml:trace>
  <inkml:trace contextRef="#ctx0" brushRef="#br0" timeOffset="3">940 276 24575,'0'0'0,"0"0"0,0 0 0,0 0 0,0-1 0,0 1 0,0 0 0,0 0 0,0 0 0,0 0 0,0 0 0,0 0 0,0-1 0,0 1 0,0 0 0,0 0 0,0 0 0,0 0 0,0 0 0,0-1 0,0 1 0,0 0 0,0 0 0,0 0 0,0 0 0,0 0 0,0 0 0,-1 0 0,1-1 0,0 1 0,0 0 0,0 0 0,0 0 0,0 0 0,0 0 0,0 0 0,0 0 0,-1 0 0,1 0 0,0 0 0,0 0 0,0 0 0,0 0 0,0 0 0,0-1 0,-1 1 0,1 0 0,0 0 0,0 0 0,0 0 0,0 0 0,0 0 0,-1 1 0,-6 5 0,-6 13 0,11-14 0,1-1 0,-1 1 0,1 0 0,0 0 0,0 0 0,1 0 0,-1 0 0,2 9 0,-1-12 0,0-1 0,0 0 0,0 0 0,0 0 0,0 1 0,1-1 0,-1 0 0,0 0 0,1 0 0,-1 0 0,1 0 0,-1 0 0,1 1 0,-1-1 0,1 0 0,0-1 0,0 1 0,0 0 0,-1 0 0,1 0 0,0 0 0,0-1 0,0 1 0,0 0 0,0-1 0,0 1 0,1-1 0,-1 1 0,0-1 0,0 1 0,0-1 0,0 0 0,1 0 0,-1 1 0,0-1 0,0 0 0,0 0 0,1 0 0,-1 0 0,0-1 0,3 1 0,-3-1 0,-1 1 0,1 0 0,0-1 0,0 1 0,0 0 0,0-1 0,-1 1 0,1-1 0,0 1 0,0-1 0,-1 0 0,1 1 0,0-1 0,-1 0 0,1 1 0,-1-1 0,1 0 0,-1 0 0,1 0 0,-1 1 0,0-1 0,1 0 0,-1 0 0,0 0 0,0 0 0,1 0 0,-1 0 0,0 0 0,0 1 0,0-1 0,0 0 0,0 0 0,0 0 0,-1 0 0,1 0 0,0 0 0,-1-1 0,-11-36 0,9 32 0,2 4 0,0-1 0,0 0 0,0 1 0,0-1 0,1 0 0,-1 0 0,1 0 0,0 0 0,0 1 0,0-1 0,0-4 0,1 5 0,-1 1 0,1 0 0,-1 0 0,1 0 0,-1 0 0,1 1 0,0-1 0,0 0 0,-1 0 0,1 0 0,0 0 0,0 1 0,0-1 0,0 0 0,0 1 0,0-1 0,0 1 0,0-1 0,0 1 0,0 0 0,0-1 0,0 1 0,0 0 0,1 0 0,-1 0 0,0-1 0,0 1 0,0 0 0,0 1 0,0-1 0,1 0 0,0 0 0,4 1 0,0 1 0,-1-1 0,1 1 0,-1 0 0,0 0 0,1 1 0,-1-1 0,0 1 0,0 0 0,-1 0 0,1 1 0,-1 0 0,0-1 0,6 8 0,-7-8 0,0 0 0,-1 0 0,0 1 0,1-1 0,-1 1 0,-1-1 0,1 1 0,0 0 0,1 7 0,-3-9 0,1 0 0,-1 0 0,0 1 0,0-1 0,0 0 0,0 1 0,-1-1 0,1 0 0,0 0 0,-1 1 0,0-1 0,1 0 0,-1 0 0,0 0 0,0 0 0,0 0 0,-3 4 0,4-6 0,-1 1 0,1 0 0,0-1 0,-1 1 0,1-1 0,0 1 0,-1-1 0,1 1 0,-1-1 0,1 1 0,-1-1 0,1 1 0,-1-1 0,1 0 0,-1 1 0,1-1 0,-1 0 0,1 1 0,-1-1 0,0 0 0,1 0 0,-1 0 0,1 1 0,-1-1 0,0 0 0,1 0 0,-1 0 0,0 0 0,1 0 0,-1 0 0,0 0 0,1 0 0,-1-1 0,0 1 0,1 0 0,-1 0 0,1 0 0,-1-1 0,0 1 0,1 0 0,-1-1 0,1 1 0,-1 0 0,0-1 0,0-1 0,0 1 0,0-1 0,0 1 0,0-1 0,0 1 0,1-1 0,-1 0 0,1 1 0,-1-1 0,1 0 0,-1 0 0,1 1 0,0-1 0,0 0 0,0-2 0,1-1 0,-1 0 0,2 1 0,-1-1 0,0 1 0,1-1 0,0 1 0,0-1 0,0 1 0,1 0 0,-1 0 0,1 0 0,0 0 0,0 1 0,1-1 0,6-5 0,4-2 0,0 0 0,29-17 0,-43 28 0,0 0 0,0 0 0,0 0 0,0 0 0,0 0 0,1 0 0,-1 0 0,0 0 0,0 0 0,0 0 0,1 0 0,-1 0 0,0 0 0,0 0 0,0 0 0,0 0 0,1 0 0,-1 0 0,0 0 0,0 0 0,0 0 0,0 0 0,1 0 0,-1 0 0,0 0 0,0 2 0,0-2 0,0 0 0,1 0 0,-1 0 0,0 0 0,0 0 0,0 0 0,0 1 0,0-1 0,0 0 0,0 0 0,0 0 0,1 0 0,-1 0 0,0 1 0,0-1 0,0 0 0,0 0 0,0 0 0,0 1 0,0-1 0,0 0 0,0 0 0,0 0 0,0 0 0,0 1 0,0-1 0,0 0 0,0 0 0,0 0 0,0 0 0,-1 1 0,1-1 0,0 0 0,-2 21 0,0-3 0,3-16 0,0 0 0,0-1 0,0 1 0,0-1 0,0 1 0,0-1 0,1 1 0,-1-1 0,1 0 0,-1 0 0,1 0 0,-1 1 0,1-2 0,0 1 0,-1 0 0,1 0 0,0 0 0,0-1 0,0 1 0,-1-1 0,1 0 0,0 1 0,0-1 0,0 0 0,0 0 0,3 0 0,0 0 0,-1 0 0,1 0 0,-1 0 0,1-1 0,-1 0 0,1 1 0,-1-1 0,0-1 0,1 1 0,6-4 0,-9 3 0,0 0 0,0 0 0,0 1 0,-1-1 0,1 0 0,-1 0 0,0-1 0,0 1 0,1 0 0,-1 0 0,0-1 0,-1 1 0,1 0 0,0-5 0,3-32 0,-4 32 0,-3 200 0,4-74 0,-1-113 49,0 0 0,-1-1 0,0 1-1,0 0 1,0 0 0,-3 7 0,4-11-101,-1-1 0,1 0 0,-1 0 1,0 0-1,0 1 0,1-1 1,-1 0-1,0 0 0,0 0 0,0 0 1,0-1-1,0 1 0,0 0 1,-1 0-1,1 0 0,0-1 0,0 1 1,-1-1-1,1 1 0,0-1 1,0 1-1,-1-1 0,1 0 0,-1 0 1,1 0-1,0 0 0,-1 0 1,1 0-1,0 0 0,-1 0 0,1 0 1,-2-1-1,-15-3-6774</inkml:trace>
  <inkml:trace contextRef="#ctx0" brushRef="#br0" timeOffset="4">467 605 24575,'-19'296'0,"11"-195"0,8-99 0,0 1 0,-1-1 0,1 1 0,0-1 0,-1 0 0,0 1 0,1-1 0,-1 1 0,-2 1 0,3-4 0,0 0 0,0 1 0,0-1 0,0 0 0,0 0 0,-1 0 0,1 0 0,0 1 0,0-1 0,0 0 0,0 0 0,-1 0 0,1 0 0,0 0 0,0 0 0,-1 0 0,1 0 0,0 0 0,0 0 0,0 0 0,-1 0 0,1 0 0,0 0 0,0 0 0,-1 0 0,1 0 0,0 0 0,0 0 0,0 0 0,-1 0 0,1 0 0,0 0 0,-1 0 0,-9-13 0,4 2 0,0-1 0,-5-17 0,8 19 0,0 1 0,-1 0 0,0 0 0,-1 0 0,-9-12 0,14 20 0,0 1 0,0 0 0,0 0 0,0 0 0,0 0 0,0 0 0,0 0 0,0 0 0,0 0 0,0-1 0,0 1 0,0 0 0,0 0 0,-1 0 0,1 0 0,0 0 0,0 0 0,0 0 0,0 0 0,0 0 0,0 0 0,0 0 0,0 0 0,-1 0 0,1 0 0,0 0 0,0 0 0,0-1 0,0 1 0,0 0 0,0 0 0,0 0 0,-1 0 0,1 1 0,0-1 0,0 0 0,0 0 0,0 0 0,0 0 0,0 0 0,0 0 0,-1 0 0,1 0 0,0 0 0,0 0 0,0 0 0,0 0 0,0 0 0,0 0 0,0 0 0,0 0 0,0 1 0,0-1 0,-1 0 0,0 10 0,1 10 0,1-17 0,0 0 0,0 0 0,0 0 0,1 0 0,-1 0 0,1 0 0,-1-1 0,1 1 0,0-1 0,0 1 0,0-1 0,1 0 0,-1 1 0,0-1 0,1 0 0,0 0 0,-1-1 0,1 1 0,0-1 0,0 1 0,0-1 0,5 2 0,-6-3 0,0 1 0,1-1 0,-1 0 0,0 0 0,1 0 0,-1 0 0,0 0 0,1 0 0,-1 0 0,0-1 0,1 1 0,-1-1 0,0 0 0,0 0 0,1 0 0,-1 0 0,0 0 0,0 0 0,0 0 0,0-1 0,-1 1 0,1-1 0,0 1 0,0-1 0,-1 0 0,1 0 0,-1 0 0,0 0 0,1 0 0,1-4 0,4-14 304,-6 17-542,0-1-1,0 0 1,1 1-1,-1 0 1,1-1-1,3-5 1</inkml:trace>
  <inkml:trace contextRef="#ctx0" brushRef="#br0" timeOffset="5">1 1389 24575,'0'1'0,"0"-1"0,0 0 0,0 0 0,0 0 0,0 1 0,0-1 0,0 0 0,0 0 0,0 1 0,0-1 0,0 0 0,0 0 0,0 0 0,0 1 0,0-1 0,0 0 0,0 0 0,0 0 0,0 1 0,0-1 0,1 0 0,-1 0 0,0 0 0,0 0 0,0 1 0,0-1 0,1 0 0,-1 0 0,0 0 0,0 0 0,0 0 0,1 0 0,-1 1 0,0-1 0,0 0 0,0 0 0,1 0 0,-1 0 0,0 0 0,1 0 0,10-5 0,9-12 0,-14 9 0,0 1 0,0-1 0,-1-1 0,0 1 0,0-1 0,-1 1 0,0-1 0,-1 0 0,0-1 0,0 1 0,-1 0 0,-1-1 0,1 1 0,-1-1 0,-1 0 0,-1-11 0,1 20 0,0-1 0,0 0 0,0 0 0,-1 1 0,1-1 0,-1 0 0,1 0 0,-1 1 0,0-1 0,0 1 0,0-1 0,0 0 0,0 1 0,0-1 0,0 0 0,0 1 0,0 0 0,-1-1 0,1 1 0,-1 0 0,1 0 0,-3-1 0,3 2 0,0-1 0,0 1 0,-1 0 0,1 0 0,0 0 0,0 0 0,-1 0 0,1 0 0,0 0 0,0 1 0,0-1 0,-1 0 0,1 1 0,0-1 0,0 1 0,0-1 0,0 1 0,-1-1 0,1 1 0,0 0 0,0-1 0,0 1 0,1 0 0,-1 0 0,0 0 0,0 0 0,0 0 0,1 1 0,-1-1 0,0 0 0,1 0 0,-2 2 0,1-1 0,0 0 0,0-1 0,0 1 0,0 0 0,0 0 0,0 0 0,0 0 0,1 0 0,-1 0 0,1 0 0,-1 0 0,1 0 0,0 0 0,0 0 0,0 0 0,0 0 0,0 0 0,0 0 0,1 0 0,-1 0 0,1 0 0,-1 0 0,1 0 0,0 0 0,0 0 0,0 0 0,0 0 0,0-1 0,0 1 0,0 0 0,1-1 0,-1 1 0,2 1 0,5 2 0,0 1 0,0-2 0,1 1 0,0-1 0,0 0 0,10 3 0,23 10 0,-39-15 0,-1-1 0,1 1 0,0 0 0,0 0 0,-1 0 0,1 1 0,-1-1 0,0 0 0,1 1 0,-1 0 0,0-1 0,2 6 0,-3-6 0,-1 0 0,1-1 0,-1 1 0,0 0 0,0-1 0,1 1 0,-1 0 0,-1 0 0,1-1 0,0 1 0,0 0 0,-1-1 0,1 1 0,0 0 0,-1-1 0,0 1 0,1 0 0,-1-1 0,0 1 0,0-1 0,0 1 0,0-1 0,0 0 0,0 1 0,-3 1 0,-1 2 0,0 0 0,0-1 0,-1 1 0,0-1 0,0 0 0,0 0 0,-1-1 0,1 0 0,-1 0 0,-8 2 0,12-4 0,1 0 0,0-1 0,-1 1 0,1-1 0,0 1 0,-1-1 0,1 0 0,0 0 0,-1 0 0,1-1 0,-1 1 0,1 0 0,0-1 0,-1 0 0,1 1 0,0-1 0,0 0 0,0 0 0,0 0 0,0-1 0,0 1 0,0 0 0,0-1 0,0 1 0,0-1 0,1 0 0,-1 1 0,1-1 0,-1 0 0,1 0 0,0 0 0,-1 0 0,1 0 0,0-3 0,-1 2 0,1 0 0,-1 0 0,1 0 0,0-1 0,0 1 0,1-1 0,-1 1 0,1-1 0,0 1 0,0 0 0,0-1 0,0-3 0,0 7 0,0 0 0,0 0 0,0-1 0,0 1 0,1 0 0,-1 0 0,0 0 0,0 0 0,0 0 0,0-1 0,0 1 0,0 0 0,0 0 0,0 0 0,1 0 0,-1 0 0,0-1 0,0 1 0,0 0 0,0 0 0,1 0 0,-1 0 0,0 0 0,0 0 0,0 0 0,0 0 0,1 0 0,-1 0 0,0 0 0,0 0 0,0 0 0,0 0 0,1 0 0,-1 0 0,0 0 0,0 0 0,0 0 0,1 0 0,8 5 0,9 14 0,-15-17 0,2 4 0,1 0 0,0 0 0,1-1 0,-1 0 0,1 0 0,0-1 0,9 5 0,-13-8 0,0 0 0,-1 0 0,1 0 0,0-1 0,-1 1 0,1-1 0,0 1 0,0-1 0,-1 0 0,1 0 0,0-1 0,0 1 0,-1 0 0,1-1 0,0 0 0,-1 1 0,1-1 0,0 0 0,-1 0 0,1-1 0,-1 1 0,0 0 0,1-1 0,-1 0 0,3-2 0,-1 0 0,0-1 0,0 1 0,0-1 0,-1 0 0,0 0 0,0 0 0,0-1 0,-1 1 0,0-1 0,0 1 0,2-8 0,-1 0 0,0 0 0,0-19 0,-3 36 0,0 0 0,1-1 0,-1 1 0,1 0 0,0-1 0,0 1 0,0-1 0,1 1 0,-1-1 0,1 1 0,0-1 0,0 0 0,2 4 0,-3-6 0,-1 0 0,1 0 0,-1 0 0,1 0 0,0 0 0,0 0 0,0 0 0,0 0 0,1-1 0,-1 1 0,0 0 0,0-1 0,0 1 0,0-1 0,1 1 0,-1-1 0,0 1 0,1-1 0,-1 0 0,0 0 0,1 0 0,-1 0 0,0 0 0,1 0 0,-1 0 0,0 0 0,1 0 0,-1 0 0,0-1 0,0 1 0,1-1 0,-1 1 0,0-1 0,0 1 0,1-1 0,-1 0 0,0 0 0,0 1 0,0-1 0,1-1 0,1-1 0,-1 0 0,0 0 0,1 0 0,-1 0 0,-1-1 0,1 1 0,0-1 0,-1 1 0,1-1 0,-1 1 0,0-1 0,0 0 0,-1 1 0,1-1 0,-1 0 0,0 0 0,0 0 0,0 1 0,-1-5 0,0 16 0,2 13 0,0-19 0,0 0 0,0 0 0,0 0 0,0 0 0,1 0 0,-1 0 0,1-1 0,-1 1 0,1 0 0,0-1 0,-1 1 0,1-1 0,0 0 0,0 0 0,0 1 0,0-1 0,1 0 0,-1-1 0,0 1 0,0 0 0,0-1 0,1 1 0,-1-1 0,0 0 0,1 1 0,2-1 0,-3 0 0,1 0 0,-1-1 0,1 1 0,-1 0 0,1-1 0,-1 1 0,1-1 0,-1 0 0,1 0 0,-1 0 0,0 0 0,0 0 0,1 0 0,-1-1 0,0 1 0,0-1 0,0 1 0,0-1 0,-1 0 0,1 0 0,0 0 0,-1 0 0,3-4 0,-1-3 0,0 0 0,0-1 0,-1 0 0,-1 0 0,1 1 0,-2-1 0,1 0 0,-1 0 0,-3-17 0,-5 78 0,4-32 0,0 1 0,1 0 0,0 29 0,5-47 0,3-7 0,5-13 0,-6 11 0,-1 4 0,0-1 0,0 1 0,0-1 0,1 1 0,0 0 0,0 1 0,5-5 0,-8 7 0,1-1 0,-1 1 0,0-1 0,0 1 0,0-1 0,0 1 0,1-1 0,-1 1 0,0 0 0,0 0 0,1 0 0,-1 0 0,0 0 0,2 0 0,-3 0 0,1 0 0,0 1 0,-1-1 0,1 0 0,-1 1 0,1-1 0,-1 1 0,1-1 0,-1 1 0,1-1 0,-1 1 0,1-1 0,-1 1 0,1-1 0,-1 1 0,0-1 0,0 1 0,1 0 0,-1-1 0,0 1 0,0-1 0,1 1 0,-1 0 0,0-1 0,0 1 0,0 0 0,0-1 0,0 2 0,-1 1 0,1-1 0,0 0 0,-1 1 0,0-1 0,0 1 0,1-1 0,-1 0 0,-1 0 0,1 1 0,0-1 0,0 0 0,-1 0 0,1 0 0,-1-1 0,0 1 0,0 0 0,1 0 0,-5 2 0,4-3 0,0 1 0,0-1 0,0 1 0,0-1 0,0 0 0,0 0 0,0 0 0,0 0 0,0-1 0,0 1 0,0 0 0,-1-1 0,1 0 0,0 1 0,0-1 0,-1 0 0,1 0 0,0 0 0,-1-1 0,-3 0 0,6 1-47,-1 0 0,1 0 0,-1-1 0,1 1 0,-1 0 0,1-1 0,0 1 0,-1-1 0,1 1-1,-1-1 1,1 1 0,0-1 0,-1 1 0,1-1 0,0 1 0,0-1 0,-1 1 0,1-1 0,0 1 0,0-1 0,0 1 0,0-1-1,-1 0 1,1 1 0,0-1 0,0 1 0,0-1 0,1-1 0,1-8-6779</inkml:trace>
  <inkml:trace contextRef="#ctx0" brushRef="#br0" timeOffset="6">665 1243 24575,'-1'-2'0,"-1"0"0,1 0 0,0 0 0,-1 0 0,1 0 0,-1 1 0,0-1 0,1 1 0,-1-1 0,0 1 0,0-1 0,0 1 0,0 0 0,0 0 0,0 0 0,-1 0 0,1 1 0,0-1 0,0 0 0,-1 1 0,1-1 0,0 1 0,-1 0 0,1 0 0,0 0 0,-1 0 0,1 0 0,0 1 0,-1-1 0,1 1 0,0-1 0,0 1 0,-1 0 0,1 0 0,0 0 0,0 0 0,0 0 0,0 1 0,0-1 0,0 0 0,1 1 0,-1 0 0,0-1 0,1 1 0,-1 0 0,1 0 0,-1 0 0,1 0 0,-2 3 0,2-1 0,-1-1 0,1 0 0,-1 0 0,1 1 0,0-1 0,1 0 0,-1 1 0,1-1 0,-1 1 0,1-1 0,0 1 0,0-1 0,0 1 0,1-1 0,0 4 0,0-4 0,0 0 0,0-1 0,1 0 0,-1 1 0,1-1 0,-1 0 0,1 1 0,0-1 0,0 0 0,0 0 0,0 0 0,0-1 0,0 1 0,0 0 0,1-1 0,-1 1 0,1-1 0,-1 0 0,5 2 0,5 0 0,0 1 0,1-2 0,-1 1 0,0-2 0,1 0 0,13 0 0,-20-1 0,1 0 0,-1 0 0,1-1 0,-1 0 0,0 0 0,0 0 0,1-1 0,-1 0 0,-1 0 0,1-1 0,-1 0 0,1 0 0,8-6 0,-11 5 0,0 1 0,0-1 0,0 0 0,-1-1 0,1 1 0,-1-1 0,0 1 0,0-1 0,-1 1 0,1-1 0,-1 0 0,0 0 0,0-5 0,-1 6 0,0 1 0,0 0 0,0 0 0,0 0 0,0 0 0,-1 0 0,1 0 0,-1 0 0,0 0 0,-1-3 0,1 5 0,0-1 0,0 1 0,0 0 0,0-1 0,0 1 0,0 0 0,0 0 0,0 0 0,0 0 0,0 0 0,-1 0 0,1 0 0,0 0 0,-1 0 0,1 1 0,-1-1 0,1 0 0,-1 1 0,1-1 0,-2 1 0,1 0 0,0 0 0,0 0 0,0 0 0,0 1 0,0-1 0,0 1 0,0-1 0,0 1 0,0 0 0,0 0 0,0 0 0,1 0 0,-1 0 0,0 0 0,2 0 0,-2 1 0,1-1 0,-1 0 0,1 1 0,0 0 0,-1-1 0,1 1 0,0-1 0,0 1 0,-1 3 0,0-2 0,0 1 0,0-1 0,0 1 0,1 0 0,0 0 0,-1 0 0,1 0 0,0 0 0,1 0 0,-1 0 0,1 6 0,0-9 0,0 1 0,1-1 0,-1 0 0,0 0 0,1 1 0,-1-1 0,1 0 0,0 0 0,-1 0 0,1 1 0,0-1 0,0 0 0,0 0 0,0 0 0,0 0 0,0 0 0,0-1 0,0 1 0,0 0 0,0 0 0,0-1 0,0 1 0,1-1 0,-1 1 0,0-1 0,1 1 0,-1-1 0,0 0 0,1 0 0,-1 1 0,0-1 0,0 0 0,2 0 0,-1-1 0,0 1 0,0 0 0,0 0 0,0-1 0,0 1 0,0-1 0,0 1 0,0-1 0,0 0 0,0 0 0,-1 0 0,1 0 0,0 0 0,-1 0 0,1 0 0,-1-1 0,1 1 0,-1-1 0,1 1 0,-1-1 0,0 1 0,1-3 0,6-28 0,-8 34 0,0 0 0,0 1 0,1-1 0,-1 0 0,0 0 0,1 0 0,0 0 0,-1 0 0,1 0 0,0-1 0,0 1 0,0 0 0,0 0 0,0 0 0,1-1 0,-1 1 0,1-1 0,-1 1 0,1-1 0,-1 1 0,1-1 0,0 0 0,-1 0 0,1 0 0,0 0 0,0 0 0,0 0 0,0-1 0,0 1 0,0 0 0,0-1 0,0 0 0,0 1 0,0-1 0,1 0 0,-1 0 0,0 0 0,0 0 0,0-1 0,0 1 0,0 0 0,0-1 0,0 0 0,0 1 0,0-1 0,0 0 0,0 0 0,0 0 0,-1 0 0,1 0 0,0-1 0,-1 1 0,1 0 0,-1-1 0,1 1 0,-1-1 0,2-2 0,1-2 0,-1-1 0,0 1 0,0-1 0,-1 1 0,0-1 0,0 0 0,0 0 0,-1 0 0,0 0 0,-1 0 0,0-7 0,0-12 0,-7-40 0,4 57 0,1 21 0,0 24 0,2-9 0,2 2 0,1-2 0,12 49 0,-15-76-62,0 1 0,0-1 0,0 1 0,1-1 0,-1 1 0,0-1 0,0 1 0,0-1 0,0 1 0,1-1 0,-1 1 0,0-1-1,1 1 1,-1-1 0,0 1 0,1-1 0,-1 0 0,0 1 0,1-1 0,-1 0 0,1 1 0,1-5-6764</inkml:trace>
  <inkml:trace contextRef="#ctx0" brushRef="#br0" timeOffset="7">890 1229 24575,'0'-3'0,"1"0"0,3-2 0,3-1 0,3-2 0,2 0 0,2 1 0,0 1 0,2 3 0,-2 1-8191</inkml:trace>
  <inkml:trace contextRef="#ctx0" brushRef="#br0" timeOffset="8">1031 1236 24575,'1'0'0,"-1"0"0,0 1 0,0-1 0,0 1 0,0-1 0,0 0 0,0 1 0,0-1 0,1 1 0,-1-1 0,0 0 0,0 1 0,1-1 0,-1 0 0,0 1 0,0-1 0,1 0 0,-1 1 0,0-1 0,1 0 0,-1 0 0,0 1 0,1-1 0,-1 0 0,1 0 0,-1 0 0,0 0 0,1 0 0,-1 1 0,1-1 0,-1 0 0,0 0 0,1 0 0,-1 0 0,1 0 0,-1 0 0,1 0 0,-1 0 0,0 0 0,1-1 0,-1 1 0,1 0 0,-1 0 0,0 0 0,1 0 0,0-1 0,18-9 0,-17 7 0,-1 1 0,0 0 0,1 0 0,-1-1 0,0 1 0,0-1 0,0 1 0,-1-1 0,1 1 0,-1-1 0,1 1 0,-1-1 0,0 0 0,0 1 0,0-1 0,0 0 0,-1-4 0,0 6 0,1 0 0,0 0 0,0 1 0,0-1 0,-1 0 0,1 1 0,-1-1 0,1 0 0,0 1 0,-1-1 0,1 0 0,-1 1 0,1-1 0,-1 1 0,0-1 0,1 0 0,-1 1 0,0 0 0,1-1 0,-1 1 0,0-1 0,-1 1 0,1-1 0,0 1 0,-1 0 0,1 1 0,-1-1 0,1 0 0,0 0 0,-1 0 0,1 1 0,0-1 0,0 1 0,-1-1 0,1 1 0,0-1 0,0 1 0,-1 0 0,1 0 0,0 0 0,-1 1 0,0-1 0,0 0 0,1 0 0,-1 0 0,1 1 0,-1-1 0,1 0 0,-1 2 0,1-2 0,0 1 0,-1 0 0,1-1 0,0 1 0,0 0 0,0 0 0,1 0 0,-1 0 0,0 0 0,1 0 0,-1 0 0,1 0 0,0 0 0,0 0 0,0 0 0,0 0 0,0 0 0,0 0 0,0 0 0,0 0 0,1 0 0,0 2 0,1-1 0,0 0 0,-1-1 0,1 1 0,0-1 0,1 1 0,-1-1 0,0 0 0,1 0 0,-1 0 0,1 0 0,0 0 0,-1-1 0,1 1 0,0-1 0,0 0 0,0 0 0,0 0 0,6 1 0,-1 0 0,0 0 0,0-1 0,0 0 0,-1-1 0,1 0 0,0 0 0,0-1 0,10-1 0,-15 1 0,0 0 0,0 0 0,0 0 0,0 0 0,0 0 0,-1-1 0,1 1 0,-1-1 0,1 0 0,-1 1 0,1-1 0,-1 0 0,0 0 0,0-1 0,0 1 0,0 0 0,0-1 0,-1 1 0,1-1 0,-1 0 0,0 1 0,0-1 0,0 0 0,2-5 0,-2 1 0,0 0 0,0 0 0,0 0 0,-1-12 0,0 17 0,0 0 0,-1 0 0,1 0 0,0 0 0,0 0 0,-1 0 0,1 0 0,-1 1 0,0-1 0,1 0 0,-1 0 0,0 0 0,0 1 0,0-1 0,0 1 0,-1-1 0,1 1 0,0-1 0,-1 1 0,1-1 0,-3 0 0,4 2 0,0 0 0,0-1 0,-1 1 0,1 0 0,0 0 0,-1 0 0,1 0 0,0 0 0,-1 0 0,1 0 0,0 0 0,-1 0 0,1 0 0,0 0 0,0 0 0,-1 0 0,1 0 0,0 0 0,-1 0 0,1 0 0,0 0 0,-1 0 0,1 1 0,0-1 0,0 0 0,-1 0 0,1 0 0,0 1 0,0-1 0,-1 0 0,1 0 0,0 0 0,0 1 0,-6 12 0,4 14 0,2-25 0,0-1 0,0 0 0,0 1 0,-1-1 0,1 0 0,0 0 0,0 1 0,-1 0 0,1-1 0,-1 0 0,1 0 0,-1 0 0,0 0 0,1 0 0,-1 0 0,0 0 0,0 0 0,-1 1 0,-7 13 0,8-14 0,1 0 0,-1-1 0,1 1 0,0 0 0,-1 0 0,1-1 0,0 1 0,0 0 0,0 0 0,-1 0 0,1-1 0,0 1 0,0 0 0,0 0 0,0 0 0,0-1 0,1 1 0,-1 0 0,0 0 0,0 0 0,0-1 0,1 1 0,-1 0 0,0 0 0,1-1 0,-1 1 0,1 0 0,-1-1 0,1 1 0,-1 0 0,1-1 0,-1 1 0,1-1 0,0 1 0,-1-1 0,1 1 0,0-1 0,-1 1 0,1-1 0,0 0 0,0 0 0,0 1 0,-1-1 0,1 0 0,1 0 0,0 1 0,0-1 0,0 0 0,0 0 0,0-1 0,0 1 0,0 0 0,0-1 0,-1 1 0,1-1 0,0 1 0,0-1 0,0 0 0,0 0 0,-1 0 0,1 0 0,-1 0 0,1 0 0,0 0 0,0-2 0,1-1 0,0 0 0,-1 0 0,0 0 0,0 0 0,0-1 0,0 1 0,-1-1 0,0 1 0,0-1 0,1-6 0,-2 12 0,-1 29 0,3 27 0,2 0 0,15 64 0,3 47 0,-22-164 0,0-1 0,1 1 0,-2 0 0,1-1 0,0 1 0,-1-1 0,1 1 0,-1-1 0,1 1 0,-1-1 0,-3 6 0,3-8 0,1-1 0,-1 2 0,1-2 0,-1 1 0,1-1 0,-1 1 0,1 0 0,-1-1 0,0 0 0,1 1 0,-1-1 0,0 1 0,1-1 0,-1 0 0,0 0 0,0 1 0,1-1 0,-1 0 0,0 0 0,0 0 0,-1 0 0,0 0 0,1 0 0,-1-1 0,0 1 0,0-1 0,0 1 0,0-1 0,1 0 0,-1 0 0,0 0 0,1-1 0,-1 1 0,-2-2 0,0-1 31,-1 0 0,1 0 0,0-1 0,1 1 0,-1-1 0,1 0 0,0 0 0,0 0 1,0 0-1,-3-11 0,1-1-600,0 0 0,-2-23 0,1-3-6257</inkml:trace>
  <inkml:trace contextRef="#ctx0" brushRef="#br0" timeOffset="9">1320 1215 24575,'0'-4'0,"0"0"0,0 1 0,-1-1 0,0 0 0,0 1 0,-1-6 0,2 9 0,0 0 0,0-1 0,-1 1 0,1 0 0,0-1 0,0 1 0,0 0 0,0-1 0,-1 1 0,1 0 0,0 0 0,0-1 0,0 1 0,-1 0 0,1 0 0,0 0 0,-1-1 0,1 1 0,0 0 0,0 0 0,-1 0 0,1 0 0,0-1 0,-1 1 0,1 0 0,0 0 0,-1 0 0,0 0 0,0 1 0,0-1 0,1 1 0,-1-1 0,0 1 0,1-1 0,-1 1 0,1 0 0,-1-1 0,1 1 0,-1 0 0,1-1 0,-1 1 0,1 1 0,-1-1 0,1-1 0,0 2 0,-2 3 0,0-1 0,1 1 0,-1-1 0,1 1 0,1-1 0,-1 1 0,1 0 0,-1-1 0,1 1 0,1 0 0,0 6 0,-1-9 0,1 0 0,-1 0 0,0 0 0,1 0 0,0 0 0,-1 0 0,1 0 0,0-1 0,0 1 0,0 0 0,1 0 0,-1-1 0,0 1 0,0 0 0,1-1 0,-1 1 0,1-1 0,0 0 0,-1 0 0,1 1 0,0-1 0,0 0 0,0 0 0,0-1 0,0 1 0,0 0 0,3 0 0,-4-1 0,-1 0 0,1 1 0,0-1 0,-1 0 0,1 0 0,-1 0 0,1 0 0,0-1 0,-1 1 0,1 0 0,0 0 0,-1 0 0,1 0 0,-1-1 0,1 1 0,-1 0 0,1 0 0,-1-1 0,1 1 0,-1 0 0,1-1 0,-1 1 0,1-1 0,-1 1 0,1-1 0,-1 1 0,1-1 0,4-19 0,-9-25 0,3 42 0,1 1 0,-3-31 0,6 26 0,7 20 0,16 40 0,-25-50 0,1 0 0,-1 1 0,0-1 0,0 0 0,0 1 0,0-1 0,-1 1 0,0 0 0,1-1 0,-1 1 0,-1-1 0,1 1 0,0-1 0,-2 5 0,2-8 0,0 0 0,0 1 0,0-1 0,0 0 0,0 0 0,0 1 0,0-1 0,0 0 0,0 0 0,0 1 0,-1-1 0,1 0 0,0 0 0,0 0 0,0 1 0,0-1 0,0 0 0,-1 0 0,1 0 0,0 1 0,0-1 0,0 0 0,-1 0 0,1 0 0,0 0 0,0 0 0,-1 0 0,1 1 0,0-1 0,0 0 0,-1 0 0,1 0 0,0 0 0,0 0 0,-1 0 0,1 0 0,0 0 0,0 0 0,-1 0 0,1 0 0,0 0 0,-1 0 0,-5-12 0,-1-17 0,7 26 0,1 0 0,-1 0 0,1 0 0,0 0 0,0 0 0,0 0 0,0 0 0,0 0 0,1 0 0,-1 0 0,1 0 0,0 1 0,0-1 0,0 1 0,0-1 0,3-1 0,2-2 0,1-1 0,0 2 0,16-11 0,-24 16 0,1 0 0,-1 0 0,0 0 0,0 0 0,1 0 0,-1 0 0,0 0 0,0 0 0,1 0 0,-1 0 0,0 0 0,0 0 0,1 0 0,-1 0 0,0 0 0,0 0 0,1 0 0,-1 0 0,0 0 0,0 0 0,1 0 0,-1 0 0,0 1 0,0-1 0,0 0 0,1 0 0,-1 0 0,0 0 0,0 1 0,0-1 0,0 0 0,1 0 0,-1 0 0,0 1 0,0-1 0,0 0 0,0 0 0,0 0 0,0 1 0,0-1 0,0 0 0,0 0 0,1 2 0,-1-2 0,0 0 0,0 0 0,0 1 0,0-1 0,0 0 0,-1 0 0,1 1 0,0-1 0,0 0 0,0 25 0,0-6 0,0-18 0,0 0 0,0-1 0,0 1 0,0 0 0,0-1 0,0 1 0,1 0 0,-1-1 0,0 1 0,0 0 0,1-1 0,-1 1 0,0 0 0,1-1 0,-1 1 0,1-1 0,-1 1 0,1 0 0,-1-1 0,1 1 0,-1-1 0,1 0 0,-1 1 0,1-1 0,0 1 0,-1-1 0,1 0 0,-1 0 0,1 1 0,0-1 0,0 0 0,-1 0 0,1 0 0,0 1 0,-1-1 0,1 0 0,0 0 0,0 0 0,-1 0 0,1-1 0,0 1 0,-1 0 0,1 0 0,0 0 0,0-1 0,-1 1 0,1 0 0,-1 0 0,1-1 0,0 1 0,-1-1 0,1 1 0,-1 0 0,1-1 0,0 0 0,2-2 0,0 1 0,0-1 0,0 0 0,-1 0 0,1-1 0,-1 1 0,0 0 0,3-7 0,-4 7 0,7-17 0,-8 20 0,0 1 0,0-1 0,0 0 0,0 0 0,0 0 0,1 0 0,-1 1 0,0-1 0,0 0 0,0 0 0,0 0 0,0 0 0,0 0 0,0 1 0,1-1 0,-1 0 0,0 0 0,0 0 0,0 0 0,0 0 0,0 0 0,1 0 0,-1 0 0,0 0 0,0 0 0,0 0 0,0 0 0,1 0 0,-1 1 0,0-1 0,0 0 0,0 0 0,1-1 0,-1 1 0,0 0 0,0 0 0,0 0 0,0 0 0,1 0 0,-1 0 0,0 0 0,0 0 0,0 0 0,0 0 0,0 0 0,1 0 0,-1 0 0,0-1 0,0 1 0,0 0 0,0 0 0,2 25 0,-2 0 0,-4 41 0,0-11 0,4 24 0,-3 40 0,3-117 15,0 0 0,0 0 0,-1 0 0,1-1-1,0 1 1,-1 0 0,1 0 0,-1-1 0,1 1 0,-1 0-1,0-1 1,0 1 0,0-1 0,0 1 0,0-1 0,0 1 0,0-1-1,0 0 1,0 1 0,-1-1 0,1 0 0,-3 2 0,1-3-110,1 1 0,0-1 0,0 0 0,0 0 1,-1 1-1,1-2 0,0 1 0,0 0 0,-1 0 0,1-1 1,0 1-1,0-1 0,0 0 0,0 1 0,0-1 1,0 0-1,-3-2 0,-23-13-6731</inkml:trace>
  <inkml:trace contextRef="#ctx0" brushRef="#br0" timeOffset="10">424 1592 24575,'0'-13'-7892,"-1"16"9019,0 12 2607,0-4-5007,5 273 4729,0-165-2608,-3-113-848,-1 0 0,-1 1 0,1-1 0,-3 8 0,3-14 0,0 1 0,0-1 0,0 1 0,-1 0 0,1-1 0,0 1 0,0-1 0,-1 1 0,1-1 0,0 1 0,-1-1 0,1 1 0,0-1 0,-1 0 0,1 1 0,-1-1 0,1 1 0,-1-1 0,1 0 0,-1 1 0,0-1 0,0 0 0,0 0 0,0 0 0,0 0 0,1 0 0,-1-1 0,0 1 0,0 0 0,1 0 0,-1-1 0,0 1 0,0-1 0,1 1 0,-1-1 0,0 1 0,1-1 0,-1 1 0,1-1 0,-1 0 0,1 1 0,-1-1 0,0 0 0,-23-38 0,20 32 0,1 1 0,-1-1 0,-1 1 0,1 0 0,-8-8 0,12 14 0,0 0 0,0 0 0,-1-1 0,1 1 0,0 0 0,0 0 0,0 0 0,-1-1 0,1 1 0,0 0 0,0 0 0,0 0 0,-1 0 0,1-1 0,0 1 0,0 0 0,-1 0 0,1 0 0,0 0 0,-1 0 0,1 0 0,0 0 0,0 0 0,-1 0 0,1 0 0,0 0 0,-1 0 0,1 0 0,0 0 0,0 0 0,-1 0 0,1 0 0,0 0 0,0 1 0,-1-1 0,1 0 0,0 0 0,0 0 0,-1 0 0,1 0 0,0 1 0,0-1 0,-1 0 0,1 0 0,0 0 0,0 1 0,0-1 0,0 0 0,0 0 0,-1 1 0,1-1 0,0 0 0,0 0 0,0 1 0,0-1 0,0 0 0,0 1 0,0-1 0,0 0 0,0 0 0,0 1 0,0-1 0,0 0 0,0 1 0,0-1 0,2 21 0,0-18 0,0 0 0,0 0 0,0 0 0,1 0 0,-1-1 0,1 1 0,-1-1 0,1 0 0,0 0 0,0 0 0,0 0 0,0 0 0,0-1 0,0 1 0,1-1 0,-1 0 0,0 0 0,1 0 0,-1 0 0,1-1 0,-1 1 0,1-1 0,-1 0 0,1 0 0,-1 0 0,5-1 0,-4 1 0,0-1 0,0 1 0,0-1 0,0 0 0,-1 0 0,1 0 0,0-1 0,-1 1 0,1-1 0,0 0 0,-1 0 0,0 0 0,1 0 0,-1 0 0,0-1 0,0 0 0,-1 1 0,1-1 0,0 0 0,-1 0 0,0-1 0,0 1 0,3-5 0,-5 6-80,1 1 0,0-1-1,-1 1 1,1-1 0,-1 1-1,1-1 1,-1 1 0,0-1-1,0 1 1,0-1 0,0 0 0,0 1-1,0-1 1,0 1 0,-1-1-1,0-2 1</inkml:trace>
  <inkml:trace contextRef="#ctx0" brushRef="#br0" timeOffset="11">268 2363 24575,'1'-12'-10424,"-1"0"10209,1 9 3775,0 16-2380,11 132 613,8 158 2313,-19-294-4106,-1-6 0,0 0 0,1 0 0,-1 0 0,0 0 0,-1 0 0,1 0 0,-1 0 0,1 0 0,-1 0 0,0 0 0,-1 3 0,1-6 0,1 1 0,0-1 0,0 0 0,0 0 0,0 0 0,0 0 0,0 0 0,0 0 0,0 0 0,-1 0 0,1 0 0,0 0 0,0 1 0,0-1 0,0 0 0,0 0 0,0 0 0,-1 0 0,1 0 0,0 0 0,0 0 0,0 0 0,0 0 0,0 0 0,0 0 0,-1 0 0,1 0 0,0 0 0,0 0 0,0 0 0,0 0 0,0-1 0,0 1 0,-1 0 0,1 0 0,0 0 0,0 0 0,0 0 0,0 0 0,0 0 0,0 0 0,0 0 0,-1 0 0,1-1 0,0 1 0,0 0 0,0 0 0,0 0 0,0 0 0,0 0 0,-6-12 0,-2-13 0,-1-33 0,3 0 0,3-115 0,3 161 0,0 5 0,0-8 0,0 1 0,1-1 0,1 1 0,3-17 0,-4 28 0,0 1 0,-1-1 0,1 1 0,0-1 0,0 1 0,0 0 0,0-1 0,1 1 0,-1 0 0,0 0 0,1 0 0,0 0 0,0 0 0,-1 0 0,1 0 0,0 1 0,0-1 0,1 1 0,-1-1 0,0 1 0,0 0 0,1 0 0,-1 0 0,1 0 0,-1 0 0,1 0 0,-1 1 0,1-1 0,-1 1 0,4 0 0,-3 0 0,0 0 0,1 1 0,-1-1 0,0 1 0,0 0 0,0 0 0,0 0 0,0 0 0,-1 0 0,1 1 0,0-1 0,0 1 0,-1 0 0,1 0 0,-1 0 0,0 0 0,0 0 0,1 0 0,-1 1 0,-1-1 0,1 1 0,0 0 0,-1-1 0,1 1 0,-1 0 0,0 0 0,0 0 0,0 0 0,1 6 0,0-3 0,-1 1 0,0 0 0,0 0 0,-1 0 0,0 0 0,0 0 0,0 0 0,-1-1 0,0 1 0,-1 0 0,1 0 0,-5 10 0,2-10 0,0 0 0,0 0 0,0-1 0,-1 1 0,-9 8 0,12-12 0,0-1 0,-1 0 0,1 0 0,0 0 0,-1 0 0,0 0 0,1-1 0,-1 1 0,0-1 0,0 0 0,0 0 0,1 0 0,-1 0 0,-1 0 0,1-1 0,0 1 0,-4-1 0,6 0-30,0 0 0,0 0-1,1 0 1,-1 0 0,0-1-1,1 1 1,-1 0 0,0 0-1,1-1 1,-1 1 0,0 0-1,1-1 1,-1 1 0,1-1-1,-1 1 1,1-1-1,-1 1 1,1-1 0,-1 1-1,1-1 1,-1 1 0,1-1-1,0 0 1,-1 1 0,1-1-1,0 0 1,0 1 0,-1-1-1,1 0 1,0 1 0,0-1-1,0 0 1,0 1 0,0-1-1,0 0 1,0 0 0,0 1-1,0-1 1,0 0 0,1 1-1,-1-1 1,0 0 0,0 1-1,1-2 1,3-10-6796</inkml:trace>
  <inkml:trace contextRef="#ctx0" brushRef="#br0" timeOffset="12">438 2419 24575,'0'0'0,"0"-1"0,0 0 0,-1 0 0,1 1 0,0-1 0,0 0 0,0 0 0,0 1 0,0-1 0,1 0 0,-1 1 0,0-1 0,0 0 0,0 0 0,1 1 0,-1-1 0,0 0 0,1 1 0,-1-1 0,0 0 0,1 1 0,-1-1 0,1 1 0,-1-1 0,1 1 0,-1-1 0,1 1 0,-1-1 0,1 1 0,0-1 0,-1 1 0,1 0 0,0-1 0,-1 1 0,1 0 0,0 0 0,0 0 0,-1-1 0,1 1 0,0 0 0,-1 0 0,1 0 0,0 0 0,0 0 0,-1 0 0,1 0 0,0 1 0,0-1 0,-1 0 0,1 0 0,0 0 0,-1 1 0,1-1 0,0 1 0,4 1 0,-1 0 0,0 0 0,0 1 0,0-1 0,0 1 0,-1 0 0,6 5 0,-2 0 0,0 1 0,0 1 0,-1-1 0,0 1 0,0 0 0,3 12 0,-6-15 0,-1-1 0,0 0 0,0 0 0,0 1 0,-1 0 0,0-1 0,0 1 0,-1-1 0,0 1 0,0 0 0,-3 12 0,3-18 0,0 1 0,-1 0 0,0 0 0,1-1 0,-1 1 0,0 0 0,0-1 0,0 1 0,0-1 0,-2 4 0,3-5 0,-1 1 0,1-1 0,-1 1 0,1-1 0,-1 0 0,1 0 0,-1 1 0,1-1 0,-1 0 0,1 0 0,-1 0 0,1 1 0,-1-1 0,1 0 0,-1 0 0,1 0 0,-1 0 0,0 0 0,1 0 0,-1 0 0,1 0 0,-1 0 0,0-1 0,-1 0 0,1 1 0,-1-1 0,1 0 0,0-1 0,-1 1 0,1-1 0,0 1 0,0-1 0,0 1 0,0 0 0,0-1 0,0 1 0,0-1 0,0 1 0,1-1 0,-1 0 0,0 1 0,1-1 0,0 0 0,-1-1 0,-1-7 38,1 0 0,-1 0 0,2 0 0,0 0 0,0 0 0,1-1 0,0 1 0,4-14 0,-5 21-102,1-1 1,0 1 0,0-1 0,1 1 0,-1-1-1,1 1 1,0 0 0,-1 0 0,1 0 0,1 0-1,-1 0 1,0 0 0,1 0 0,-1 1-1,1-1 1,0 1 0,0 0 0,0 0 0,0 0-1,0 0 1,1 1 0,-1-1 0,0 1 0,1 0-1,-1 0 1,6-1 0,8 0-6763</inkml:trace>
  <inkml:trace contextRef="#ctx0" brushRef="#br0" timeOffset="13">707 2433 24575,'0'-1'0,"0"0"0,0 0 0,0 0 0,0 0 0,-1 0 0,1 0 0,0 0 0,-1 0 0,1 0 0,-1 0 0,1 0 0,-1 0 0,1 0 0,-1 0 0,0 0 0,1 1 0,-1-1 0,0 0 0,0 0 0,1 1 0,-3-2 0,3 2 0,-1 0 0,1-1 0,-1 1 0,0 0 0,1 0 0,-1 0 0,1 0 0,-1 0 0,1 0 0,-1 0 0,1 0 0,-1 0 0,1 0 0,-1 0 0,1 0 0,-1 0 0,0 0 0,1 0 0,-1 1 0,1-1 0,-1 0 0,1 0 0,0 1 0,-1-1 0,1 0 0,-1 1 0,1-1 0,-1 0 0,1 1 0,0-1 0,-1 0 0,1 1 0,0-1 0,-1 1 0,1-1 0,0 1 0,0-1 0,0 1 0,-1-1 0,1 1 0,0-1 0,0 2 0,-1 1 0,1 1 0,-1-1 0,1 1 0,0-1 0,0 1 0,1 0 0,-1-1 0,1 1 0,-1-1 0,1 1 0,0-1 0,0 0 0,4 6 0,-5-8 0,0 1 0,1-1 0,-1 0 0,1 0 0,-1 0 0,1 0 0,0 0 0,-1 0 0,1 0 0,0 0 0,0 0 0,0 0 0,0-1 0,0 1 0,0 0 0,0 0 0,0-1 0,0 1 0,0-1 0,0 1 0,0-1 0,0 1 0,0-1 0,0 0 0,1 0 0,-1 1 0,0-1 0,0 0 0,1 0 0,-1 0 0,0 0 0,0 0 0,0-1 0,1 1 0,-1 0 0,0 0 0,0-1 0,0 1 0,0-1 0,0 1 0,1-1 0,-1 1 0,1-2 0,0 0 0,-1 1 0,1-1 0,-1 1 0,1-1 0,-1 0 0,0 0 0,1 0 0,-1 0 0,0 0 0,0 0 0,-1 0 0,1 0 0,0 0 0,-1 0 0,1 0 0,-1 0 0,0-1 0,1 1 0,-1 0 0,-1-4 0,1 4 0,0 1 0,0-1 0,0 1 0,0 0 0,-1-1 0,1 1 0,0 0 0,-1 0 0,1-1 0,-1 1 0,0 0 0,1 0 0,-1-1 0,0 1 0,0 0 0,0 0 0,0 0 0,0 0 0,0 0 0,0 0 0,0 1 0,0-1 0,0 0 0,0 0 0,-1 1 0,1-1 0,0 1 0,0-1 0,-1 1 0,1-1 0,0 1 0,-1 0 0,-2 0 0,3 0-44,0 0 0,-1 0 0,1 0 0,0 1 0,0-1 0,-1 0 0,1 1 0,0-1 0,0 1 0,-1 0 0,1-1 0,0 1 0,0 0 0,0 0 0,0 0 0,0-1 0,0 1 0,0 0-1,0 1 1,0-1 0,1 0 0,-1 0 0,0 0 0,1 0 0,-1 0 0,1 1 0,-1-1 0,1 0 0,0 1 0,-1 1 0,-1 11-6782</inkml:trace>
  <inkml:trace contextRef="#ctx0" brushRef="#br0" timeOffset="14">925 2391 24575,'0'-2'0,"0"0"0,0 0 0,0-1 0,-1 1 0,1 0 0,-1 0 0,1-1 0,-1 1 0,0 0 0,0 0 0,0 0 0,0 0 0,0 0 0,-1 0 0,1 0 0,-1 0 0,1 1 0,-1-1 0,1 1 0,-1-1 0,0 1 0,-2-2 0,2 2 0,0 0 0,1 1 0,-1-1 0,1 1 0,-1-1 0,0 1 0,1 0 0,-1 0 0,0 0 0,1-1 0,-1 2 0,0-1 0,1 0 0,-1 0 0,0 0 0,1 1 0,-1-1 0,1 1 0,-1 0 0,1-1 0,-1 1 0,1 0 0,-1 0 0,1 0 0,-1 0 0,1 0 0,0 0 0,0 0 0,0 0 0,0 0 0,-2 3 0,0-1 0,0 1 0,0 1 0,1-1 0,0 0 0,0 1 0,0-1 0,0 1 0,0 0 0,1-1 0,0 1 0,0 0 0,0 0 0,1 0 0,0 0 0,0 0 0,0 6 0,1-9 0,-1 1 0,1 0 0,-1-1 0,1 1 0,0-1 0,0 1 0,0-1 0,0 1 0,0-1 0,1 1 0,-1-1 0,1 0 0,0 0 0,0 0 0,-1 0 0,1 0 0,0 0 0,1 0 0,-1-1 0,0 1 0,0-1 0,1 0 0,-1 1 0,1-1 0,-1 0 0,1 0 0,0-1 0,-1 1 0,1 0 0,3-1 0,-3 1 0,-1-1 0,0 0 0,0 0 0,0 0 0,0 0 0,0-1 0,0 1 0,0 0 0,0-1 0,0 1 0,0-1 0,0 0 0,0 0 0,0 0 0,-1 0 0,1 0 0,0 0 0,2-2 0,-2 1 0,0-1 0,1 0 0,-1 0 0,0 0 0,0 0 0,0 0 0,-1 0 0,1-1 0,1-5 0,1-4 0,-1 0 0,-1-1 0,0 1 0,-1-19 0,-2-96 0,1 165 0,-1 51 0,2-76 0,0-1 0,0 0 0,1 0 0,1 0 0,6 20 0,-8-30-80,0 1 0,0 0-1,0 0 1,0 0 0,0 0-1,0-1 1,0 1 0,1 0-1,-1-1 1,1 1 0,-1-1 0,1 0-1,0 0 1,-1 1 0,1-1-1,3 1 1,7 0-6746</inkml:trace>
  <inkml:trace contextRef="#ctx0" brushRef="#br0" timeOffset="15">1053 2336 24575,'-2'7'0,"0"1"0,0 0 0,1 0 0,0 0 0,1 0 0,0-1 0,0 1 0,1 0 0,0 0 0,3 14 0,-3-20 0,-1-1 0,1 0 0,-1 1 0,1-1 0,-1 0 0,1 1 0,0-1 0,0 0 0,0 0 0,0 0 0,0 0 0,0 0 0,0 0 0,0 0 0,0 0 0,1 0 0,-1 0 0,0 0 0,1-1 0,-1 1 0,0-1 0,1 1 0,-1-1 0,1 1 0,-1-1 0,1 0 0,-1 0 0,0 1 0,1-1 0,-1 0 0,3-1 0,-2 1 0,0 0 0,-1-1 0,1 0 0,0 1 0,0-1 0,0 0 0,-1 0 0,1 0 0,0 0 0,-1 0 0,1 0 0,-1-1 0,1 1 0,-1 0 0,1-1 0,-1 1 0,0-1 0,0 1 0,0-1 0,0 0 0,0 1 0,0-1 0,0-2 0,1-1 0,-1 0 0,-1 0 0,1 0 0,-1 0 0,1-5 0,2-21 0,-3 30-59,0 1 0,0-1-1,0 0 1,1 1-1,-1-1 1,0 1 0,1-1-1,-1 0 1,1 1 0,-1-1-1,0 1 1,1-1 0,-1 1-1,1 0 1,-1-1-1,1 1 1,0-1 0,-1 1-1,1 0 1,-1 0 0,1-1-1,0 1 1,7-2-6767</inkml:trace>
  <inkml:trace contextRef="#ctx0" brushRef="#br0" timeOffset="16">1265 2294 24575,'-1'-2'0,"1"1"0,-1 0 0,0 0 0,1 0 0,-1 0 0,0 0 0,0 1 0,0-1 0,0 0 0,0 0 0,0 0 0,0 1 0,0-1 0,0 1 0,0-1 0,-1 1 0,1-1 0,-1 0 0,1 1 0,0 0 0,0 1 0,0-1 0,0 0 0,0 0 0,1 0 0,-1 0 0,0 1 0,0-1 0,0 0 0,1 1 0,-1-1 0,0 1 0,0-1 0,1 1 0,-1-1 0,0 1 0,1-1 0,-2 2 0,0 1 0,0 0 0,0 1 0,0-1 0,0 0 0,0 1 0,1-1 0,0 1 0,0-1 0,0 1 0,-1 4 0,2-5 0,-1 0 0,1 0 0,0 0 0,0 0 0,0 0 0,0 0 0,0-1 0,1 1 0,-1 0 0,1 0 0,0 0 0,0 0 0,0 0 0,0-1 0,1 1 0,-1 0 0,1-1 0,0 1 0,-1-1 0,1 0 0,3 3 0,-2-3 0,0 0 0,0 0 0,0 0 0,0-1 0,0 1 0,0-1 0,0 0 0,1 0 0,-1 0 0,0 0 0,1-1 0,-2 1 0,2-1 0,-1 0 0,1 0 0,-1 0 0,1-1 0,4 0 0,-4 0 0,0 0 0,0 0 0,0 0 0,-1 0 0,1-1 0,0 1 0,-1-1 0,1 0 0,-1 0 0,0 0 0,1 0 0,-1-1 0,0 0 0,-1 1 0,1-1 0,3-4 0,-3 1 0,1 1 0,-1-1 0,-1 1 0,1-1 0,-1 0 0,0 0 0,0 0 0,-1-1 0,1-7 0,0-8 0,-2-1 0,-1 0 0,0 0 0,-7-30 0,-1 18 0,9 35 0,0 0 0,0 0 0,0 0 0,0 0 0,0 0 0,0 0 0,0 0 0,0 0 0,0-1 0,0 1 0,0 0 0,0 0 0,0 0 0,0 0 0,-1 0 0,1 0 0,0 0 0,0 0 0,0-1 0,0 1 0,0 0 0,0 0 0,0 0 0,0 0 0,0 0 0,0 0 0,0 0 0,-1 0 0,1 0 0,0 0 0,0 0 0,0 0 0,0 0 0,0 0 0,0 0 0,0 0 0,-1 0 0,1 0 0,0 0 0,0 0 0,0 0 0,0 0 0,0 0 0,0 0 0,0 0 0,-1 0 0,1 0 0,0 0 0,0 0 0,0 0 0,0 0 0,0 0 0,0 0 0,0 0 0,0 0 0,0 0 0,-1 1 0,1-1 0,0 0 0,0 0 0,0 0 0,-2 20 0,1 8 171,6 46 0,-3-61-415,0-1 0,1 1 0,0-1 0,1 0 1,0 0-1,7 14 0,-6-20-6582</inkml:trace>
  <inkml:trace contextRef="#ctx0" brushRef="#br0" timeOffset="17">1328 2258 24575,'0'3'0,"4"0"0,6 0 0,7-3 0,6-1 0,6-7 0,4-2 0,1-3 0,-7 1 0,-10 3-8191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292"/>
    </inkml:context>
    <inkml:brush xml:id="br0">
      <inkml:brushProperty name="width" value="0.025" units="cm"/>
      <inkml:brushProperty name="height" value="0.025" units="cm"/>
    </inkml:brush>
  </inkml:definitions>
  <inkml:trace contextRef="#ctx0" brushRef="#br0">306 168 24575,'-1'-1'0,"1"0"0,-1 0 0,0-1 0,1 1 0,-1 0 0,0 0 0,1-1 0,-1 1 0,1 0 0,0-1 0,-1 1 0,1-1 0,0 1 0,0 0 0,0-1 0,0 1 0,0-1 0,0 1 0,1 0 0,-1-1 0,0 1 0,1 0 0,-1-1 0,1 1 0,-1 0 0,1-1 0,-1 1 0,1 0 0,0 0 0,0 0 0,0 0 0,0-1 0,1 0 0,6-7 0,-1 1 0,2 0 0,9-8 0,-12 10 0,5-2 0,-1 0 0,1 0 0,1 1 0,-1 0 0,1 1 0,0 0 0,0 1 0,1 1 0,0 0 0,0 0 0,0 2 0,0-1 0,0 2 0,22-1 0,-26 2 0,0 0 0,1 1 0,-1 1 0,0 0 0,1 0 0,-1 0 0,0 1 0,-1 1 0,1-1 0,0 1 0,-1 1 0,0 0 0,0 0 0,-1 0 0,1 1 0,-1 0 0,0 1 0,-1-1 0,1 1 0,-1 1 0,7 10 0,5 15 0,-18-33 0,1 0 0,-1 0 0,1 0 0,-1 0 0,1 0 0,-1 0 0,0 0 0,1 0 0,-1 0 0,1 0 0,-1 0 0,1 0 0,-1 0 0,0 0 0,1 0 0,-1-1 0,1 1 0,-1 0 0,0 0 0,1 0 0,-1-1 0,0 1 0,1 0 0,-1-1 0,0 1 0,1 0 0,-1-1 0,0 1 0,1 0 0,-1-1 0,15-15 0,-10 11 0,7-6 0,1 0 0,0 1 0,1 0 0,1 1 0,-1 1 0,1 0 0,1 1 0,-1 1 0,1 0 0,0 1 0,1 1 0,-1 0 0,32-2 0,-34 4 0,0 2 0,0 0 0,0 0 0,0 1 0,0 1 0,0 1 0,0 0 0,0 0 0,-1 2 0,0-1 0,0 2 0,0 0 0,-1 0 0,1 1 0,-2 1 0,1 0 0,11 10 0,-19-15 0,-1 0 0,1 1 0,-1-1 0,0 1 0,0 0 0,0 0 0,0 0 0,-1 0 0,0 1 0,0-1 0,0 0 0,0 1 0,-1 0 0,3 9 0,-4-13 0,0-1 0,0-2 0,0 1 0,1-1 0,-1 0 0,1 1 0,0-1 0,-1 1 0,1-1 0,0 1 0,0-1 0,0 1 0,0 0 0,1-2 0,4-3 0,1 1 0,-1 0 0,1 0 0,0 1 0,0 0 0,0 0 0,0 1 0,1-1 0,-1 2 0,1-1 0,0 1 0,0 0 0,0 1 0,0 0 0,0 0 0,0 1 0,13 1 0,-15-1 0,1 1 0,-1 0 0,1 1 0,-1 0 0,1 0 0,-1 0 0,0 1 0,0-1 0,0 2 0,0-1 0,-1 1 0,1-1 0,-1 1 0,0 1 0,0-1 0,-1 1 0,1 0 0,-1 0 0,0 0 0,0 1 0,5 10 0,-3-3 0,0 0 0,-2 1 0,1 0 0,-2 0 0,0 0 0,3 26 0,-6-35 0,1 1 0,-1-1 0,0 1 0,0-1 0,-1 0 0,1 1 0,-1-1 0,-1 1 0,1-1 0,-1 0 0,1 0 0,-2 0 0,1 0 0,0 0 0,-1 0 0,0-1 0,0 1 0,-1-1 0,1 0 0,-8 7 0,11-10 0,-1-1 0,1 0 0,0 0 0,0 1 0,0-1 0,-1 0 0,1 0 0,0 0 0,0 1 0,0-1 0,-1 0 0,1 0 0,0 0 0,0 0 0,-1 0 0,1 0 0,0 1 0,-1-1 0,1 0 0,0 0 0,0 0 0,-1 0 0,1 0 0,0 0 0,-1 0 0,1 0 0,0 0 0,-1 0 0,1 0 0,0 0 0,0-1 0,-1 1 0,1 0 0,9-6 0,-6 4 0,0 1 0,0 1 0,0-1 0,0 0 0,1 1 0,-1 0 0,0-1 0,0 1 0,1 1 0,-1-1 0,0 0 0,0 1 0,0 0 0,1-1 0,-1 1 0,0 1 0,0-1 0,5 3 0,-4-1 0,-1 0 0,0 0 0,1 0 0,-1 0 0,0 0 0,0 1 0,-1 0 0,1-1 0,-1 1 0,0 0 0,0 0 0,2 6 0,-1-1 0,0 1 0,-1-1 0,0 1 0,0-1 0,-1 1 0,0 0 0,-1-1 0,0 1 0,-1 0 0,0 0 0,0-1 0,-4 12 0,2-13 0,0 0 0,-1 0 0,0 0 0,0-1 0,-1 0 0,0 0 0,0 0 0,0-1 0,-1 1 0,0-1 0,-1 0 0,1-1 0,-1 0 0,0 0 0,-15 8 0,23-14 0,0 1 0,1 0 0,-1 0 0,0 0 0,0 1 0,0-1 0,0 0 0,1 0 0,-1 1 0,0-1 0,0 0 0,0 1 0,0-1 0,0 1 0,0 0 0,0-1 0,0 1 0,0 0 0,0-1 0,0 1 0,0 0 0,-1 0 0,1 0 0,1 1 0,-1 0 0,1 0 0,0 0 0,-1 0 0,1 0 0,-1 1 0,0-1 0,0 0 0,0 1 0,0-1 0,0 1 0,0-1 0,-1 1 0,1 3 0,-1-1 0,0-1 0,-1 0 0,0 0 0,0 0 0,0 0 0,0 0 0,0-1 0,-1 1 0,0 0 0,0-1 0,0 1 0,0-1 0,-1 1 0,1-1 0,-1 0 0,0 0 0,0 0 0,0 0 0,0-1 0,0 1 0,-1-1 0,-6 4 0,-2 0 0,-1 0 0,0 0 0,0-1 0,0 0 0,-20 3 0,-26 3 0,-75 4 0,133-14 0,0-1 0,0 0 0,0 1 0,0-1 0,0 1 0,1-1 0,-1 1 0,0 0 0,0-1 0,0 1 0,1 0 0,-1 0 0,1-1 0,-1 1 0,0 0 0,1 0 0,-1 0 0,1 0 0,0 0 0,-1 0 0,1 0 0,0 0 0,-1 0 0,1 0 0,0 0 0,0 0 0,0 0 0,0 0 0,0 0 0,0 1 0,0 1 0,0-1 0,0 0 0,-1 0 0,1 0 0,-1 1 0,1-1 0,-1 0 0,0 0 0,0 0 0,-2 3 0,-1-1 0,0-1 0,0 1 0,-1-1 0,1-1 0,0 1 0,-1 0 0,0-1 0,1 0 0,-1 0 0,0-1 0,0 1 0,-8 0 0,-9 1 0,-36 1 0,42-3 0,13-1 0,-156 1 0,138-2 0,0-1 0,1-1 0,0-1 0,0-1 0,-34-13 0,33 8 0,21 9 0,-1 1 0,0 0 0,1 0 0,-1 0 0,1-1 0,-1 1 0,1 0 0,-1-1 0,1 1 0,-1 0 0,1-1 0,-1 1 0,1-1 0,0 1 0,-1-1 0,1 1 0,0-1 0,-1 1 0,1-1 0,0 1 0,0-1 0,-1 1 0,1-1 0,0 0 0,0 1 0,0-1 0,0 1 0,0-1 0,0 0 0,0 0 0,0 1 0,0 0 0,0 0 0,1 0 0,-1 0 0,0 0 0,0 0 0,1 0 0,-1 0 0,0 0 0,0 0 0,0 0 0,1 0 0,-1 0 0,0 0 0,0 0 0,0 1 0,1-1 0,-1 0 0,0 0 0,0 0 0,0 0 0,0 0 0,0 1 0,1-1 0,-1 0 0,0 0 0,0 0 0,0 0 0,0 1 0,0-1 0,0 0 0,0 0 0,0 0 0,1 1 0,-1-1 0,0 0 0,0 0 0,0 1 0,0-1 0,0 0 0,0 0 0,0 0 0,0 1 0,0-1 0,0 0 0,-1 0 0,4 14 0,-3-12 0,-1 1 0,0-1 0,1 0 0,-1 1 0,0-1 0,0 0 0,0 0 0,0 0 0,0 0 0,0 0 0,-1 0 0,1 0 0,-1-1 0,0 1 0,1 0 0,-1-1 0,0 1 0,0-1 0,0 1 0,0-1 0,0 0 0,0 0 0,0 0 0,0 0 0,0-1 0,-1 1 0,1 0 0,-3 0 0,-9 1 0,0 0 0,0 0 0,-22-2 0,27 1 0,-22-2 0,0 0 0,-41-7 0,57 5 0,-1-1 0,1 0 0,-1-1 0,2 0 0,-1-2 0,-20-10 0,35 17 0,0-1 0,-1 1 0,1 0 0,0 0 0,0 0 0,-1 0 0,1 0 0,0 0 0,-1 0 0,1 0 0,0 0 0,-1 0 0,1 0 0,0 0 0,0 0 0,-1 0 0,1 0 0,0 0 0,-1 0 0,1 0 0,0 0 0,-1 0 0,1 1 0,0-1 0,0 0 0,-1 0 0,1 0 0,0 0 0,0 1 0,-1-1 0,1 0 0,0 0 0,0 1 0,-1-1 0,-7 14 0,-2 2 0,6-13 0,0 0 0,0-1 0,-1 0 0,1 0 0,0 0 0,-1 0 0,1-1 0,-1 1 0,0-1 0,1 0 0,-1-1 0,0 1 0,1-1 0,-1 0 0,0 0 0,0-1 0,1 1 0,-1-1 0,0 0 0,1 0 0,-9-3 0,4 0 0,1 1 0,0-1 0,0 0 0,0 0 0,0-1 0,1 0 0,-1-1 0,1 1 0,1-2 0,-11-10 0,11 8 0,-1-1 0,1 1 0,1-1 0,0-1 0,-7-18 0,10 23 0,0-1 0,0-1 0,1 1 0,-1 0 0,2 0 0,-1-1 0,1 1 0,0 0 0,2-15 0,-1 20 0,0 0 0,0 0 0,0 0 0,0 0 0,0 0 0,0 0 0,0 0 0,1 1 0,-1-1 0,1 0 0,0 1 0,-1-1 0,1 1 0,0-1 0,0 1 0,2-2 0,-3 3 0,0-1 0,-1 1 0,1 0 0,0-1 0,0 1 0,0 0 0,0-1 0,-1 1 0,1 0 0,0 0 0,0 0 0,0 0 0,0 0 0,0 0 0,0 0 0,0 0 0,0 0 0,-1 0 0,1 0 0,0 0 0,0 1 0,0-1 0,0 0 0,0 1 0,-1-1 0,1 1 0,0-1 0,0 1 0,-1-1 0,1 1 0,0 0 0,-1-1 0,1 1 0,0 0 0,-1-1 0,1 1 0,-1 0 0,1 0 0,-1-1 0,0 1 0,1 1 0,0-1 0,-1 0 0,0 0 0,1 0 0,-1 0 0,0 0 0,0 0 0,0 0 0,0 0 0,0 0 0,0 0 0,0 0 0,0 0 0,0 0 0,0 0 0,-1 0 0,1 0 0,0 0 0,-1 0 0,1 0 0,0 0 0,-1 0 0,0 0 0,1 0 0,-1 0 0,1-1 0,-1 1 0,0 0 0,0 0 0,1-1 0,-1 1 0,0 0 0,0-1 0,0 1 0,0-1 0,0 1 0,1-1 0,-1 0 0,-1 1 0,-1 0 0,1 0 0,0-1 0,0 1 0,-1-1 0,1 1 0,0-1 0,-1 0 0,1 0 0,0 0 0,-1 0 0,1 0 0,0 0 0,0-1 0,-1 1 0,1-1 0,-3-1 0,1-1 0,-1 0 0,1 0 0,0-1 0,1 1 0,-1-1 0,0 0 0,1 0 0,0 0 0,0-1 0,0 1 0,-3-8 0,-3-8 0,-8-28 0,16 47 0,-7-24 0,0-1 0,2 0 0,1 0 0,1-1 0,1 1 0,1-1 0,1 0 0,4-29 0,-2 53 0,-1 0 0,1 0 0,0 0 0,0 1 0,1-1 0,-1 1 0,0-1 0,1 1 0,0-1 0,-1 1 0,1 0 0,0-1 0,0 1 0,3-2 0,-2 2 0,-1-1 0,1 1 0,-1-1 0,0 0 0,1 0 0,-1 0 0,-1 0 0,1 0 0,0 0 0,1-5 0,2-9 0,1 0 0,0 1 0,1 0 0,18-31 0,-21 42 0,0-1 0,1 1 0,-1 0 0,1 0 0,0 0 0,0 0 0,0 1 0,1 0 0,0 0 0,0 0 0,0 1 0,0 0 0,0 0 0,0 1 0,13-4 0,-10 4 49,0 1 0,1-1 0,-1 2-1,1-1 1,-1 2 0,13 0 0,-18 0-156,0 0 0,1 0 1,-1 0-1,0 0 0,0 1 1,0-1-1,0 1 0,0 0 1,0 1-1,0-1 0,-1 0 1,1 1-1,-1 0 0,0 0 1,5 5-1,1 6-6719</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293"/>
    </inkml:context>
    <inkml:brush xml:id="br0">
      <inkml:brushProperty name="width" value="0.025" units="cm"/>
      <inkml:brushProperty name="height" value="0.025" units="cm"/>
    </inkml:brush>
  </inkml:definitions>
  <inkml:trace contextRef="#ctx0" brushRef="#br0">1 781 24575,'0'0'0,"1"1"0,0 0 0,0 0 0,0-1 0,-1 1 0,1-1 0,0 1 0,0 0 0,0-1 0,0 0 0,0 1 0,0-1 0,0 0 0,0 1 0,0-1 0,0 0 0,1 0 0,-1 0 0,0 0 0,1 0 0,21 0 0,0-2 0,0 0 0,0-1 0,-1-1 0,29-10 0,-15 6 0,770-161 0,-623 142 0,150-27 0,-322 52 0,18-4 0,-28 6 0,0-1 0,1 1 0,-1-1 0,0 1 0,0-1 0,1 1 0,-1-1 0,0 0 0,0 1 0,0-1 0,0 0 0,0 0 0,0 0 0,0 0 0,1-2 0,-2 3 8,0 0-1,0 0 0,0 0 1,0-1-1,0 1 0,0 0 1,0 0-1,0 0 0,0 0 1,0-1-1,0 1 0,0 0 1,0 0-1,0 0 0,0 0 1,0 0-1,0-1 1,-1 1-1,1 0 0,0 0 1,0 0-1,0 0 0,0 0 1,0 0-1,0-1 0,-1 1 1,1 0-1,0 0 0,0 0 1,0 0-1,0 0 0,0 0 1,-1 0-1,1 0 0,0 0 1,0 0-1,0 0 0,0 0 1,-1 0-1,1 0 0,0 0 1,0 0-1,0 0 1,-1 0-1,1 0 0,-10 0-1272,10 0 827,-10 0-6388</inkml:trace>
  <inkml:trace contextRef="#ctx0" brushRef="#br0" timeOffset="1">1475 442 24575,'0'0'0,"-1"0"0,1 0 0,-1 0 0,0 0 0,1 0 0,-1 0 0,1 0 0,-1 0 0,1 0 0,-1 0 0,1 0 0,-1-1 0,1 1 0,0 0 0,-1 0 0,1-1 0,-1 1 0,1 0 0,-1 0 0,1-1 0,0 1 0,-1 0 0,1-1 0,-1 1 0,1-1 0,0 1 0,0 0 0,-1-1 0,1 1 0,0-1 0,0 1 0,-1-1 0,1 1 0,0-1 0,0 1 0,0-1 0,0 1 0,0-1 0,0 1 0,0-1 0,0 1 0,0-1 0,0 1 0,0-1 0,0 1 0,0-1 0,0 1 0,1-1 0,-1 1 0,0-1 0,0 1 0,0-1 0,1 1 0,-1-1 0,0 1 0,1 0 0,-1-1 0,0 1 0,1-1 0,0 1 0,3-2 0,0 1 0,0 0 0,0 0 0,0 0 0,0 0 0,0 1 0,0 0 0,0 0 0,1 0 0,-1 0 0,0 0 0,0 1 0,0 0 0,0 0 0,0 0 0,0 0 0,0 1 0,0 0 0,-1-1 0,8 6 0,-9-6 0,0 1 0,0-1 0,0 1 0,0 0 0,0 0 0,-1 0 0,1 0 0,-1 0 0,1 0 0,-1 0 0,0 0 0,1 0 0,-1 1 0,0-1 0,-1 1 0,1-1 0,0 1 0,-1-1 0,1 1 0,-1-1 0,0 1 0,0-1 0,0 1 0,0-1 0,0 1 0,-1-1 0,1 1 0,-1-1 0,1 1 0,-1-1 0,0 1 0,0-1 0,0 0 0,-3 4 0,-25 34-1365,23-33-5461</inkml:trace>
  <inkml:trace contextRef="#ctx0" brushRef="#br0" timeOffset="2">1969 237 24575,'0'-2'0,"0"-1"0,0 1 0,0-1 0,0 1 0,0-1 0,-1 1 0,1-1 0,-1 1 0,0-1 0,0 1 0,0 0 0,0-1 0,0 1 0,0 0 0,-1 0 0,1 0 0,-1 0 0,1 0 0,-1 0 0,0 0 0,0 1 0,0-1 0,0 1 0,0-1 0,-4-1 0,3 2 0,0 0 0,1 0 0,-1 1 0,0 0 0,0-1 0,0 1 0,0 0 0,0 0 0,1 1 0,-1-1 0,0 0 0,0 1 0,0 0 0,1 0 0,-1 0 0,0 0 0,1 0 0,-1 0 0,1 1 0,-1-1 0,1 1 0,-4 2 0,5-3 0,-1 0 0,1 0 0,-1 0 0,1 0 0,0 1 0,-1-1 0,1 0 0,0 1 0,0-1 0,0 1 0,0-1 0,0 1 0,0-1 0,0 1 0,1 0 0,-1-1 0,1 1 0,-1 0 0,1-1 0,-1 1 0,1 0 0,0 0 0,0 0 0,0-1 0,0 4 0,1-3 0,0 1 0,1-1 0,-1 0 0,0 0 0,1 0 0,-1 0 0,1 0 0,0-1 0,0 1 0,0 0 0,-1-1 0,2 1 0,-1-1 0,0 0 0,0 1 0,0-1 0,0 0 0,4 0 0,17 7 0,-11-4 0,0 0 0,0 1 0,18 10 0,-28-15 0,-1 1 0,1 0 0,-1 0 0,1 0 0,-1 0 0,1 0 0,-1 0 0,0 1 0,0-1 0,1 0 0,-1 1 0,0-1 0,0 0 0,0 1 0,-1-1 0,1 1 0,0 0 0,-1-1 0,1 1 0,-1 0 0,1-1 0,-1 1 0,0 0 0,1 0 0,-1-1 0,0 1 0,0 0 0,0 0 0,-1-1 0,1 1 0,0 0 0,-2 2 0,2-2 0,-1 0 0,0-1 0,1 1 0,-1-1 0,0 1 0,0-1 0,0 0 0,0 1 0,0-1 0,0 0 0,-1 0 0,1 0 0,0 0 0,-1 0 0,1 0 0,0 0 0,-1 0 0,1 0 0,-1-1 0,0 1 0,1-1 0,-1 1 0,0-1 0,1 1 0,-1-1 0,0 0 0,-2 0 0,-3 0 0,0-1 0,0 0 0,0-1 0,0 1 0,-8-4 0,-10-2 0,25 7 0,0 0 0,0 1 0,0-1 0,0 0 0,0 0 0,1 0 0,-1 0 0,0 0 0,0 0 0,0 0 0,0 0 0,0 0 0,0 0 0,0 0 0,-1 0 0,1 0 0,0 1 0,0-1 0,0 0 0,0 0 0,0 0 0,0 0 0,0 0 0,0 0 0,0 0 0,0 0 0,0 0 0,0 0 0,0 0 0,0 0 0,0 0 0,0 0 0,0 0 0,0 0 0,0 1 0,0-1 0,0 0 0,-1 0 0,1 0 0,0 0 0,0 0 0,0 0 0,0 0 0,0 0 0,0 0 0,0 0 0,0 0 0,0 0 0,0 0 0,0 0 0,0 0 0,-1 0 0,1 0 0,0 0 0,0 0 0,0 0 0,0 0 0,0 0 0,0-1 0,0 1 0,0 0 0,0 0 0,0 0 0,0 0 0,7 7 0,13 5 0,-11-9 0,0 0 0,0-1 0,0 0 0,0 0 0,0-1 0,1 0 0,-1-1 0,0 1 0,1-2 0,-1 0 0,0 0 0,0-1 0,1 0 0,-1 0 0,9-4 0,-12 4 0,1-1 0,-1 0 0,0 0 0,1-1 0,-1 1 0,-1-1 0,1-1 0,-1 1 0,1-1 0,-1 0 0,-1 0 0,1 0 0,-1-1 0,0 1 0,0-1 0,0 0 0,-1 0 0,0-1 0,0 1 0,3-12 0,-3 3 0,-1 0 0,0 0 0,-1 0 0,-1 0 0,-1 0 0,0 0 0,0 0 0,-2 0 0,0 0 0,-6-19 0,8 32 0,1 0 0,-1 0 0,0 1 0,1-1 0,-1 0 0,0 1 0,0-1 0,-1 0 0,1 1 0,0-1 0,0 1 0,-1-1 0,1 1 0,-1 0 0,1 0 0,-3-2 0,3 3 0,0 0 0,0 0 0,0 0 0,0 0 0,0 0 0,0 0 0,0 0 0,0 0 0,0 1 0,0-1 0,0 0 0,1 1 0,-1-1 0,0 0 0,0 1 0,0-1 0,0 1 0,1-1 0,-1 1 0,0 0 0,0-1 0,1 1 0,-1 0 0,1-1 0,-1 1 0,1 0 0,-1 0 0,1 0 0,-1-1 0,1 1 0,-1 0 0,1 0 0,-1 2 0,-1 3 0,0-1 0,0 1 0,1 1 0,0-1 0,0 0 0,0 0 0,1 0 0,0 1 0,0-1 0,0 0 0,1 0 0,0 1 0,0-1 0,1 0 0,-1 0 0,1 0 0,1 0 0,-1-1 0,1 1 0,0-1 0,6 10 0,-5-10 0,-1-1 0,0 1 0,1-1 0,0 1 0,0-1 0,0 0 0,1-1 0,-1 1 0,1-1 0,0 0 0,0 0 0,0 0 0,0-1 0,1 1 0,-1-1 0,1-1 0,-1 1 0,1-1 0,0 0 0,0 0 0,-1-1 0,1 1 0,11-2 0,-15 1 0,-1-1 0,1 1 0,0-1 0,0 0 0,-1 1 0,1-1 0,0 0 0,-1 0 0,1 0 0,-1 0 0,1 0 0,-1-1 0,0 1 0,1 0 0,-1-1 0,0 1 0,0 0 0,0-1 0,0 0 0,0 1 0,0-1 0,-1 1 0,1-1 0,0 0 0,-1 0 0,1 0 0,-1 1 0,0-1 0,1 0 0,-1-3 0,0 0 0,0 0 0,0 0 0,-1 0 0,1 0 0,-1 0 0,0 0 0,-1 0 0,1 0 0,-1 1 0,-3-7 0,5 10 0,0 1 0,0 0 0,0 0 0,0 0 0,0 0 0,0 0 0,0 0 0,0 0 0,0-1 0,0 1 0,0 0 0,0 0 0,0 0 0,0 0 0,0 0 0,-1 0 0,1 0 0,0-1 0,0 1 0,0 0 0,0 0 0,0 0 0,0 0 0,0 0 0,0 0 0,0 0 0,-1 0 0,1 0 0,0 0 0,0 0 0,0 0 0,0 0 0,0 0 0,0 0 0,0 0 0,-1 0 0,1 0 0,0 0 0,0 0 0,0 0 0,0 0 0,0 0 0,0 0 0,-1 0 0,1 0 0,0 0 0,0 0 0,0 0 0,0 0 0,0 0 0,0 0 0,0 0 0,0 0 0,-1 0 0,1 0 0,0 0 0,0 0 0,0 1 0,0-1 0,-3 11 0,2 14 0,1-20-136,0-1-1,1 0 1,0 1-1,0-1 1,0 0-1,1 1 1,-1-1-1,1 0 0,4 7 1,-1-4-6690</inkml:trace>
  <inkml:trace contextRef="#ctx0" brushRef="#br0" timeOffset="3">2251 54 24575,'0'1'0,"1"1"0,3 2 0,1 0-8191</inkml:trace>
  <inkml:trace contextRef="#ctx0" brushRef="#br0" timeOffset="4">2442 124 24575,'-1'-1'0,"-1"0"0,1 0 0,0 1 0,0-1 0,-1 0 0,1 0 0,-1 1 0,1-1 0,-1 1 0,1-1 0,-1 1 0,1 0 0,-1 0 0,1-1 0,-1 1 0,1 0 0,-1 0 0,1 1 0,-1-1 0,1 0 0,-1 0 0,-2 1 0,2 1 0,0-1 0,0 0 0,0 1 0,0-1 0,0 1 0,0-1 0,0 1 0,0 0 0,1 0 0,-1 0 0,1 0 0,-1 0 0,0 2 0,-1 1 0,1-1 0,0 0 0,0 1 0,1-1 0,-1 1 0,1-1 0,0 1 0,0 0 0,1 0 0,0-1 0,-1 1 0,1 0 0,1 0 0,1 8 0,-1-9 0,1-1 0,-1 0 0,1 0 0,0 0 0,0 0 0,0 0 0,1-1 0,-1 1 0,1-1 0,-1 1 0,1-1 0,0 0 0,0 0 0,0 0 0,0 0 0,0-1 0,0 1 0,0-1 0,1 0 0,-1 0 0,0 0 0,1 0 0,-1-1 0,1 1 0,4-1 0,-4 0 0,0 0 0,0 0 0,0 0 0,0 0 0,0-1 0,-1 1 0,1-1 0,0 0 0,0 0 0,-1-1 0,1 1 0,0-1 0,-1 0 0,0 0 0,1 0 0,-1 0 0,0 0 0,0-1 0,0 0 0,0 1 0,-1-1 0,5-6 0,-4 3 0,-1-2 0,1 1 0,-1 0 0,2-14 0,1-1 0,-5 22 0,0 0 0,0 0 0,-1 0 0,1 0 0,0-1 0,0 1 0,0 0 0,0 0 0,0 0 0,0 0 0,0 0 0,0-1 0,1 1 0,-1 0 0,0 0 0,0 0 0,0 0 0,0-1 0,0 1 0,0 0 0,0 0 0,0 0 0,0 0 0,0 0 0,0 0 0,1-1 0,-1 1 0,0 0 0,0 0 0,0 0 0,0 0 0,0 0 0,0 0 0,1 0 0,-1 0 0,0 0 0,0 0 0,0 0 0,0 0 0,1-1 0,-1 1 0,0 0 0,0 0 0,0 0 0,0 0 0,1 0 0,-1 1 0,0-1 0,0 0 0,0 0 0,0 0 0,0 0 0,1 0 0,-1 0 0,0 0 0,0 0 0,0 0 0,2 2 0,-1 0 0,1-1 0,0 1 0,0-1 0,-1 1 0,1-1 0,0 0 0,0 0 0,0 0 0,0 0 0,1 0 0,-1 0 0,0 0 0,0-1 0,0 1 0,1-1 0,-1 1 0,0-1 0,1 0 0,-1 0 0,3-1 0,-4 1 0,0 0 0,0 0 0,0-1 0,0 1 0,0-1 0,0 1 0,-1-1 0,1 1 0,0-1 0,0 1 0,0-1 0,0 0 0,-1 1 0,1-1 0,0 0 0,-1 0 0,1 0 0,1-1 0,-2 0 0,1 0 0,0 0 0,-1 0 0,0 1 0,1-1 0,-1 0 0,0 0 0,0 0 0,0 0 0,0 0 0,0 0 0,0 0 0,-1-3 0,1 3 0,-1 1 0,1-1 0,0 0 0,-1 0 0,1 1 0,-1-1 0,0 0 0,0 1 0,1-1 0,-1 1 0,0-1 0,0 1 0,0-1 0,-1 1 0,1 0 0,0-1 0,-1 1 0,1 0 0,0 0 0,-1 0 0,1 0 0,-1 0 0,0 0 0,1 1 0,-1-1 0,0 0 0,-2 0 0,2 1 0,1 0 0,-1 0 0,0 1 0,1-1 0,-1 0 0,0 1 0,1-1 0,-1 1 0,1-1 0,-1 1 0,1 0 0,-1 0 0,1 0 0,0 0 0,-1 0 0,1 0 0,0 0 0,0 0 0,0 0 0,0 1 0,0-1 0,0 0 0,0 1 0,0-1 0,0 1 0,0-1 0,1 1 0,-1-1 0,0 3 0,0-1 0,0 0 0,1 0 0,-1 0 0,1 0 0,-1-1 0,1 1 0,0 0 0,0 0 0,0 0 0,1 0 0,-1 0 0,1 0 0,-1 0 0,1 0 0,0-1 0,0 1 0,0 0 0,1 0 0,-1-1 0,1 1 0,2 3 0,-2-5 0,-1 1 0,1-1 0,-1 1 0,1-1 0,0 0 0,-1 1 0,1-1 0,0 0 0,0 0 0,0-1 0,0 1 0,0 0 0,0-1 0,0 1 0,0-1 0,0 1 0,1-1 0,-1 0 0,0 0 0,0 0 0,0 0 0,0 0 0,0-1 0,0 1 0,1-1 0,-1 1 0,0-1 0,0 0 0,0 0 0,3-1 0,-1-1 0,0-1 0,0 1 0,-1 0 0,1-1 0,-1 0 0,1 0 0,-1 0 0,0 0 0,-1-1 0,1 1 0,-1-1 0,0 1 0,0-1 0,0 0 0,1-8 0,-2 8 0,1 0 0,0 0 0,-1 0 0,2 0 0,-1 1 0,0-1 0,1 1 0,0-1 0,0 1 0,0 0 0,1 0 0,-1 0 0,1 0 0,6-4 0,-9 8 0,1-1 0,-1 0 0,1 0 0,-1 1 0,1-1 0,-1 1 0,1 0 0,-1-1 0,1 1 0,-1 0 0,1 0 0,0 0 0,-1 0 0,1 0 0,0 0 0,-1 0 0,1 1 0,-1-1 0,1 0 0,-1 1 0,3 1 0,-1-1 0,0 1 0,0 0 0,0 1 0,0-1 0,-1 0 0,1 1 0,-1-1 0,0 1 0,3 4 0,1 2 0,-1 0 0,-1-1 0,0 1 0,0 1 0,-1-1 0,3 12 0,-5-17 0,-1-1 0,1 1 0,-1 0 0,0-1 0,-1 1 0,1 0 0,-1 4 0,1-8 0,-1 1 0,1-1 0,0 1 0,0-1 0,0 1 0,0-1 0,-1 1 0,1-1 0,0 1 0,0-1 0,-1 0 0,1 1 0,0-1 0,-1 1 0,1-1 0,0 0 0,-1 1 0,1-1 0,-1 0 0,1 0 0,-1 1 0,0-1 0,0 0 0,1 0 0,-1 0 0,0 0 0,0 0 0,0-1 0,1 1 0,-1 0 0,0 0 0,0-1 0,1 1 0,-1-1 0,0 1 0,1-1 0,-1 1 0,0-1 0,1 1 0,-1-1 0,1 1 0,-2-2 0,0-2 0,-1 0 0,0 0 0,1 0 0,0 0 0,0-1 0,0 1 0,1-1 0,0 1 0,-1-1 0,2 1 0,-1-1 0,0 0 0,1 0 0,0 1 0,0-1 0,0 0 0,2-5 0,-1 3 0,0-1 0,0 1 0,1 0 0,0 0 0,1 0 0,0 0 0,0 0 0,0 0 0,1 1 0,5-8 0,-8 12 17,0 0 0,1 0 0,0 1 1,-1-1-1,1 0 0,0 1 0,0-1 0,0 1 0,0 0 0,0-1 0,0 1 0,0 0 0,0 0 0,1 0 0,-1 1 0,0-1 0,1 1 0,-1-1 1,4 0-1,-4 2-78,0-1 0,-1 1 0,1-1 0,0 1 0,-1 0 0,1-1 0,-1 1 0,1 0 0,-1 0 0,1 0 0,-1 0 0,0 0 0,1 0 0,-1 1 0,0-1 0,0 0 0,0 1 0,0-1 1,0 0-1,0 1 0,0 0 0,-1-1 0,1 1 0,-1-1 0,1 1 0,-1 0 0,1 1 0,2 10-6765</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298"/>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191 105,'0'0,"0"1,-1-1,1 1,0-1,-1 0,1 1,0-1,0 1,-1-1,1 1,0-1,0 0,0 1,0-1,0 1,0-1,0 1,0-1,0 1,0-1,0 1,0-1,0 1,0-1,0 1,0-1,0 1,1-1,-1 1,0-1,0 0,0 1,1-1,-1 1,0-1,1 0,-1 1,0-1,1 0,-1 1,1-1,-1 0,0 0,1 1,-1-1,1 0,24 11,2-3,0-2,0 0,40 2,85-4,-40-8,-1-4,-1-6,132-32,-242 46,17-4,-1 0,0-1,15-7,-30 12,-1-1,0 1,1 0,-1 0,1 0,-1 0,1-1,-1 1,0 0,1 0,-1-1,0 1,1 0,-1-1,0 1,1 0,-1-1,0 1,0-1,1 1,-1 0,0-1,0 0,-7-4,-19 2,-236 1,3 1,139-6,-250-2,366 9,-60 6,58-5,1 1,-1-1,1 1,-1 0,1 0,-1 1,1-1,-8 7,12-9,1 1,-1-1,0 1,0-1,0 1,0 0,0 0,1-1,-1 1,0 0,1 0,-1 0,1 0,-1 0,1 0,-1 0,1 0,0 0,-1 0,1 0,0 0,0 0,0 0,-1 0,1 0,1 0,-1 0,0 0,0 0,0 1,0-1,1 0,-1 0,0 0,1 0,-1 0,1 0,0-1,-1 1,1 0,-1 0,1 0,0 0,0-1,0 1,-1 0,2 0,3 3,0-1,1 1,-1-1,1 0,0 0,10 3,9 0,0 0,1-2,0 0,28-1,105-5,-136 1,140-8,220-40,-360 45,-14 3,0 0,0-1,-1 0,1 0,0-1,-1 0,0 0,0-1,12-7,-20 10,1 1,-1 0,0 0,0 0,1-1,-1 1,0 0,0 0,1-1,-1 1,0 0,0-1,0 1,1 0,-1-1,0 1,0 0,0-1,0 1,0 0,0-1,0 1,0 0,0-1,0 1,0 0,0-1,0 1,0-1,0 1,0 0,0-1,-1 1,-10-9,-22 0,32 9,-82-13,0 3,-131 2,151 9,-101 15,129-11,0 3,0 1,1 1,-43 20,41-11,34-17,0-1,0 0,0 1,0-1,0 1,0 0,1 0,-1 0,1-1,-1 1,1 0,-2 4,3-5,0 0,0-1,-1 1,1 0,0-1,0 1,0-1,0 1,0 0,1-1,-1 1,0 0,0-1,0 1,0-1,1 1,-1 0,0-1,1 1,-1-1,0 1,1-1,-1 1,1-1,-1 1,0-1,1 0,0 1,-1-1,1 0,-1 1,1-1,-1 0,2 1,23 6,-1-3,1-2,-1 0,34-3,77-11,-102 8,239-32,-200 26,-20 3</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299"/>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189 225,'-1'1,"-3"6,1 0,0 0,0 0,0 0,1 1,0 0,0-1,-1 15,3-21,0-1,1 1,-1 0,0 0,0 0,1 0,-1-1,1 1,-1 0,1 0,-1-1,1 1,-1 0,1-1,-1 1,1-1,0 1,-1 0,1-1,0 0,0 1,-1-1,1 1,0-1,0 0,0 0,0 1,-1-1,1 0,0 0,0 0,0 0,0 0,0 0,1 0,36-6,-35 5,91-26,111-47,-110 37,60-18,104-42,-245 90,-12 3,-24 6,-649 131,655-129,-144 44,143-42,0 1,1 1,0 0,0 2,1-1,0 2,-14 13,24-19,0 0,0 1,1 0,-1 0,2 0,-7 13,9-18,1 0,-1 1,0-1,1 0,0 0,-1 0,1 1,0-1,-1 0,1 1,0-1,0 0,0 1,0-1,0 0,0 1,1-1,-1 0,0 0,1 1,-1-1,1 0,-1 0,1 0,0 1,-1-1,1 0,0 0,0 0,0 0,0 0,0-1,0 1,0 0,0 0,0 0,0-1,0 1,0-1,1 1,-1-1,0 1,0-1,1 0,1 1,5 0,1 0,-1-1,0 1,1-2,-1 1,0-1,12-3,59-18,-58 15,603-220,-433 155,-169 64,-11 4,-1 0,1 0,-1-1,17-10,-27 15,0 0,0 0,1 0,-1 0,0-1,0 1,1 0,-1 0,0 0,0 0,0 0,1 0,-1 0,0-1,0 1,0 0,0 0,1 0,-1 0,0-1,0 1,0 0,0 0,0 0,0-1,0 1,1 0,-1 0,0 0,0-1,0 1,0 0,0 0,0-1,0 1,0 0,0 0,0 0,0-1,0 1,0 0,-1 0,1-1,0 1,0 0,0 0,0 0,0-1,0 1,0 0,-1 0,1 0,0 0,0-1,0 1,0 0,-1 0,1 0,0 0,0 0,-1 0,1-1,0 1,0 0,0 0,-1 0,-17-2,-22 3,0 1,-51 11,-79 24,93-17,1 3,1 4,1 3,1 3,-73 46,135-72,5-4,0 0,0 0,1 1,0 0,-1 0,1 1,1-1,-1 1,-6 9,10-13,1-1,0 1,0-1,-1 0,1 1,0-1,0 1,0-1,0 1,0-1,0 1,0-1,-1 1,2-1,-1 1,0-1,0 0,0 1,0-1,0 1,0-1,0 1,0-1,1 1,-1-1,0 0,0 1,1-1,-1 1,0-1,1 0,-1 1,0-1,1 0,-1 1,0-1,1 0,-1 0,1 1,-1-1,1 0,-1 0,1 0,-1 0,0 0,2 1,25 1,2-4,0-1,56-14,60-26,-108 32,425-147,-414 144</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00"/>
    </inkml:context>
    <inkml:brush xml:id="br0">
      <inkml:brushProperty name="width" value="0.025" units="cm"/>
      <inkml:brushProperty name="height" value="0.025" units="cm"/>
    </inkml:brush>
  </inkml:definitions>
  <inkml:trace contextRef="#ctx0" brushRef="#br0">0 68 24575,'1'-2'0,"-1"1"0,0 0 0,1 0 0,-1-1 0,1 1 0,-1 0 0,1 0 0,-1 0 0,1 0 0,0 0 0,-1 0 0,1 0 0,0 0 0,0 0 0,0 0 0,0 1 0,0-1 0,0 0 0,0 0 0,0 1 0,1-1 0,28-13 0,-23 12 0,11-7 0,19-8 0,-35 16 0,0 1 0,0-1 0,-1 1 0,1-1 0,0 1 0,0 0 0,0-1 0,0 1 0,0 0 0,0 0 0,-1 0 0,1 1 0,0-1 0,0 0 0,3 2 0,-3-1 0,-1 0 0,0 0 0,0 0 0,0 0 0,1 0 0,-1 1 0,0-1 0,0 0 0,-1 1 0,1-1 0,0 0 0,0 1 0,-1-1 0,1 1 0,0 3 0,5 28 0,-4-19 0,29 167 0,32 231 0,-53-314 0,-5 2 0,-8 119 0,2-211 0,1-1 0,-2 0 0,1 0 0,-1 0 0,-3 8 0,5-14 0,0 0 0,0 0 0,-1 0 0,1 0 0,-1 0 0,1 0 0,-1 0 0,1 0 0,-1 0 0,0 0 0,1-1 0,-1 1 0,0 0 0,0-1 0,1 1 0,-1 0 0,0-1 0,0 1 0,0-1 0,0 1 0,0-1 0,0 1 0,0-1 0,0 0 0,0 0 0,0 1 0,0-1 0,0 0 0,0 0 0,0 0 0,0 0 0,0 0 0,0 0 0,0 0 0,0-1 0,0 1 0,0 0 0,0-1 0,0 1 0,0 0 0,0-1 0,0 1 0,0-1 0,-1-1 0,-5-2-85,1-1 0,0 0-1,0 0 1,1 0 0,-1-1-1,1 0 1,0 0 0,1 0-1,-1-1 1,1 1 0,1-1-1,-1 0 1,1 0 0,0-1-1,-2-10 1,4 1-6741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01"/>
    </inkml:context>
    <inkml:brush xml:id="br0">
      <inkml:brushProperty name="width" value="0.025" units="cm"/>
      <inkml:brushProperty name="height" value="0.025" units="cm"/>
    </inkml:brush>
  </inkml:definitions>
  <inkml:trace contextRef="#ctx0" brushRef="#br0">0 166 24575,'0'2'0,"0"1"0,0 0 0,1 0 0,-1 0 0,1-1 0,-1 1 0,1 0 0,0-1 0,0 1 0,0-1 0,0 1 0,1-1 0,-1 1 0,3 1 0,-3-3 0,0 1 0,0-2 0,1 1 0,-1 0 0,0 0 0,1 0 0,-1-1 0,1 1 0,-1 0 0,1-1 0,-1 0 0,1 1 0,-1-1 0,1 0 0,-1 0 0,1 1 0,0-1 0,-1-1 0,1 1 0,-1 0 0,1 0 0,-1-1 0,1 1 0,0 0 0,-1-1 0,0 0 0,1 1 0,-1-1 0,1 0 0,1-1 0,10-6 0,0-1 0,0-1 0,-1 0 0,19-20 0,4-4 0,79-55-1365,-86 69-5461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02"/>
    </inkml:context>
    <inkml:brush xml:id="br0">
      <inkml:brushProperty name="width" value="0.025" units="cm"/>
      <inkml:brushProperty name="height" value="0.025" units="cm"/>
    </inkml:brush>
  </inkml:definitions>
  <inkml:trace contextRef="#ctx0" brushRef="#br0">168 14 24575,'-37'-1'0,"-54"-9"0,90 9 0,0 1 0,0 0 0,-1-1 0,1 1 0,0 0 0,-1 0 0,1 0 0,0 0 0,0 0 0,-1 0 0,1 0 0,0 0 0,-1 1 0,1-1 0,0 0 0,0 1 0,0-1 0,-1 1 0,1-1 0,0 1 0,0 0 0,0-1 0,0 1 0,0 0 0,0 0 0,0 0 0,0 0 0,1 0 0,-1 0 0,-1 1 0,1 2 0,0 0 0,0 0 0,1 0 0,-1 1 0,1-1 0,0 0 0,0 0 0,1 7 0,13 202 0,21 184 0,-13-270 0,-10-72 0,-3 1 0,-2 0 0,-1 66 0,-6-120 0,-1-1 0,1 1 0,0 0 0,1 0 0,-1 0 0,0 0 0,0 0 0,1-1 0,-1 1 0,1 0 0,-1 0 0,1-1 0,0 1 0,0 0 0,0-1 0,0 1 0,1 1 0,0-1 0,0-1 0,0 0 0,0 0 0,0 0 0,0 0 0,1 0 0,-1 0 0,0 0 0,0-1 0,1 1 0,-1-1 0,0 1 0,4-1 0,27 1 0,-1-2 0,0-1 0,48-10 0,11 0 0,-33 5-1365,-40 4-5461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03"/>
    </inkml:context>
    <inkml:brush xml:id="br0">
      <inkml:brushProperty name="width" value="0.025" units="cm"/>
      <inkml:brushProperty name="height" value="0.025" units="cm"/>
    </inkml:brush>
  </inkml:definitions>
  <inkml:trace contextRef="#ctx0" brushRef="#br0">0 222 24575,'558'0'0,"-552"0"-136,-1 0-1,1-1 1,0 1-1,-1-1 1,1 0-1,-1 0 1,1 0-1,-1-1 0,10-4 1</inkml:trace>
  <inkml:trace contextRef="#ctx0" brushRef="#br0" timeOffset="1">551 151 24575,'0'0'0,"0"0"0,-1 0 0,1 0 0,0 0 0,0 0 0,0 0 0,0 0 0,0 0 0,-1 0 0,1 0 0,0 0 0,0 0 0,0 0 0,0 0 0,0 0 0,-1 0 0,1 0 0,0 0 0,0 0 0,0 0 0,0 0 0,-1 0 0,1 0 0,0 0 0,0 0 0,0 0 0,0 0 0,0 0 0,0 0 0,-1-1 0,1 1 0,0 0 0,0 0 0,0 0 0,0 0 0,0 0 0,0 0 0,0-1 0,0 1 0,0 0 0,-1 0 0,1 0 0,0 0 0,0 0 0,0-1 0,0 1 0,0 0 0,0 0 0,0 0 0,10-3 0,-5 4 0,-1-1 0,1 1 0,-1 0 0,1 0 0,-1 1 0,0-1 0,0 1 0,0 0 0,1 0 0,-2 1 0,1-1 0,0 1 0,0-1 0,-1 1 0,1 0 0,-1 1 0,3 3 0,-3-3 0,0 1 0,0 0 0,-1 0 0,0 1 0,0-1 0,0 0 0,0 1 0,-1-1 0,0 1 0,0-1 0,0 1 0,-1 0 0,0 8 0,0-9-114,-1 0 1,1 0-1,-1 0 0,0 0 0,0 0 1,0 0-1,-1 0 0,0 0 0,0 0 1,0-1-1,-5 9 0,0-5-6712</inkml:trace>
  <inkml:trace contextRef="#ctx0" brushRef="#br0" timeOffset="2">1200 45 24575,'-26'-6'-162,"-2"-1"220,27 7-56,0 0 0,-1 0 0,1 0 0,0 0 0,0 0 0,0 0 0,0 0 0,-1 1 0,1-1 0,0 0 0,0 1 0,0-1 0,0 1 0,0-1 0,0 1 0,0 0 0,0-1 0,0 1 0,-2 1 0,3-2-1,0 1 0,0-1 0,0 0 0,0 0-1,0 0 1,0 1 0,0-1 0,0 0 0,0 0-1,0 0 1,0 1 0,0-1 0,0 0 0,0 0-1,0 0 1,0 1 0,0-1 0,0 0 0,0 0-1,0 0 1,0 1 0,0-1 0,0 0 0,0 0-1,1 0 1,-1 1 0,0-1 0,0 0 0,0 0-1,0 0 1,0 0 0,1 0 0,-1 1 0,0-1-1,0 0 1,0 0 0,0 0 0,1 0 0,-1 0-1,0 0 1,0 0 0,0 0 0,1 0-1,-1 0 1,0 0 0,0 0 0,0 0 0,1 0-1,-1 0 1,0 0 0,1 0 0,12 3 21,11-2-22,0-1 0,1-2 0,-1 0 0,0-1 0,1-2 0,33-10 0,29-5 0,-86 20 3,23-3 335,-24 3-377,1 0 0,-1 0 1,1 0-1,-1 0 0,1 0 0,-1 0 0,0 0 1,1 0-1,-1 0 0,1 0 0,-1 0 1,1 0-1,-1 0 0,0 0 0,1 0 1,-1 0-1,1 0 0,-1 0 0,1 1 0,-1-1 1,0 0-1,1 0 0,-1 1 0,0-1 1,1 0-1,-1 0 0,0 1 0,1-1 1,-1 0-1,0 1 0,0-1 0,1 0 0,-1 1 1,0-1-1,0 1 0,1-1 0,-1 0 1,0 1-1,0-1 0,0 1 0,0-1 0,0 1 1,0 0-1,-4 7-6787</inkml:trace>
  <inkml:trace contextRef="#ctx0" brushRef="#br0" timeOffset="3">1348 31 24575,'8'160'0,"-1"-66"0,-3-59 0,-3-34 0,-1 0 0,0-1 0,0 1 0,0 0 0,1-1 0,-1 1 0,0 0 0,1-1 0,-1 1 0,0-1 0,1 1 0,-1-1 0,1 1 0,-1-1 0,1 1 0,-1-1 0,1 1 0,0 0 0,0-1 0,-1 0 0,1 0 0,0 0 0,-1-1 0,1 1 0,0 0 0,-1 0 0,1 0 0,-1 0 0,1-1 0,-1 1 0,1 0 0,0-1 0,-1 1 0,1 0 0,-1-1 0,0 1 0,1 0 0,-1-1 0,1 1 0,-1-1 0,1 1 0,-1-1 0,0 1 0,1-2 0,2-2-273,0-1 0,-1 1 0,1-1 0,2-9 0,2-5-6553</inkml:trace>
  <inkml:trace contextRef="#ctx0" brushRef="#br0" timeOffset="4">1447 151 24575,'0'-1'0,"0"0"0,0 1 0,0-1 0,0 0 0,0 1 0,0-1 0,0 0 0,1 0 0,-1 1 0,0-1 0,0 1 0,1-1 0,-1 0 0,0 1 0,1-1 0,-1 1 0,1-1 0,-1 0 0,1 1 0,-1-1 0,1 1 0,-1 0 0,1-1 0,-1 1 0,1-1 0,0 1 0,-1 0 0,1-1 0,0 1 0,-1 0 0,1 0 0,0 0 0,-1 0 0,1-1 0,0 1 0,-1 0 0,1 0 0,0 0 0,0 0 0,1 1 0,0-1 0,0 0 0,0 0 0,0 1 0,0-1 0,0 1 0,0 0 0,-1-1 0,1 1 0,0 0 0,-1 0 0,1 0 0,1 2 0,1 1 0,0 1 0,-1 1 0,1-1 0,-1 0 0,-1 1 0,1-1 0,-1 1 0,0 0 0,0 0 0,-1 0 0,0 0 0,0 0 0,0 0 0,-1 0 0,1 0 0,-2 1 0,1-1 0,-1 0 0,0 0 0,0 0 0,0 0 0,-3 7 0,3-12 0,1-1 0,0 0 0,0 1 0,0-1 0,0 1 0,-1-1 0,1 1 0,0-1 0,-1 1 0,1-1 0,0 0 0,-1 1 0,1-1 0,0 0 0,-1 1 0,1-1 0,-1 0 0,1 1 0,-1-1 0,1 0 0,0 0 0,-1 0 0,0 1 0,-6-8 0,2-20 0,5 18 43,0 0 0,1 0-1,0 1 1,1-1 0,0 0-1,0 0 1,5-9 0,-6 15-100,0 1 0,-1 0 0,1-1 0,1 1 0,-1 0 0,0 0 0,1-1 0,-1 1 1,1 0-1,-1 0 0,1 1 0,0-1 0,0 0 0,0 1 0,0-1 0,0 1 0,0-1 1,0 1-1,1 0 0,-1 0 0,0 0 0,1 0 0,-1 0 0,1 1 0,-1-1 1,1 1-1,-1 0 0,1-1 0,3 1 0,5 3-6769</inkml:trace>
  <inkml:trace contextRef="#ctx0" brushRef="#br0" timeOffset="5">1680 193 24575,'19'4'0,"-18"-3"0,0 0 0,0-1 0,0 0 0,0 1 0,0-1 0,0 0 0,0 1 0,1-1 0,-1 0 0,0 0 0,0 0 0,0 0 0,1 0 0,-1 0 0,0 0 0,0-1 0,0 1 0,0 0 0,1-1 0,-1 1 0,0 0 0,0-1 0,0 0 0,0 1 0,2-2 0,-1 0 0,0-1 0,0 1 0,-1 0 0,1-1 0,0 1 0,-1-1 0,0 0 0,1 1 0,-1-1 0,0 0 0,-1 0 0,2-4 0,-2 6 0,1-1 0,-1 1 0,0 0 0,1 0 0,-1 0 0,0 0 0,0 0 0,0 0 0,0 0 0,0 0 0,0 0 0,-1 0 0,1-1 0,0 1 0,0 0 0,-1 0 0,1 0 0,-1 0 0,1 0 0,-1 0 0,1 0 0,-1 0 0,0 1 0,1-1 0,-1 0 0,0 0 0,0 0 0,1 1 0,-1-1 0,0 0 0,0 1 0,0-1 0,0 1 0,0-1 0,-1 0 0,0 1 0,1 0 0,0 0 0,0 0 0,-1 0 0,1 1 0,0-1 0,-1 0 0,1 1 0,0-1 0,0 1 0,0-1 0,-1 1 0,1-1 0,0 1 0,0 0 0,0 0 0,0-1 0,0 1 0,0 0 0,0 0 0,0 0 0,1 0 0,-1 0 0,0 0 0,0 1 0,1-1 0,-1 1 0,-14 35 0,13-32 0,1 0 0,0 0 0,1 1 0,-1-1 0,1 0 0,0 1 0,1-1 0,-1 0 0,1 1 0,0-1 0,0 0 0,1 0 0,3 8 0,-4-10 0,0-1 0,0 0 0,0 0 0,1 0 0,-1 0 0,1 0 0,-1 0 0,1 0 0,0 0 0,0-1 0,0 1 0,0-1 0,0 1 0,0-1 0,0 0 0,0 0 0,0 0 0,1 0 0,-1 0 0,0 0 0,1-1 0,-1 1 0,1-1 0,-1 1 0,1-1 0,-1 0 0,1 0 0,-1 0 0,1-1 0,-1 1 0,4-1 0,-4 0 0,-1 1 0,0-1 0,1 1 0,-1-1 0,0 1 0,1-1 0,-1 0 0,0 0 0,1 0 0,-1 0 0,0 0 0,0 0 0,0 0 0,0 0 0,0 0 0,0 0 0,0 0 0,-1-1 0,1 1 0,0 0 0,-1-1 0,1 1 0,-1 0 0,1-1 0,-1 1 0,0-1 0,1 1 0,-1-1 0,0-2 0,6-16 0,19 23 0,-17-1 0,1-1 0,0 0 0,0-1 0,14-1 0,-22 1 0,0 0 0,0 0 0,0 0 0,0 0 0,0 0 0,0 0 0,0-1 0,0 1 0,0 0 0,0-1 0,0 1 0,0 0 0,0-1 0,0 1 0,0-1 0,-1 0 0,1 1 0,0-1 0,0 1 0,-1-1 0,1 0 0,0 0 0,-1 0 0,1 1 0,0-1 0,-1 0 0,1 0 0,-1 0 0,0 0 0,1 0 0,-1 0 0,0 0 0,0 0 0,1 0 0,-1 0 0,0 0 0,0 0 0,0 0 0,0 0 0,0 0 0,0 0 0,-1 0 0,1 0 0,0 0 0,0 0 0,-1 0 0,1 0 0,-1 0 0,1 1 0,0-1 0,-1 0 0,0 0 0,0-1 0,1 1 0,-1 0 0,1 0 0,-1 0 0,1 0 0,-1 0 0,1 0 0,-1 0 0,1 1 0,-1-1 0,0 0 0,0 0 0,1 1 0,-1-1 0,0 0 0,0 1 0,0-1 0,0 0 0,0 1 0,0 0 0,0-1 0,0 1 0,0-1 0,0 1 0,0 0 0,0 0 0,0 0 0,0-1 0,0 1 0,0 0 0,0 0 0,0 1 0,0-1 0,0 0 0,0 0 0,0 0 0,0 1 0,0-1 0,0 0 0,0 1 0,0-1 0,0 1 0,0-1 0,0 1 0,0 0 0,0-1 0,-1 3 0,-1 0 0,0 0 0,-1 0 0,1 1 0,1-1 0,-1 1 0,1 0 0,-1 0 0,1 0 0,-3 8 0,4-9 0,0 1 0,0-1 0,0 1 0,1 0 0,-1-1 0,1 1 0,0-1 0,0 1 0,0 0 0,0-1 0,1 1 0,-1-1 0,1 1 0,0 0 0,0-1 0,0 0 0,3 5 0,-3-6 0,1 0 0,-1 0 0,1 0 0,0 0 0,0-1 0,0 1 0,0 0 0,0-1 0,0 0 0,1 1 0,-1-1 0,0 0 0,1 0 0,-1 0 0,1 0 0,-1-1 0,1 1 0,-1-1 0,1 1 0,0-1 0,-1 0 0,1 0 0,-1 0 0,5-1 0,-3 1 0,0-1 0,-1 1 0,1-1 0,0 0 0,-1 0 0,1 0 0,-1-1 0,1 1 0,-1-1 0,0 0 0,1 1 0,-1-2 0,0 1 0,0 0 0,-1-1 0,6-4 0,-2-1 0,-1-1 0,0 1 0,0-1 0,6-16 0,9-15 0,-20 39 0,0 0 0,0 0 0,1 1 0,-1-1 0,1 0 0,-1 1 0,1-1 0,-1 0 0,1 1 0,-1-1 0,1 0 0,-1 1 0,1-1 0,0 1 0,-1-1 0,1 1 0,0-1 0,0 1 0,-1 0 0,1-1 0,0 1 0,0 0 0,0-1 0,-1 1 0,1 0 0,0 0 0,1 0 0,-1 0 0,0 1 0,0 0 0,0-1 0,0 1 0,0-1 0,0 1 0,0 0 0,-1 0 0,1 0 0,0 0 0,0-1 0,-1 1 0,1 0 0,0 0 0,-1 0 0,1 2 0,3 5 0,-1-1 0,-1 1 0,0 0 0,2 11 0,-3-14 0,0 0 0,0 1 0,0-1 0,-1 0 0,1 1 0,-1-1 0,-1 0 0,1 1 0,-1-1 0,-2 10 0,-1-38 0,4 17 0,1-1 0,-1 1 0,1 0 0,1-1 0,-1 1 0,1 0 0,0 0 0,1 0 0,-1 0 0,7-9 0,-8 14 0,0-1 0,0 1 0,0-1 0,1 1 0,-1-1 0,0 1 0,1 0 0,-1 0 0,1 0 0,0 0 0,-1 0 0,1 0 0,0 0 0,0 1 0,-1-1 0,4 0 0,-3 1 0,1 0 0,-1 0 0,0 0 0,1 0 0,-1 1 0,0-1 0,0 1 0,1 0 0,-1-1 0,0 1 0,0 0 0,0 0 0,0 0 0,0 1 0,0-1 0,3 3 0,-2-2 0,0 1 0,-1-1 0,1 1 0,-1-1 0,0 1 0,0 0 0,0 0 0,0-1 0,0 2 0,-1-1 0,1 0 0,-1 0 0,0 0 0,0 1 0,0-1 0,0 0 0,-1 1 0,1-1 0,-1 1 0,0-1 0,0 1 0,0-1 0,0 1 0,-1-1 0,1 1 0,-1-1 0,-2 4 0,3-6 0,0-1 0,0 0 0,0 0 0,0 0 0,0 1 0,0-1 0,0 0 0,0 0 0,0 0 0,0 0 0,0 1 0,0-1 0,0 0 0,0 0 0,-1 0 0,1 0 0,0 1 0,0-1 0,0 0 0,0 0 0,0 0 0,0 0 0,-1 0 0,1 0 0,0 0 0,0 0 0,0 1 0,-1-1 0,1 0 0,0 0 0,0 0 0,0 0 0,0 0 0,-1 0 0,1 0 0,0 0 0,0 0 0,0 0 0,-1 0 0,1 0 0,-4-8 0,2-14 0,2 17 0,1 0 0,0-1 0,0 1 0,0 0 0,1 0 0,-1 0 0,1 0 0,1 0 0,2-6 0,-4 10 0,-1 0 0,1 0 0,-1 0 0,1 0 0,0 0 0,-1 0 0,1 0 0,0 0 0,0 0 0,0 0 0,0 0 0,0 0 0,0 0 0,0 1 0,0-1 0,0 0 0,0 1 0,0-1 0,0 1 0,1-1 0,-1 1 0,0 0 0,0 0 0,1-1 0,-1 1 0,0 0 0,0 0 0,1 0 0,-1 0 0,0 0 0,0 0 0,1 1 0,-1-1 0,0 0 0,0 1 0,0-1 0,1 1 0,-1-1 0,0 1 0,0-1 0,0 1 0,0 0 0,0 0 0,1 1 0,1 1 0,-1-1 0,0 1 0,0 0 0,0 1 0,0-1 0,0 0 0,-1 0 0,3 6 0,-3-5 0,1 0 0,-1 0 0,1-1 0,0 1 0,0-1 0,4 5 0,-5-7 0,0 0 0,0 0 0,0 0 0,0 0 0,1 0 0,-1-1 0,0 1 0,1 0 0,-1-1 0,0 1 0,1-1 0,-1 0 0,0 1 0,1-1 0,-1 0 0,1 0 0,-1 0 0,1 0 0,-1 0 0,1 0 0,-1 0 0,3-1 0,0-1 0,1 0 0,-1 0 0,0 0 0,1 0 0,-1-1 0,0 0 0,0 0 0,-1 0 0,1 0 0,-1 0 0,1-1 0,-1 0 0,0 0 0,0 0 0,-1 0 0,1 0 0,-1 0 0,0-1 0,0 1 0,0-1 0,-1 1 0,0-1 0,0 0 0,0 0 0,0 0 0,0-5 0,-1 10 0,0-1 0,0 1 0,0-1 0,0 1 0,0-1 0,0 0 0,0 1 0,0-1 0,0 1 0,0-1 0,0 0 0,-1 1 0,1-1 0,0 1 0,0-1 0,0 1 0,-1-1 0,1 1 0,0-1 0,-1 1 0,1-1 0,0 1 0,-1-1 0,1 1 0,-1 0 0,1-1 0,-1 1 0,1 0 0,-1-1 0,1 1 0,-1 0 0,1-1 0,-1 1 0,1 0 0,-1 0 0,1 0 0,-1 0 0,0 0 0,1-1 0,-1 1 0,1 0 0,-1 0 0,0 0 0,1 0 0,-1 1 0,1-1 0,-1 0 0,1 0 0,-1 0 0,0 0 0,1 1 0,-1-1 0,1 0 0,-1 0 0,1 1 0,-1-1 0,1 0 0,-1 1 0,1-1 0,0 1 0,-1-1 0,1 1 0,-1 0 0,-3 2 0,1 0 0,0 1 0,-1-1 0,1 1 0,1 0 0,-5 6 0,3-1 0,0 0 0,1 1 0,-4 18 0,6-26 0,1 0 0,0 0 0,0 1 0,-1-1 0,2 0 0,-1 1 0,0-1 0,0 0 0,1 0 0,0 4 0,0-6 0,-1 1 0,1 0 0,-1 0 0,1 0 0,-1 0 0,1-1 0,-1 1 0,1 0 0,0-1 0,0 1 0,-1 0 0,1-1 0,0 1 0,0-1 0,0 1 0,-1-1 0,1 0 0,0 1 0,0-1 0,0 0 0,0 0 0,0 1 0,0-1 0,0 0 0,1 0 0,1 0 0,0-1 0,-1 1 0,1-1 0,0 1 0,-1-1 0,1 0 0,0 0 0,-1 0 0,1-1 0,-1 1 0,0 0 0,1-1 0,-1 0 0,0 1 0,0-1 0,0 0 0,0 0 0,0 0 0,-1-1 0,1 1 0,-1 0 0,3-5 0,-1 1 0,1 0 0,-1 0 0,-1 0 0,1-1 0,-1 1 0,0-1 0,1-13 0,-3 28 0,-1 0 0,2 0 0,-1 0 0,1-1 0,2 11 0,-3-17 0,0 1 0,0-1 0,1 0 0,-1 1 0,0-1 0,1 0 0,0 0 0,-1 1 0,1-1 0,0 0 0,-1 0 0,1 0 0,0 0 0,0 0 0,0 0 0,0 0 0,0 0 0,0 0 0,0 0 0,0-1 0,0 1 0,1 0 0,-1-1 0,0 1 0,0-1 0,1 1 0,-1-1 0,0 0 0,1 1 0,-1-1 0,0 0 0,1 0 0,-1 0 0,1 0 0,-1 0 0,0 0 0,1 0 0,-1-1 0,0 1 0,1-1 0,-1 1 0,0 0 0,0-1 0,1 0 0,1-1 0,0 1 0,0-1 0,-1 1 0,1-1 0,0 0 0,-1 0 0,0 0 0,1 0 0,-1 0 0,0-1 0,0 1 0,0-1 0,0 0 0,-1 1 0,1-1 0,-1 0 0,3-5 0,-2 1 0,0 0 0,-1 0 0,0 0 0,0-1 0,0 1 0,-1-9 0,0 68 0,5 122 0,20 63 0,-37-379 0,4 5 0,8 121 0,1 0 0,1 1 0,0-1 0,1 1 0,0 0 0,10-26 0,-12 39 0,-1 0 0,1 0 0,0 0 0,0 0 0,0 1 0,0-1 0,0 0 0,0 1 0,0-1 0,1 1 0,-1-1 0,1 1 0,-1 0 0,1-1 0,-1 1 0,1 0 0,0 0 0,0 0 0,-1 0 0,1 0 0,0 1 0,0-1 0,0 1 0,0-1 0,0 1 0,0-1 0,3 1 0,-2 1 0,-1-1 0,1 1 0,-1 0 0,0 0 0,1 0 0,-1 0 0,0 0 0,0 0 0,0 1 0,1-1 0,-1 1 0,-1-1 0,1 1 0,0 0 0,0 0 0,-1 0 0,1 0 0,-1 0 0,1 0 0,-1 0 0,1 4 0,0-4 10,-1 0 0,-1 0 0,1 0-1,0 0 1,0 0 0,-1 0 0,1 0-1,-1 0 1,0 1 0,1-1 0,-1 0-1,0 0 1,0 0 0,-1 1 0,1-1-1,0 0 1,-1 0 0,1 0 0,-1 0-1,0 0 1,0 0 0,1 0 0,-2 0-1,1 0 1,0 0 0,0 0 0,0-1-1,-1 1 1,1 0 0,-1-1 0,1 1-1,-1-1 1,0 0 0,-1 2 0,0-2-85,0 1 1,0-1 0,0 1 0,0-1 0,0 0-1,0 0 1,0-1 0,-1 1 0,1-1 0,0 1-1,0-1 1,0 0 0,-1 0 0,1-1 0,0 1-1,0 0 1,0-1 0,-1 0 0,1 0 0,0 0-1,0 0 1,-4-3 0,-7-5-6752</inkml:trace>
  <inkml:trace contextRef="#ctx0" brushRef="#br0" timeOffset="6">1461 433 24575,'189'1'0,"186"-2"0,-6-20 0,-298 12 0,-70 8 54,-4 1 63,-12 0 54,-19 1-1878,12 0-5119</inkml:trace>
  <inkml:trace contextRef="#ctx0" brushRef="#br0" timeOffset="7">1440 490 24575,'946'0'-1365,"-915"0"-5461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11"/>
    </inkml:context>
    <inkml:brush xml:id="br0">
      <inkml:brushProperty name="width" value="0.025" units="cm"/>
      <inkml:brushProperty name="height" value="0.025" units="cm"/>
    </inkml:brush>
  </inkml:definitions>
  <inkml:trace contextRef="#ctx0" brushRef="#br0">107 112 24575,'0'-1'0,"0"0"0,0 1 0,0-1 0,-1 0 0,1 1 0,0-1 0,0 0 0,0 1 0,-1-1 0,1 0 0,0 1 0,-1-1 0,1 1 0,0-1 0,-1 0 0,1 1 0,-1-1 0,1 1 0,-1-1 0,1 1 0,-1 0 0,1-1 0,-1 1 0,1-1 0,-1 1 0,0 0 0,1 0 0,-1-1 0,0 1 0,1 0 0,-1 0 0,0 0 0,1 0 0,-1 0 0,0 0 0,1 0 0,-1 0 0,0 0 0,1 0 0,-2 0 0,0 0 0,-1 0 0,1 1 0,0-1 0,-1 1 0,1 0 0,0-1 0,0 1 0,-1 0 0,1 0 0,-2 2 0,-1 1 0,1 0 0,0 1 0,0-1 0,1 1 0,-1 0 0,1 0 0,0 0 0,1 0 0,-1 1 0,1-1 0,0 1 0,-2 8 0,-1 7 0,-3 43 0,5-41 0,2 1 0,4 42 0,-2-58 0,0 1 0,0-1 0,1 1 0,0-1 0,1 0 0,0 0 0,0 0 0,1 0 0,0 0 0,10 14 0,-11-19 22,0 0-1,0 0 0,0 0 1,1-1-1,-1 1 0,0-1 1,1 0-1,0 0 0,0 0 1,-1 0-1,1-1 0,0 1 1,0-1-1,1 0 0,4 0 1,-2 0-212,-1-1 0,1 0 1,0 0-1,-1 0 0,1-1 1,-1 0-1,1 0 1,11-4-1,5-5-6636</inkml:trace>
  <inkml:trace contextRef="#ctx0" brushRef="#br0" timeOffset="1">262 302 24575,'-1'-6'-131,"-1"11"142,0 14 31,17 124 26,-8-98-58,-7-40-10,1-3 0,0 1 0,-1 0 0,0-1 0,1 1 0,-1 0 0,0 0 0,0-1 0,-1 1 0,1 0 0,0-1 0,-1 1 0,0 0 0,1-1 0,-1 1 0,-2 3 0,3-6 0,0 0 0,0 0 0,0 0 0,-1 1 0,1-1 0,0 0 0,0 0 0,0 0 0,0 0 0,-1 0 0,1 0 0,0 0 0,0 0 0,0 0 0,0 0 0,-1 1 0,1-1 0,0 0 0,0 0 0,0 0 0,-1 0 0,1 0 0,0 0 0,0 0 0,0 0 0,-1-1 0,1 1 0,0 0 0,0 0 0,0 0 0,0 0 0,-1 0 0,1 0 0,0 0 0,0 0 0,0 0 0,0-1 0,-1 1 0,-4-9 0,-2-13 0,3-9 0,0 1 0,2-1 0,2 0 0,0 0 0,9-55 0,-7 79 0,0 0 0,0 0 0,0 0 0,1 0 0,0 0 0,8-11 0,-11 17 0,1-1 0,-1 1 0,1 0 0,0 0 0,0 0 0,-1 1 0,1-1 0,0 0 0,0 0 0,0 0 0,0 1 0,0-1 0,0 0 0,0 1 0,0-1 0,0 1 0,0-1 0,0 1 0,0-1 0,1 1 0,-1 0 0,0 0 0,0-1 0,0 1 0,1 0 0,-1 0 0,0 0 0,0 0 0,0 1 0,1-1 0,-1 0 0,0 0 0,0 1 0,0-1 0,0 1 0,0-1 0,0 1 0,0-1 0,1 1 0,-2 0 0,1-1 0,0 1 0,0 0 0,0 0 0,0 0 0,0 0 0,-1 0 0,2 1 0,2 3 0,-1 0 0,0 1 0,0-1 0,0 0 0,-1 1 0,0 0 0,0 0 0,0-1 0,-1 1 0,0 0 0,0 0 0,0 0 0,-1 1 0,0 9 0,0-9 0,-1-1 0,0 0 0,0 0 0,0 1 0,0-1 0,-1 0 0,0 0 0,-1 0 0,1 0 0,-1-1 0,0 1 0,-1-1 0,1 1 0,-5 4 0,7-9 16,-1 0-1,1 1 1,0-1-1,-1 0 1,1 0-1,0 0 1,-1 0-1,0 0 1,1-1-1,-3 2 1,3-2-9,1 0 0,-1 0 0,1 0 0,-1 0 0,1 0 1,-1 0-1,1 0 0,-1 0 0,1 0 0,-1 0 0,1 0 0,-1 0 0,1 0 0,-1 0 1,1-1-1,-1 1 0,1 0 0,0 0 0,-1 0 0,1-1 0,-1 1 0,1 0 0,-1-1 1,0-1-94,0 1 1,1-1 0,-1 1-1,0-1 1,1 1 0,0-1-1,-1 0 1,1 1 0,0-1-1,0 1 1,-1-1 0,1 0-1,1 1 1,-1-1 0,0 0-1,0 1 1,1-1 0,-1 0-1,1-2 1,7-16-6741</inkml:trace>
  <inkml:trace contextRef="#ctx0" brushRef="#br0" timeOffset="2">446 239 24575,'11'19'0,"0"-5"0,-1-3 0,15 27 0,-23-35 0,0 0 0,-1-1 0,0 1 0,1 0 0,-1 1 0,0-1 0,-1 0 0,1 0 0,0 0 0,-1 1 0,0-1 0,0 0 0,0 0 0,0 1 0,-1 3 0,1-7 0,0 1 0,0 0 0,0-1 0,0 1 0,0 0 0,0-1 0,-1 1 0,1 0 0,0-1 0,-1 1 0,1-1 0,0 1 0,-1 0 0,1-1 0,-1 1 0,1-1 0,-1 1 0,1-1 0,-1 1 0,1-1 0,-1 0 0,1 1 0,-1-1 0,1 0 0,-1 1 0,0-1 0,1 0 0,-1 0 0,0 0 0,1 1 0,-1-1 0,0 0 0,1 0 0,-1 0 0,0 0 0,1 0 0,-1 0 0,0 0 0,1-1 0,-1 1 0,0 0 0,1 0 0,-1 0 0,0-1 0,0 1 0,-1-1 0,0 0 0,1 0 0,-1-1 0,0 1 0,1 0 0,-1-1 0,1 1 0,-1-1 0,1 1 0,0-1 0,0 0 0,-1 1 0,1-1 0,-1-2 0,1-1 20,-1 1 0,1-1 0,0 0 1,1 1-1,-1-1 0,1 0 0,0 1 0,0-1 0,0 0 0,0 1 0,1-1 0,0 0 0,0 1 0,0-1 0,1 1 0,2-6 1,-2 7-99,-1 0 0,1 0 1,0 0-1,0 0 1,1 0-1,-1 1 1,1-1-1,-1 1 0,1-1 1,0 1-1,0 0 1,0 0-1,0 0 1,0 1-1,0-1 0,0 1 1,1-1-1,-1 1 1,1 0-1,-1 1 1,7-2-1,5 1-6748</inkml:trace>
  <inkml:trace contextRef="#ctx0" brushRef="#br0" timeOffset="3">685 260 24575,'0'-1'0,"0"0"0,1 1 0,-1-1 0,0 0 0,0 0 0,0 1 0,0-1 0,-1 0 0,1 1 0,0-1 0,0 0 0,0 1 0,0-1 0,-1 0 0,1 1 0,0-1 0,-1 0 0,1 1 0,0-1 0,-1 0 0,1 1 0,-1-1 0,1 1 0,-1-1 0,1 1 0,-1-1 0,0 1 0,1 0 0,-1-1 0,1 1 0,-1 0 0,0-1 0,1 1 0,-1 0 0,0 0 0,1 0 0,-1-1 0,0 1 0,0 0 0,1 0 0,-1 0 0,0 0 0,1 0 0,-2 1 0,0-1 0,0 1 0,0-1 0,0 1 0,0 0 0,0 0 0,0 0 0,0 0 0,0 0 0,0 0 0,0 0 0,0 1 0,1-1 0,-2 2 0,0 1 0,0 0 0,0-1 0,1 1 0,-1 0 0,1 0 0,0 1 0,0-1 0,1 0 0,-1 1 0,1-1 0,-1 5 0,2-7 0,0 0 0,0-1 0,0 1 0,0 0 0,0 0 0,0-1 0,0 1 0,1 0 0,-1-1 0,1 1 0,-1 0 0,1-1 0,0 1 0,-1-1 0,1 1 0,0-1 0,0 1 0,0-1 0,0 1 0,0-1 0,1 0 0,-1 0 0,0 0 0,0 0 0,1 0 0,-1 0 0,1 0 0,-1 0 0,1 0 0,-1 0 0,1-1 0,2 1 0,-1 0 0,0 0 0,0-1 0,0 1 0,0-1 0,0 0 0,1 1 0,-1-2 0,0 1 0,0 0 0,0-1 0,0 1 0,0-1 0,0 0 0,0 0 0,0 0 0,0 0 0,0-1 0,0 1 0,0-1 0,-1 0 0,1 0 0,-1 0 0,4-3 0,-5 4 0,1-1 0,-1 0 0,1 1 0,-1-1 0,0 0 0,0 0 0,0 0 0,0 0 0,0 0 0,0 0 0,0 0 0,-1-1 0,1 1 0,-1 0 0,0 0 0,1 0 0,-1-1 0,0 1 0,0 0 0,-1 0 0,1-1 0,0 1 0,-1 0 0,1 0 0,-1 0 0,0 0 0,0-1 0,0 1 0,0 0 0,0 0 0,0 1 0,0-1 0,-3-3 0,3 4 15,1 0 0,-1 1 0,0-1 0,0 0-1,0 0 1,1 0 0,-1 1 0,0-1 0,0 1 0,0-1-1,0 1 1,0-1 0,0 1 0,0-1 0,0 1 0,0 0 0,0-1-1,0 1 1,-1 0 0,1 0 0,0 0 0,-1 0 0,1 0-27,1 0 1,0 0-1,0 0 1,-1 1 0,1-1-1,0 0 1,0 0 0,-1 0-1,1 0 1,0 0-1,0 1 1,0-1 0,-1 0-1,1 0 1,0 0 0,0 1-1,0-1 1,0 0-1,-1 0 1,1 1 0,0-1-1,0 0 1,0 0-1,0 1 1,0-1 0,0 0-1,0 0 1,0 1 0,0-1-1,6 14-1353,4-3-5461</inkml:trace>
  <inkml:trace contextRef="#ctx0" brushRef="#br0" timeOffset="4">932 302 24575,'0'-1'-21,"0"0"0,0 0-1,0 0 1,0-1 0,0 1-1,0 0 1,0 0 0,-1 0 0,1 0-1,-1 0 1,1 0 0,-1 0-1,1 0 1,-1 0 0,1 0-1,-1 0 1,0 0 0,1 0-1,-1 0 1,0 1 0,0-1 0,0 0-1,0 1 1,0-1 0,0 0-1,0 1 1,0-1 0,0 1-1,0-1 1,0 1 0,0 0 0,0-1-1,0 1 1,0 0 0,0 0-1,-1 0 1,1 0 0,0 0-1,0 0 1,-1 0 0,-1 0 48,1 1 0,-1-1-1,0 1 1,1-1 0,-1 1 0,1 0 0,-1 0 0,1 0 0,0 0-1,-1 0 1,1 1 0,0-1 0,0 1 0,0-1 0,0 1 0,-3 3-1,3-2-13,0-1 0,0 1 0,1 0 0,-1 0 0,1-1 0,0 1 0,-1 0 0,2 0 0,-1 1-1,0-1 1,0 0 0,1 0 0,0 0 0,-1 0 0,1 0 0,1 1 0,-1-1 0,0 0 0,1 0-1,1 5 1,-1-6-7,0 0-1,0 0 0,0 0 0,0 0 0,1 0 1,-1 0-1,1 0 0,0-1 0,-1 1 0,1 0 1,0-1-1,0 1 0,0-1 0,0 0 1,0 0-1,1 0 0,-1 0 0,0 0 0,0 0 1,1-1-1,-1 1 0,0-1 0,1 1 0,-1-1 1,0 0-1,1 0 0,2 0 0,-2 0-5,0 0 0,0-1 0,0 1 0,0-1 0,0 1 0,0-1 0,0 0 0,0 0 0,0 0 0,-1-1 0,1 1 0,0-1 0,-1 1 0,1-1 0,-1 0 0,1 0 0,-1 0 0,0 0 0,0-1 0,0 1 0,0 0 0,-1-1 0,1 0 0,0 1 0,-1-1 0,0 0 0,0 0 0,0 0 0,0 1 0,0-1 0,0 0 0,-1-4 0,3-9 0,-1 0 0,-2-1 0,1 1 0,-4-26 0,1 9 0,2 17 0,-1 1 0,0 0 0,-8-29 0,9 96 0,3-3 0,3 37 0,-5-74 0,1-1 0,1 1 0,0-1 0,0 0 0,6 12 0,-2-12-1365,0-4-5461</inkml:trace>
  <inkml:trace contextRef="#ctx0" brushRef="#br0" timeOffset="5">1102 267 24575,'-3'17'0,"2"-13"0,0 0 0,1-1 0,-1 1 0,1 0 0,0 0 0,0 0 0,1 6 0,-1-9 0,1 0 0,-1 0 0,1 0 0,-1 0 0,1 0 0,-1 0 0,1 0 0,0 0 0,0 0 0,-1-1 0,1 1 0,0 0 0,0 0 0,0-1 0,0 1 0,0 0 0,0-1 0,0 1 0,0-1 0,0 1 0,0-1 0,0 0 0,0 1 0,0-1 0,1 0 0,-1 0 0,0 0 0,0 0 0,0 0 0,0 0 0,0 0 0,2 0 0,0-1 0,-1 1 0,0-1 0,1 0 0,-1 0 0,0 0 0,0 0 0,0 0 0,0-1 0,0 1 0,0-1 0,0 1 0,0-1 0,0 0 0,-1 1 0,1-1 0,-1 0 0,1 0 0,-1 0 0,0 0 0,0 0 0,0-1 0,0 1 0,0 0 0,0-1 0,0 1 0,-1 0 0,0-1 0,1 1 0,-1-1 0,0 1 0,0 0 0,0-1 0,0 1 0,-1-1 0,1 1 0,-1-1 0,1 1 0,-2-3 0,-4 0 342,6 5-371,0 0 0,0 0 0,0 0 0,0 0 0,0 0 0,0 0 0,0 0 0,0 1 0,0-1 0,0 0 0,0 0 0,0 0 1,0 0-1,0 0 0,0 0 0,0 0 0,0 0 0,0 0 0,0 0 0,0 0 0,0 0 0,0 0 0,0 0 0,0 1 0,0-1 1,0 0-1,0 0 0,0 0 0,0 0 0,0 0 0,0 0 0,0 0 0,0 0 0,-1 0 0,1 0 0,0 0 0,0 0 0,0 0 1,0 0-1,0 0 0,0 0 0,0 0 0,0 0 0,0 0 0,0 0 0,0 0 0,0 0 0,0 0 0,0 0 0,0 0 0,-1 0 0,1 0 1,0 0-1,0 0 0,0 0 0,0 0 0,0 0 0,0 0 0</inkml:trace>
  <inkml:trace contextRef="#ctx0" brushRef="#br0" timeOffset="6">1278 267 24575,'0'0'0,"0"-1"0,0 1 0,0-1 0,0 1 0,0-1 0,0 1 0,0 0 0,0-1 0,0 1 0,0 0 0,-1-1 0,1 1 0,0-1 0,0 1 0,0 0 0,-1-1 0,1 1 0,0 0 0,0-1 0,-1 1 0,1 0 0,0 0 0,0-1 0,-1 1 0,1 0 0,0 0 0,-1-1 0,1 1 0,0 0 0,-1 0 0,-14 1 0,-11 13 0,24-12 0,0 0 0,0-1 0,1 1 0,-1 0 0,1 0 0,-1 0 0,1 0 0,-1 0 0,1 0 0,0 0 0,0 0 0,0 1 0,1-1 0,-1 0 0,0 1 0,1-1 0,0 0 0,-1 1 0,1-1 0,0 1 0,0-1 0,1 5 0,0-5 0,0 1 0,0-1 0,0 0 0,0 0 0,0 0 0,1 1 0,-1-1 0,1 0 0,-1-1 0,1 1 0,0 0 0,0 0 0,0-1 0,0 1 0,0-1 0,0 0 0,0 1 0,0-1 0,1 0 0,-1 0 0,0-1 0,4 2 0,1 0 0,0 0 0,1 0 0,-1-1 0,1 0 0,0 0 0,-1-1 0,1 0 0,0 0 0,-1-1 0,1 0 0,11-3 0,-16 3 0,1-1 0,-1 1 0,0-1 0,1 1 0,-1-1 0,0 0 0,0 0 0,-1 0 0,1-1 0,0 1 0,-1-1 0,1 1 0,-1-1 0,0 0 0,0 0 0,0 0 0,0 0 0,-1 0 0,1-1 0,-1 1 0,0 0 0,0-1 0,0 1 0,0-1 0,0 1 0,-1-7 0,2-18 0,-2 1 0,0-1 0,-7-38 0,7 76 0,0-1 0,0 1 0,-1 10 0,-1 13 0,1 8 0,0-8 0,2 0 0,4 34 0,-4-63 171,0-7 0,0-6-1878,-1-2-5119</inkml:trace>
  <inkml:trace contextRef="#ctx0" brushRef="#br0" timeOffset="7">1370 260 24575,'0'1'0,"-2"1"0,1 2 0,3 0 0,5 0 0,5-1 0,7-5 0,4-1 0,1-4 0,-1 1 0,-4-2 0,-3 0 0,-3 2-8191</inkml:trace>
  <inkml:trace contextRef="#ctx0" brushRef="#br0" timeOffset="8">1497 13 24575,'0'-1'0,"0"1"0,0-1 0,0 1 0,0-1 0,0 1 0,0-1 0,0 1 0,0-1 0,0 1 0,1-1 0,-1 1 0,0-1 0,0 1 0,1-1 0,-1 1 0,0 0 0,1-1 0,-1 1 0,0-1 0,1 1 0,-1 0 0,0-1 0,1 1 0,-1 0 0,1 0 0,-1-1 0,1 1 0,-1 0 0,1 0 0,-1 0 0,1-1 0,-1 1 0,1 0 0,-1 0 0,1 0 0,-1 0 0,1 0 0,-1 0 0,1 0 0,-1 0 0,1 0 0,-1 0 0,1 0 0,-1 1 0,1-1 0,25 10 0,-14-2 0,0 0 0,-1 1 0,1 0 0,-2 1 0,0 0 0,0 0 0,-1 1 0,0 1 0,-1 0 0,0 0 0,-1 0 0,7 15 0,-4-2 0,0 0 0,-1 0 0,-2 1 0,0 0 0,4 44 0,-9-58 86,-2-1-1,1 1 0,-4 23 1,3-32-176,0 0 0,-1 1 0,0-1 0,0 0 0,0 0 1,0 0-1,0 1 0,-1-1 0,0 0 0,1-1 1,-1 1-1,0 0 0,0 0 0,-1-1 0,1 1 0,0-1 1,-1 0-1,-3 3 0,-6 1-6736</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320"/>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69 106,'69'7,"-1"1,727 51,-365-17,-422-41,-5 0,0-1,-1 1,1-1,-1 0,1 0,-1 0,1 0,0 0,-1 0,1-1,-1 1,1-1,4-2,-7 3,0-1,0 1,0 0,0-1,0 1,-1 0,1-1,0 1,0 0,0-1,0 1,-1 0,1-1,0 1,0 0,0-1,-1 1,1 0,0 0,-1-1,1 1,0 0,-1 0,1 0,0 0,-1-1,1 1,0 0,-1 0,1 0,0 0,-1 0,1 0,-1 0,-16-6,-183-35,42 10,22-2,-229-45,297 67,0 4,-1 2,-96 7,155-2,-40 6,47-5,0-1,0 1,0 0,0 0,0 0,0 1,1-1,-1 1,0 0,0-1,1 1,-4 4,6-6,-1 1,1-1,-1 1,1 0,0-1,0 1,-1 0,1 0,0-1,0 1,-1 0,1 0,0-1,0 1,0 0,0 0,0-1,0 1,1 0,-1 0,0-1,0 1,0 0,1 0,-1-1,0 1,1 0,-1-1,1 1,-1 0,0-1,1 1,0-1,-1 1,2 0,23 18,-24-19,23 13,1-1,0-1,37 10,85 17,-70-23,1-4,95 3,158-20,-319 5,173-12,-135 7,81-21,-113 19,-18 8,0 0,0 0,-1-1,1 1,0 0,0 0,0-1,0 1,0 0,0 0,-1 0,1-1,0 1,0 0,0 0,-1 0,1 0,0-1,0 1,-1 0,1 0,0 0,0 0,-1 0,1 0,0 0,0 0,-1 0,1 0,0 0,0 0,-1 0,1 0,-1 0,-38-3,-201-5,-147 0,270 11,-150 23,189-15,1 4,-138 45,210-58,1-1,-1 1,0 0,1 0,0 0,-1 1,1-1,0 1,0 0,1 0,-1 1,1-1,-5 6,7-8,1 0,0 0,-1-1,1 1,0 0,0 0,0-1,0 1,0 0,0 0,0 0,0-1,0 1,0 0,0 0,0 0,1-1,-1 1,0 0,1-1,-1 1,0 0,1 0,-1-1,1 1,-1-1,1 1,-1 0,1-1,-1 1,1-1,0 1,-1-1,1 0,0 1,-1-1,1 0,0 1,1-1,34 10,-32-10,71 11,0-3,0-4,103-7,225-39,-361 37,360-67,-396 70,0 1,0 0,-1-1,0 0,1 0,-1 0,5-4,-10 6,0 0,1 0,-1 0,0 0,0 0,0 0,0 0,0 0,1 0,-1 0,0-1,0 1,0 0,0 0,0 0,0 0,0 0,0 0,0 0,1-1,-1 1,0 0,0 0,0 0,0 0,0 0,0-1,0 1,0 0,0 0,0 0,0 0,0 0,0-1,0 1,0 0,0 0,0 0,0 0,0 0,0 0,0-1,-1 1,-6-3,-13 2,-223 23,131-9,85-10,3 0,0-1,-1-1,-42-4,37-2</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21"/>
    </inkml:context>
    <inkml:brush xml:id="br0">
      <inkml:brushProperty name="width" value="0.025" units="cm"/>
      <inkml:brushProperty name="height" value="0.025" units="cm"/>
    </inkml:brush>
  </inkml:definitions>
  <inkml:trace contextRef="#ctx0" brushRef="#br0">0 155 24575,'35'0'0,"701"-13"0,-425 4 0,-290 8 0,1 0 0,-1-2 0,0 0 0,1-2 0,-2 0 0,35-13 0,-47 11-1365</inkml:trace>
  <inkml:trace contextRef="#ctx0" brushRef="#br0" timeOffset="1">1179 0 24575,'23'11'0,"-17"-8"0,0-1 0,-1 1 0,1 0 0,-1 0 0,1 0 0,-1 1 0,0 0 0,0 0 0,-1 0 0,1 1 0,-1-1 0,0 1 0,3 6 0,-4-7 0,-1 0 0,0 1 0,0-1 0,0 1 0,-1 0 0,0 0 0,0-1 0,0 1 0,0 0 0,-1 0 0,1 0 0,-1 0 0,-1 0 0,1 0 0,-1-1 0,0 1 0,-1 7 0,-1-6 0,1 0 0,0 0 0,-1 0 0,0 0 0,-1-1 0,1 1 0,-1-1 0,0 0 0,0 0 0,-1 0 0,1 0 0,-9 6 0,12-10-76,0-1 1,0 1-1,0 0 0,0 0 0,0-1 0,0 1 0,0-1 0,-1 1 1,1-1-1,0 1 0,0-1 0,0 0 0,-1 0 0,1 1 1,0-1-1,0 0 0,-2 0 0,-3-3-6750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23"/>
    </inkml:context>
    <inkml:brush xml:id="br0">
      <inkml:brushProperty name="width" value="0.025" units="cm"/>
      <inkml:brushProperty name="height" value="0.025" units="cm"/>
    </inkml:brush>
  </inkml:definitions>
  <inkml:trace contextRef="#ctx0" brushRef="#br0">103 17 24575,'0'0'0,"0"-1"0,0 0 0,0 0 0,0 1 0,0-1 0,0 0 0,-1 1 0,1-1 0,0 0 0,-1 1 0,1-1 0,0 0 0,-1 1 0,1-1 0,-1 1 0,1-1 0,-1 1 0,1-1 0,-1 1 0,1-1 0,-1 1 0,1 0 0,-1-1 0,0 1 0,1 0 0,-1-1 0,0 1 0,1 0 0,-1 0 0,0-1 0,0 1 0,1 0 0,-2 0 0,0 0 0,1 0 0,-1 0 0,1 0 0,-1 0 0,1 0 0,-1 0 0,1 1 0,-1-1 0,1 0 0,-1 1 0,1-1 0,-1 1 0,1 0 0,-3 1 0,-1 2 0,1 1 0,0 0 0,0 0 0,0 0 0,0 1 0,1-1 0,0 1 0,0 0 0,1 0 0,-4 12 0,0 3 0,-5 41 0,10-55 0,0 0 0,0 1 0,1-1 0,0 0 0,1 0 0,-1 1 0,2-1 0,-1 0 0,4 11 0,-4-15 0,1 0 0,-1 0 0,1 0 0,0 0 0,0-1 0,0 1 0,0 0 0,0-1 0,1 1 0,-1-1 0,1 0 0,-1 0 0,1 0 0,0 0 0,0 0 0,0-1 0,0 1 0,0-1 0,0 0 0,1 0 0,-1 0 0,5 0 0,-2 0 0,0 0 0,0-1 0,0 1 0,0-2 0,0 1 0,1-1 0,-1 0 0,-1 0 0,1 0 0,0-1 0,0 0 0,10-5 0,-12 5 0,0 0 0,0-1 0,0 0 0,0 0 0,0 0 0,-1 0 0,1 0 0,-1-1 0,0 1 0,0-1 0,0 0 0,-1 0 0,1 0 0,-1 0 0,0 0 0,2-8 0,-7 22 0,0-3 0,1 0 0,0 1 0,0-1 0,1 1 0,-1 10 0,2-16 0,0 0 0,0-1 0,0 1 0,0 0 0,0-1 0,0 1 0,1-1 0,-1 1 0,1 0 0,-1-1 0,1 1 0,0-1 0,-1 1 0,1-1 0,0 0 0,0 1 0,0-1 0,0 0 0,0 0 0,1 1 0,-1-1 0,0 0 0,0 0 0,1 0 0,-1-1 0,1 1 0,-1 0 0,0 0 0,1-1 0,0 1 0,-1-1 0,1 1 0,-1-1 0,3 1 0,-1-1 0,-1 1 0,1-1 0,-1 0 0,1 0 0,0 0 0,-1 0 0,1 0 0,-1 0 0,1-1 0,0 1 0,-1-1 0,1 0 0,-1 0 0,1 0 0,-1 0 0,0 0 0,1 0 0,-1 0 0,0-1 0,0 0 0,0 1 0,0-1 0,0 0 0,0 0 0,-1 0 0,1 0 0,-1 0 0,1 0 0,-1 0 0,0-1 0,1 1 0,-1 0 0,-1-1 0,1 1 0,0-1 0,0 1 0,-1-1 0,0 0 0,1 1 0,-1-1 0,0 1 0,0-1 0,-1 0 0,1 1 0,0-1 0,-1 1 0,0-4 0,-1 3 0,1 0 0,0-1 0,-1 1 0,0 0 0,0 0 0,0 0 0,0 0 0,0 1 0,-1-1 0,1 1 0,-1-1 0,0 1 0,1 0 0,-1 0 0,0 0 0,0 0 0,-1 0 0,-4-1 0,6 2 0,0 1 0,0-1 0,0 1 0,0 0 0,0-1 0,0 1 0,0 0 0,1 0 0,-1 1 0,0-1 0,0 0 0,0 0 0,0 1 0,0 0 0,0-1 0,0 1 0,1 0 0,-1 0 0,0 0 0,1 0 0,-1 0 0,0 0 0,1 0 0,0 0 0,-1 1 0,1-1 0,0 1 0,-1-1 0,1 1 0,0-1 0,0 1 0,0 0 0,0 0 0,0 2 0,-1-1 0,1 0 0,0-1 0,0 1 0,0 0 0,0 0 0,1-1 0,-1 1 0,1 0 0,0 0 0,0 0 0,0 0 0,0 0 0,0-1 0,0 1 0,1 0 0,-1 0 0,1 0 0,0 0 0,0-1 0,2 5 0,-1-4 0,0-1 0,0 0 0,0 1 0,1-1 0,-1 0 0,0 0 0,1 0 0,-1-1 0,1 1 0,0-1 0,0 1 0,-1-1 0,1 0 0,0 0 0,0 0 0,0 0 0,0-1 0,7 1 0,-7 0 0,0-1 0,0 1 0,0-1 0,1 0 0,-1 0 0,0-1 0,0 1 0,0-1 0,1 1 0,-1-1 0,0 0 0,0 0 0,0 0 0,0-1 0,0 1 0,-1-1 0,1 0 0,4-3 0,-3 1 0,-1 1 0,-1-1 0,1 0 0,-1 0 0,1 0 0,-1 0 0,0-1 0,0 1 0,-1 0 0,0-1 0,1 0 0,-1-5 0,0 8 0,5-22 0,-6 24 0,0 0 0,0 0 0,0 0 0,1 0 0,-1 0 0,0 0 0,0 0 0,0 0 0,0 0 0,0-1 0,0 1 0,0 0 0,0 0 0,0 0 0,0 0 0,0 0 0,1 0 0,-1 0 0,0 0 0,0 0 0,0 0 0,0 0 0,0 0 0,0 0 0,0 0 0,1 0 0,-1 0 0,0 0 0,0 0 0,0 0 0,0 0 0,0 0 0,0 0 0,0 0 0,0 0 0,0 0 0,1 0 0,-1 0 0,0 0 0,0 1 0,0-1 0,0 0 0,0 0 0,0 0 0,0 0 0,0 0 0,0 0 0,0 0 0,0 0 0,1 0 0,4 14 0,-3-10 0,1 8 0,1-1 0,9 17 0,-12-26 0,0 0 0,0 0 0,0 0 0,1 0 0,-1 0 0,0 0 0,1-1 0,-1 1 0,1-1 0,0 1 0,-1-1 0,1 0 0,0 1 0,0-1 0,0 0 0,0 0 0,0 0 0,0 0 0,0-1 0,0 1 0,4 0 0,-5-1 0,-1 0 0,1 0 0,0 0 0,0-1 0,0 1 0,0 0 0,0 0 0,-1-1 0,1 1 0,0-1 0,0 1 0,-1-1 0,1 1 0,0-1 0,-1 1 0,1-1 0,0 0 0,-1 1 0,1-1 0,-1 0 0,1 1 0,-1-1 0,1 0 0,-1 0 0,0 0 0,1 1 0,-1-1 0,0 0 0,0 0 0,1 0 0,-1-1 0,3-31 0,-3 24 0,4-17 0,-4 26 0,0 0 0,0 0 0,0 0 0,0 0 0,0 0 0,0-1 0,0 1 0,0 0 0,0 0 0,0 0 0,0 0 0,0 0 0,0 0 0,1 0 0,-1 0 0,0 0 0,0 0 0,0 0 0,0 0 0,0-1 0,0 1 0,0 0 0,0 0 0,0 0 0,0 0 0,0 0 0,0 0 0,0 0 0,0 0 0,0 0 0,0 0 0,1 0 0,-1 0 0,0 0 0,0 0 0,0 0 0,0 0 0,0 0 0,0 0 0,0 0 0,0 0 0,0 0 0,0 0 0,0 0 0,0 0 0,1 0 0,-1 0 0,0 0 0,0 0 0,0 0 0,0 0 0,0 0 0,0 0 0,0 0 0,0 0 0,0 0 0,0 0 0,0 0 0,0 1 0,0-1 0,0 0 0,0 0 0,1 0 0,-1 0 0,0 0 0,0 0 0,4 15 0,-4-13 0,1 1 0,-1-1 0,1 0 0,0 1 0,0-1 0,0 0 0,0 0 0,0 0 0,0 0 0,1 0 0,-1 0 0,1 0 0,-1 0 0,1 0 0,0 0 0,0-1 0,0 1 0,0-1 0,0 0 0,0 1 0,0-1 0,0 0 0,1 0 0,-1 0 0,0-1 0,5 2 0,-5-2 0,0 0 0,0 0 0,1 0 0,-1 0 0,0 0 0,0-1 0,0 1 0,0 0 0,0-1 0,0 0 0,0 0 0,0 1 0,0-1 0,0 0 0,0-1 0,-1 1 0,1 0 0,0 0 0,-1-1 0,1 1 0,-1-1 0,1 1 0,-1-1 0,0 0 0,0 0 0,0 1 0,0-1 0,0 0 0,0 0 0,0 0 0,0-3 0,8-47 0,14 86 0,7 5 0,-21-29 0,-2 0 0,11 15 0,-18-24 0,0-1 0,1 1 0,-1-1 0,1 1 0,-1 0 0,0-1 0,1 1 0,-1 0 0,0-1 0,0 1 0,0 0 0,1-1 0,-1 1 0,0 0 0,0-1 0,0 1 0,0 0 0,0 0 0,0-1 0,0 1 0,-1 0 0,1-1 0,0 1 0,0 0 0,0-1 0,-1 1 0,1 0 0,0-1 0,-1 1 0,1 0 0,-1-1 0,1 1 0,-1-1 0,1 1 0,-1-1 0,1 1 0,-1-1 0,1 1 0,-1-1 0,1 0 0,-1 1 0,0-1 0,1 0 0,-1 1 0,0-1 0,1 0 0,-1 0 0,0 0 0,1 0 0,-1 1 0,-1-1 0,1 0 0,-1 0 0,1 0 0,-1 0 0,1 0 0,-1 0 0,0 0 0,1 0 0,-1 0 0,1-1 0,-1 1 0,1-1 0,-1 1 0,1-1 0,0 1 0,-1-1 0,1 0 0,-1 0 0,1 1 0,0-1 0,0 0 0,0 0 0,-2-2 0,3 2 0,0 1 0,0-1 0,-1 0 0,1 1 0,0-1 0,0 0 0,0 1 0,0-1 0,0 0 0,0 1 0,1-1 0,-1 0 0,0 1 0,0-1 0,0 0 0,0 1 0,1-1 0,-1 0 0,0 1 0,1-1 0,-1 1 0,1-1 0,-1 1 0,0-1 0,1 1 0,-1-1 0,1 1 0,-1-1 0,1 1 0,0-1 0,21-14 0,-17 13 0,29-18 0,-16 10 0,31-22 0,-50 54 0,-1-5-227,1-1-1,0 0 1,1 0-1,1 1 1,3 16-1,-2-20-6598</inkml:trace>
  <inkml:trace contextRef="#ctx0" brushRef="#br0" timeOffset="1">781 60 24575,'0'3'-2523,"0"6"2523,0 4 1220,2 3-1220,2 0-6888</inkml:trace>
  <inkml:trace contextRef="#ctx0" brushRef="#br0" timeOffset="2">964 321 24575,'-1'-3'0,"0"1"0,0-1 0,0 1 0,0 0 0,-1-1 0,1 1 0,-1 0 0,0 0 0,-2-3 0,-1-1 0,3 4 0,1-1 0,-1 1 0,0 0 0,0 0 0,-1 0 0,1 0 0,0 0 0,-1 1 0,1-1 0,-1 0 0,1 1 0,-1 0 0,0 0 0,1 0 0,-1 0 0,-4-1 0,6 2 0,-1 0 0,1 0 0,-1 1 0,1-1 0,-1 0 0,1 0 0,0 1 0,-1-1 0,1 1 0,-1-1 0,1 1 0,0 0 0,0-1 0,-1 1 0,1 0 0,0 0 0,0 0 0,0 0 0,0 0 0,0 0 0,0 0 0,0 0 0,0 1 0,0-1 0,1 0 0,-1 0 0,0 1 0,1-1 0,-1 0 0,1 1 0,-1-1 0,1 1 0,0-1 0,0 3 0,-1-3 0,1 0 0,-1 0 0,1 0 0,0 0 0,0 1 0,0-1 0,0 0 0,0 0 0,0 0 0,0 1 0,0-1 0,0 0 0,0 0 0,1 0 0,-1 0 0,0 1 0,1-1 0,-1 0 0,1 0 0,-1 0 0,1 0 0,0 0 0,-1 0 0,1 0 0,0 0 0,0-1 0,0 1 0,-1 0 0,1 0 0,0-1 0,0 1 0,0 0 0,0-1 0,1 1 0,-1-1 0,0 1 0,0-1 0,0 0 0,0 1 0,2-1 0,0 0 0,0 1 0,0-1 0,-1 0 0,1 0 0,0-1 0,0 1 0,-1-1 0,1 1 0,-1-1 0,1 0 0,0 0 0,-1 0 0,1 0 0,-1 0 0,0-1 0,1 1 0,1-3 0,2-1 0,-2-1 0,1 1 0,-1-1 0,0-1 0,0 1 0,0-1 0,-1 1 0,0-1 0,-1 0 0,1 0 0,-1 0 0,0 0 0,0-11 0,1-9 0,-1 0 0,-2-32 0,0 55 0,-1 0 0,0 5 0,-2 11 0,-3 21 0,4-7 0,-1-2 0,1-1 0,0 0 0,2 1 0,1-1 0,6 38 0,-6-60-41,-1 0 0,0 1-1,0-1 1,0 0-1,1 0 1,-1 1 0,1-1-1,-1 0 1,1 0 0,-1 0-1,1 0 1,0 0-1,-1 0 1,1 0 0,0 0-1,0 0 1,0 0 0,0 0-1,0 0 1,0-1-1,0 1 1,0 0 0,0-1-1,0 1 1,0 0 0,0-1-1,1 0 1,-1 1-1,0-1 1,0 0 0,1 1-1,1-1 1,7-3-6785</inkml:trace>
  <inkml:trace contextRef="#ctx0" brushRef="#br0" timeOffset="3">1028 335 24575,'2'-2'0,"0"0"0,0 0 0,0 0 0,0 1 0,0-1 0,0 1 0,1-1 0,-1 1 0,0 0 0,1 0 0,0 0 0,-1 0 0,1 0 0,3 0 0,-3 0 0,1 0 0,-1 0 0,0 0 0,0 0 0,0 0 0,0-1 0,0 1 0,0-1 0,0 0 0,3-3 0,-4 3 0,0-1 0,0 1 0,-1-1 0,1 0 0,0 1 0,-1-1 0,0 0 0,0 0 0,0 0 0,0 0 0,0 0 0,0-6 0,-1 7 0,0 0 0,0 0 0,0 0 0,0 0 0,0 0 0,0 0 0,-1 0 0,1 0 0,-1 0 0,1 0 0,-1 1 0,0-1 0,0 0 0,0 0 0,0 1 0,0-1 0,0 0 0,0 1 0,-1-1 0,1 1 0,-2-2 0,2 2 0,1 1 0,-1-1 0,0 1 0,1 0 0,-1-1 0,0 1 0,0-1 0,1 1 0,-1 0 0,0 0 0,0-1 0,1 1 0,-1 0 0,0 0 0,0 0 0,0 0 0,0 0 0,1 0 0,-1 0 0,0 0 0,0 0 0,0 0 0,1 1 0,-1-1 0,0 0 0,0 0 0,-1 1 0,1 1 0,-1-1 0,1 0 0,0 0 0,-1 1 0,1-1 0,0 1 0,0-1 0,0 1 0,0 0 0,0-1 0,-1 4 0,0-1 0,1 0 0,0-1 0,0 1 0,0 0 0,0 0 0,0 0 0,1 0 0,0 0 0,0 0 0,0 0 0,1 6 0,-1-8 0,1-1 0,0 1 0,0 0 0,0-1 0,-1 1 0,2 0 0,-1-1 0,0 1 0,0-1 0,0 0 0,1 1 0,-1-1 0,1 0 0,-1 0 0,1 0 0,-1 0 0,1 0 0,0 0 0,-1 0 0,1 0 0,0-1 0,0 1 0,-1-1 0,1 1 0,0-1 0,0 0 0,0 0 0,0 0 0,3 0 0,-2 0 0,0-1 0,1 1 0,-1-1 0,0 0 0,0 0 0,0 0 0,0 0 0,0-1 0,0 1 0,0-1 0,0 0 0,-1 0 0,1 0 0,0 0 0,-1 0 0,3-3 0,1-2 0,-1 0 0,1 1 0,0 0 0,1 1 0,0-1 0,-1 1 0,12-5 0,-17 9 0,1 0 0,0 0 0,-1 0 0,1 1 0,0-1 0,0 1 0,0 0 0,-1-1 0,1 1 0,0 0 0,0 0 0,0 0 0,0 0 0,0 0 0,-1 1 0,4 0 0,-3 0 0,-1 0 0,1 0 0,0 0 0,-1 0 0,1 1 0,-1-1 0,1 0 0,-1 1 0,1-1 0,-1 1 0,0 0 0,0-1 0,0 1 0,0 0 0,0 0 0,0 0 0,-1 0 0,2 3 0,0 2 0,0 1 0,-1-1 0,2 16 0,-3-21 0,1 1 0,-1-1 0,0 1 0,-1 0 0,1-1 0,0 1 0,-1-1 0,1 1 0,-1-1 0,0 0 0,0 1 0,0-1 0,0 1 0,0-1 0,-2 3 0,2-5 0,1 0 0,0 0 0,0 0 0,0 1 0,0-1 0,0 0 0,0 0 0,0 0 0,-1 0 0,1 0 0,0 0 0,0 0 0,0 0 0,0 0 0,0 0 0,0 1 0,-1-1 0,1 0 0,0 0 0,0 0 0,0 0 0,0 0 0,-1 0 0,1 0 0,0 0 0,0 0 0,0 0 0,0 0 0,0 0 0,-1 0 0,1-1 0,0 1 0,0 0 0,0 0 0,0 0 0,0 0 0,-1 0 0,1 0 0,0 0 0,0 0 0,0 0 0,0 0 0,0-1 0,0 1 0,0 0 0,0 0 0,-1 0 0,-3-11 0,1-12 0,2 13 0,1 1 0,1-1 0,1-13 0,-2 20 0,1 1 0,-1-1 0,1 1 0,0 0 0,-1-1 0,1 1 0,0 0 0,0-1 0,0 1 0,1 0 0,-1 0 0,0 0 0,1 0 0,0 0 0,-1 0 0,1 1 0,0-1 0,3-2 0,-4 4 17,0-1-1,0 1 1,0 0 0,0-1-1,1 1 1,-1 0-1,0 0 1,0 0 0,0 0-1,0 0 1,0 0-1,0 0 1,0 1 0,1-1-1,-1 0 1,0 1 0,0-1-1,0 0 1,2 2-1,17 12-1021,-16-11 313,13 12-6134</inkml:trace>
  <inkml:trace contextRef="#ctx0" brushRef="#br0" timeOffset="4">1733 271 24575,'-12'1'0,"16"1"0,25 2 0,341-10 0,-131-1 0,-47 6 0,-190 1 37,-2 0-98,1 0 0,-1 0 0,1 0 0,-1 1 0,1-1 0,-1 0 0,1 0 0,-1 0 0,1 0 0,-1-1 0,1 1 0,-1 0 1,1 0-1,-1 0 0,0 0 0,1 0 0,-1-1 0,1 1 0,-1 0 0,1 0 0,-1-1 0,1 1 0</inkml:trace>
  <inkml:trace contextRef="#ctx0" brushRef="#br0" timeOffset="5">2453 194 24575,'0'-1'0,"1"0"0,-1 1 0,0-1 0,1 0 0,-1 1 0,1-1 0,-1 0 0,0 1 0,1-1 0,-1 1 0,1-1 0,0 1 0,-1-1 0,1 1 0,-1-1 0,1 1 0,0 0 0,-1-1 0,1 1 0,0 0 0,0 0 0,-1-1 0,1 1 0,0 0 0,0 0 0,-1 0 0,1 0 0,0 0 0,1 0 0,23-1 0,-24 1 0,6 1 0,0-1 0,0 1 0,0 0 0,0 1 0,0 0 0,-1 0 0,1 0 0,-1 1 0,1 0 0,6 4 0,-11-6 0,0 0 0,-1 1 0,1-1 0,0 1 0,-1-1 0,1 1 0,-1-1 0,0 1 0,0 0 0,1-1 0,-1 1 0,0 0 0,0 0 0,-1 0 0,1 0 0,0 0 0,-1 0 0,1 0 0,-1 0 0,0 1 0,1-1 0,-1 0 0,0 0 0,0 0 0,-1 0 0,1 0 0,0 0 0,-1 0 0,1 1 0,-1-1 0,0 0 0,1 0 0,-1 0 0,0-1 0,0 1 0,0 0 0,-2 2 0,-5 6-29,1 0 1,-1-1-1,-1 0 0,-17 15 0,10-9-1192,4-4-5605</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29"/>
    </inkml:context>
    <inkml:brush xml:id="br0">
      <inkml:brushProperty name="width" value="0.025" units="cm"/>
      <inkml:brushProperty name="height" value="0.025" units="cm"/>
    </inkml:brush>
  </inkml:definitions>
  <inkml:trace contextRef="#ctx0" brushRef="#br0">85 126 24575,'0'-10'0,"-2"-31"0,2 40 0,0-1 0,0 1 0,-1-1 0,1 1 0,0-1 0,-1 1 0,1 0 0,-1-1 0,1 1 0,-1 0 0,0 0 0,0-1 0,0 1 0,1 0 0,-1 0 0,0 0 0,0 0 0,-1 0 0,1 0 0,0 0 0,0 0 0,-3-1 0,3 2 0,0 0 0,0 0 0,-1 0 0,1 0 0,0 1 0,0-1 0,-1 0 0,1 1 0,0-1 0,0 1 0,0-1 0,0 1 0,0-1 0,0 1 0,0 0 0,0 0 0,0-1 0,0 1 0,0 0 0,0 0 0,0 0 0,1 0 0,-1 0 0,0 0 0,1 0 0,-1 0 0,0 2 0,-16 33 0,13-25 0,0 1 0,1-1 0,0 0 0,1 1 0,1 0 0,-1 13 0,2-22 0,0 0 0,0 0 0,1-1 0,-1 1 0,1 0 0,0 0 0,0 0 0,0-1 0,0 1 0,0 0 0,0-1 0,1 1 0,1 2 0,-1-3 0,-1-1 0,1 0 0,-1 1 0,1-1 0,0 0 0,0 0 0,0 0 0,0 0 0,0 0 0,0 0 0,0-1 0,0 1 0,0-1 0,0 1 0,0-1 0,0 0 0,0 0 0,0 0 0,1 0 0,1 0 0,3-1 0,-1 0 0,0 0 0,0-1 0,-1 0 0,1 0 0,0 0 0,-1-1 0,1 0 0,-1 0 0,6-4 0,-7 5 0,-1-1 0,0 0 0,1 1 0,-1-1 0,0-1 0,0 1 0,-1 0 0,1-1 0,-1 1 0,0-1 0,0 0 0,0 0 0,0 1 0,0-2 0,0-3 0,-2-6 0,0 13 0,-1 1 0,1 0 0,0 0 0,0 0 0,-1 0 0,1 0 0,0 0 0,0 0 0,-1 0 0,1 0 0,0 0 0,0 0 0,-1 0 0,1 0 0,0 0 0,0 0 0,-1 0 0,1 0 0,0 1 0,0-1 0,0 0 0,-1 0 0,1 0 0,0 0 0,0 0 0,0 0 0,-1 1 0,1-1 0,0 0 0,0 1 0,-2 0 0,0 1 0,0 0 0,0 0 0,1 1 0,-1-1 0,1 0 0,0 0 0,-2 5 0,2-5 0,1 0 0,-1 1 0,1-1 0,-1 1 0,1-1 0,0 0 0,0 1 0,0-1 0,1 1 0,-1-1 0,1 1 0,-1-1 0,1 0 0,0 1 0,-1-1 0,1 0 0,0 0 0,1 0 0,-1 0 0,0 0 0,1 0 0,-1 0 0,1 0 0,-1 0 0,1 0 0,0-1 0,0 1 0,0-1 0,0 1 0,4 1 0,-4-2 0,1 1 0,-1-1 0,1 0 0,0-1 0,-1 1 0,1 0 0,0-1 0,-1 1 0,1-1 0,0 0 0,0 0 0,-1 0 0,1 0 0,0 0 0,0-1 0,-1 1 0,1-1 0,0 0 0,-1 0 0,1 0 0,-1 0 0,1 0 0,-1 0 0,0-1 0,1 1 0,-1-1 0,3-2 0,-4 2 0,1 0 0,-1 0 0,0-1 0,1 1 0,-1 0 0,0 0 0,0 0 0,-1-1 0,1 1 0,0 0 0,-1-1 0,0 1 0,1-1 0,-1 1 0,0-1 0,0 1 0,0-1 0,-1 1 0,1 0 0,-1-1 0,1 1 0,-1-1 0,0 1 0,1 0 0,-1 0 0,-1-1 0,1 1 0,0 0 0,0 0 0,-1 0 0,1 0 0,-1 0 0,0 1 0,-2-3 0,2 2 0,1 0 0,-1 1 0,0-1 0,0 1 0,0-1 0,-1 1 0,1 0 0,0 0 0,0 0 0,-1 0 0,1 0 0,0 0 0,-1 1 0,-4-1 0,5 1 0,1 0 0,-1 0 0,0 0 0,0 0 0,1 1 0,-1-1 0,0 1 0,1-1 0,-1 1 0,0 0 0,1 0 0,-1 0 0,1-1 0,-1 2 0,1-1 0,0 0 0,-1 0 0,1 0 0,0 0 0,0 1 0,0-1 0,0 1 0,-1 1 0,1-2 0,0 0 0,0 1 0,0-1 0,0 0 0,0 1 0,1-1 0,-1 0 0,0 1 0,1-1 0,-1 1 0,1-1 0,0 1 0,-1-1 0,1 1 0,0 0 0,0-1 0,0 1 0,0-1 0,0 1 0,0-1 0,1 1 0,-1-1 0,1 1 0,-1 0 0,1-1 0,-1 0 0,1 1 0,0-1 0,-1 1 0,1-1 0,0 0 0,0 0 0,0 1 0,0-1 0,0 0 0,1 0 0,-1 0 0,0 0 0,0 0 0,1 0 0,-1-1 0,0 1 0,1 0 0,1 0 0,5 2 0,0 0 0,0-1 0,0 0 0,0 0 0,0-1 0,1 0 0,10-1 0,-8 0 0,-1 0 0,1-1 0,0-1 0,0 0 0,0 0 0,-1-1 0,1-1 0,12-5 0,-18 7 0,0-1 0,-1 0 0,1 0 0,-1 0 0,0 0 0,1 0 0,-2-1 0,1 0 0,0 0 0,-1 0 0,1 0 0,-1-1 0,0 1 0,-1-1 0,1 0 0,-1 1 0,0-1 0,3-11 0,-2 2 0,-1 0 0,1-19 0,-3 28 0,0 1 0,0-1 0,0 0 0,-1 1 0,1-1 0,-1 0 0,0 1 0,-1-1 0,1 1 0,-4-7 0,5 11 0,0-1 0,-1 1 0,1-1 0,0 1 0,0 0 0,-1-1 0,1 1 0,0 0 0,-1 0 0,1-1 0,0 1 0,-1 0 0,1 0 0,0-1 0,-1 1 0,1 0 0,-1 0 0,1 0 0,0 0 0,-1 0 0,1 0 0,-1 0 0,1 0 0,0-1 0,-1 1 0,1 1 0,-1-1 0,1 0 0,-1 0 0,1 0 0,0 0 0,-1 0 0,1 0 0,-1 0 0,1 0 0,0 1 0,-1-1 0,1 0 0,0 0 0,-1 1 0,1-1 0,0 0 0,-1 0 0,1 1 0,0-1 0,0 0 0,-1 1 0,1-1 0,0 1 0,0-1 0,-1 0 0,1 1 0,0-1 0,0 0 0,0 1 0,0 0 0,-11 24 0,7-13 0,1 1 0,1 0 0,0 0 0,0 0 0,2 0 0,-1 0 0,3 17 0,-1-25 0,0 1 0,0 0 0,1-1 0,-1 1 0,1 0 0,1-1 0,-1 0 0,5 7 0,-5-9 0,0 0 0,0 0 0,1 0 0,-1-1 0,1 1 0,-1-1 0,1 0 0,0 0 0,0 0 0,0 0 0,0 0 0,1-1 0,-1 0 0,6 3 0,-6-4 0,-1 1 0,1-1 0,-1 0 0,0 0 0,1 0 0,-1 0 0,1 0 0,-1 0 0,0-1 0,1 1 0,-1-1 0,1 0 0,-1 1 0,0-1 0,0 0 0,0-1 0,1 1 0,-1 0 0,0 0 0,0-1 0,-1 1 0,1-1 0,3-3 0,-3 2 0,1 0 0,-1 1 0,-1-1 0,1 0 0,0 0 0,-1 0 0,1 0 0,-1 0 0,0 0 0,0-1 0,0 1 0,0 0 0,-1-1 0,0 1 0,1 0 0,-1-6 0,-2 15 0,1-3 0,1 1 0,-1 0 0,0 0 0,1 0 0,0 0 0,0 5 0,1-6 0,0 0 0,0 1 0,1-1 0,-1 0 0,1 0 0,0 0 0,0 0 0,0-1 0,0 1 0,0 0 0,1-1 0,-1 0 0,1 1 0,0-1 0,0 0 0,-1 0 0,5 1 0,-6-2 0,0-1 0,0 1 0,1-1 0,-1 1 0,0-1 0,0 0 0,0 0 0,1 1 0,-1-1 0,0 0 0,0 0 0,1 0 0,-1 0 0,0 0 0,0-1 0,1 1 0,-1 0 0,0-1 0,2 0 0,-2 0 0,0 0 0,1 0 0,-1 0 0,0 0 0,0 0 0,0 0 0,0 0 0,-1-1 0,1 1 0,0 0 0,0-1 0,-1 1 0,1-1 0,-1 1 0,1-1 0,-1 1 0,0-1 0,1 1 0,-1-4 0,-2-18 0,-2 15 0,3 9 0,1-1 0,-1 0 0,1 0 0,-1 0 0,1 1 0,0-1 0,-1 0 0,1 0 0,-1 1 0,1-1 0,0 0 0,-1 1 0,1-1 0,0 0 0,0 1 0,-1-1 0,1 0 0,0 1 0,0-1 0,-1 1 0,1-1 0,0 0 0,0 2 0,-1 0 0,0 1 0,1-1 0,-1 1 0,1-1 0,0 1 0,0 0 0,-1-1 0,2 1 0,-1 0 0,0-1 0,1 1 0,-1 0 0,1-1 0,0 1 0,0-1 0,0 1 0,0-1 0,0 1 0,0-1 0,1 0 0,1 2 0,-2-2 0,-1-1 0,1 1 0,0-1 0,0 0 0,0 0 0,0 0 0,0 0 0,0 1 0,1-1 0,-1-1 0,0 1 0,1 0 0,-1 0 0,0 0 0,1-1 0,-1 1 0,1-1 0,-1 1 0,1-1 0,-1 1 0,1-1 0,-1 0 0,1 0 0,0 0 0,-1 0 0,1 0 0,-1 0 0,1 0 0,-1-1 0,1 1 0,-1 0 0,1-1 0,-1 1 0,1-1 0,-1 0 0,2 0 0,-1-1 0,0 0 0,-1 0 0,1 0 0,-1 0 0,1-1 0,-1 1 0,0 0 0,0-1 0,0 1 0,0-1 0,-1 1 0,1-1 0,-1 1 0,1-1 0,-1 1 0,0-1 0,0-3 0,0 4 0,0 0 0,0 0 0,0 0 0,0 0 0,0 0 0,1 0 0,-1 0 0,1 0 0,-1 0 0,1 0 0,0 0 0,-1 0 0,1 0 0,0 0 0,0 1 0,1-1 0,-1 0 0,0 1 0,0-1 0,1 1 0,-1-1 0,3-1 0,-3 3 0,0 0 0,0 0 0,0 0 0,0 0 0,1 0 0,-1 1 0,0-1 0,0 0 0,0 0 0,0 1 0,0-1 0,0 1 0,0-1 0,0 1 0,0-1 0,0 1 0,0-1 0,0 1 0,-1 0 0,1 0 0,0-1 0,0 1 0,0 0 0,-1 0 0,1 0 0,-1 0 0,1 0 0,0 1 0,16 30 0,-16-32 0,21 66 0,-22-70 0,-1-8 0,1 0 0,2-19 0,-2 29 0,0-1 0,1 0 0,0 0 0,0 0 0,0 1 0,0-1 0,2-3 0,-3 5 0,1 1 0,-1-1 0,1 0 0,-1 0 0,1 1 0,0-1 0,-1 1 0,1-1 0,0 0 0,-1 1 0,1-1 0,0 1 0,0 0 0,-1-1 0,1 1 0,0 0 0,0-1 0,0 1 0,0 0 0,0 0 0,0 0 0,1 0 0,0 0 0,-1 0 0,1 1 0,0-1 0,0 1 0,-1-1 0,1 1 0,-1 0 0,1 0 0,0 0 0,-1 0 0,1 0 0,-1 0 0,0 0 0,1 0 0,-1 1 0,0-1 0,0 0 0,0 1 0,0-1 0,0 1 0,0-1 0,0 1 0,1 2 0,2 7 0,0-1 0,4 18 0,-4-15 0,-3-14 0,0 1 0,0-1 0,0 1 0,-1-1 0,1 1 0,0-1 0,0 0 0,0 1 0,-1-1 0,1 0 0,0 0 0,-1 0 0,1 0 0,0 0 0,-1 1 0,1-1 0,-1 0 0,0 0 0,1-2 0,10-13 0,-10 15 11,0 0 0,0 0 0,0 0 0,-1 0 0,1 1 0,0-1 0,0 0 0,0 1 0,0-1 0,0 1 0,0-1 0,0 1 0,0-1 0,1 1 0,-1 0 0,0-1 0,0 1 0,0 0 0,0 0 0,1 0 0,-1 0 1,0 0-1,0 0 0,0 0 0,0 0 0,0 1 0,1-1 0,-1 0 0,2 1 0,0 2-130,0-1 0,0 1 0,0-1 0,-1 1 0,1 0 1,-1 0-1,4 4 0,-1 1-626,5 4-6081</inkml:trace>
  <inkml:trace contextRef="#ctx0" brushRef="#br0" timeOffset="1">960 232 24575,'0'-2'0,"1"1"0,1 0 0,-1 0 0,0 1 0,0-1 0,0 0 0,0 0 0,1 1 0,-1-1 0,0 0 0,1 1 0,-1-1 0,0 1 0,1 0 0,-1-1 0,1 1 0,-1 0 0,0 0 0,1 0 0,-1 0 0,3 1 0,-1-1 0,-1 1 0,0 0 0,1 0 0,-1 0 0,0 0 0,0 0 0,0 0 0,0 1 0,0-1 0,0 1 0,0 0 0,1 2 0,0-2 0,0 1 0,-1 0 0,0 0 0,0 1 0,0-1 0,0 0 0,0 1 0,-1-1 0,1 1 0,-1 0 0,0-1 0,0 1 0,0 0 0,-1 0 0,1 0 0,-1 7 0,-5 0 0,-1-13 0,5 0 0,0 1 0,0-1 0,0 0 0,1 1 0,-1-1 0,0 0 0,1 0 0,-1 1 0,1-1 0,0-3 0,0 1 0,0 0 0,0 0 0,1-1 0,0 1 0,0 0 0,0 0 0,0-1 0,1 1 0,-1 0 0,1 1 0,0-1 0,1 0 0,-1 0 0,4-3 0,-6 6 0,1 0 0,0-1 0,1 1 0,-1 0 0,0 0 0,0 1 0,0-1 0,0 0 0,1 0 0,-1 1 0,0-1 0,1 0 0,-1 1 0,1-1 0,-1 1 0,1 0 0,-1 0 0,1-1 0,-1 1 0,1 0 0,-1 0 0,1 0 0,-1 0 0,1 1 0,-1-1 0,0 0 0,1 1 0,-1-1 0,1 1 0,-1-1 0,0 1 0,1 0 0,-1-1 0,0 1 0,0 0 0,1 0 0,-1 0 0,0 0 0,0 0 0,0 0 0,0 0 0,0 1 0,1 1 0,0 0-91,0 1 0,0-1 0,0 1 0,0-1 0,0 1 0,-1 0 0,0 0 0,0 0 0,0 0 0,0 0 0,0 0 0,-1 0 0,0 0 0,0 7 0,-1-6-6735</inkml:trace>
  <inkml:trace contextRef="#ctx0" brushRef="#br0" timeOffset="2">1291 13 24575,'0'4'0,"0"6"0,0 6 0,0 7 0,0 10 0,0 8 0,0 8 0,0 3 0,0-2 0,0-4 0,2-4 0,2-5 0,-1-7 0,-1-6 0,0-7-8191</inkml:trace>
  <inkml:trace contextRef="#ctx0" brushRef="#br0" timeOffset="3">1630 161 24575,'0'2'0,"0"1"0,0-1 0,0 1 0,0 0 0,0-1 0,1 1 0,-1-1 0,1 1 0,0-1 0,2 5 0,-2-3 0,7 27 0,-2 1 0,0 1 0,-2-1 0,-2 1 0,-2 49 0,0-82 0,-4 29 0,4-28 0,0 0 0,0 0 0,0-1 0,0 1 0,0 0 0,0 0 0,-1 0 0,1 0 0,0 0 0,-1 0 0,1-1 0,-1 1 0,1 0 0,-1 0 0,1-1 0,-1 1 0,1 0 0,-1-1 0,0 1 0,1 0 0,-1-1 0,0 1 0,1-1 0,-1 1 0,0-1 0,-1 1 0,1-1 0,0-1 0,1 1 0,-1 0 0,0-1 0,1 1 0,-1-1 0,1 1 0,-1-1 0,1 0 0,-1 1 0,1-1 0,-1 1 0,1-1 0,-1 0 0,1 1 0,0-1 0,-1 0 0,1 0 0,0 1 0,0-1 0,-1 0 0,1 0 0,0 1 0,0-1 0,0-1 0,-3-24 0,3 22 0,-2-23 0,1-1 0,2 1 0,1-1 0,6-30 0,-6 43 0,2 0 0,0 1 0,0-1 0,2 1 0,0 0 0,0 0 0,1 1 0,1 0 0,9-13 0,-14 22 0,0 0 0,1 1 0,-1 0 0,1 0 0,0 0 0,0 0 0,7-4 0,-10 6 0,0 1 0,0-1 0,0 1 0,0-1 0,0 1 0,0 0 0,0 0 0,0-1 0,0 1 0,0 0 0,0 0 0,1 0 0,-1 0 0,0 0 0,0 0 0,0 1 0,0-1 0,0 0 0,0 0 0,0 1 0,0-1 0,0 1 0,0-1 0,0 1 0,0-1 0,0 1 0,0 0 0,0-1 0,-1 1 0,1 0 0,0 0 0,0 0 0,-1-1 0,1 1 0,0 0 0,-1 0 0,1 0 0,-1 1 0,3 4 0,-1-1 0,-1 1 0,1 0 0,-1-1 0,0 1 0,0 0 0,0 0 0,-1 0 0,0 0 0,0 0 0,-1-1 0,0 1 0,-2 11 0,1-11 0,0 1 0,0 0 0,-1-1 0,1 0 0,-1 1 0,-1-1 0,1 0 0,-1-1 0,0 1 0,0-1 0,-8 8 0,17-16 0,1 0 0,-1 0 0,1 1 0,0 0 0,0 0 0,0 0 0,0 1 0,0 0 0,0 0 0,0 0 0,1 1 0,7 0 0,-10 0 0,0 0 0,-1 0 0,1 1 0,0-1 0,-1 1 0,1-1 0,0 1 0,-1 0 0,1 1 0,-1-1 0,1 1 0,-1-1 0,0 1 0,0 0 0,0 0 0,0 1 0,0-1 0,0 1 0,0-1 0,-1 1 0,1 0 0,-1 0 0,0 0 0,0 0 0,0 0 0,2 5 0,-4-7 0,1 1 0,-1 0 0,1-1 0,-1 1 0,0 0 0,0 0 0,0 0 0,0-1 0,0 1 0,0 0 0,0 0 0,0 0 0,-1-1 0,1 1 0,-1 0 0,1-1 0,-1 1 0,0 0 0,0-1 0,-1 3 0,0-1 0,-1 0 0,1 0 0,-1-1 0,0 1 0,0-1 0,0 1 0,0-1 0,0 0 0,-6 2 0,3-1 0,0 0 0,-1 0 0,1-1 0,-1 0 0,0-1 0,1 1 0,-1-1 0,0-1 0,0 1 0,-10-1 0,15 0 0,0-1 0,0 1 0,1 0 0,-1-1 0,0 1 0,1-1 0,-1 0 0,1 1 0,-1-1 0,1 0 0,-1 0 0,1 0 0,0 0 0,-1 0 0,1 0 0,0 0 0,0-1 0,-1 1 0,1 0 0,0-1 0,1 1 0,-1-1 0,0 1 0,0-1 0,0 1 0,1-1 0,-1 1 0,1-1 0,0 0 0,-1 1 0,1-1 0,0 0 0,0 0 0,0 1 0,0-1 0,0 0 0,0 1 0,1-1 0,-1 0 0,0 1 0,1-1 0,-1 0 0,1 1 0,0-1 0,0 1 0,-1-1 0,1 1 0,0-1 0,0 1 0,0 0 0,1-1 0,-1 1 0,0 0 0,0 0 0,1 0 0,-1 0 0,3-2 0,13-3-1365,0 1-5461</inkml:trace>
  <inkml:trace contextRef="#ctx0" brushRef="#br0" timeOffset="4">1997 260 24575,'0'-1'0,"0"0"0,0 0 0,0 0 0,0 0 0,0 0 0,0 0 0,0 0 0,0 1 0,0-1 0,0 0 0,-1 0 0,1 0 0,0 0 0,-1 0 0,1 1 0,-1-1 0,1 0 0,0 0 0,-1 1 0,0-1 0,1 0 0,-1 1 0,1-1 0,-1 0 0,0 1 0,1-1 0,-1 1 0,0-1 0,0 1 0,0 0 0,1-1 0,-1 1 0,0 0 0,0-1 0,0 1 0,0 0 0,1 0 0,-1 0 0,0 0 0,0 0 0,0 0 0,0 0 0,0 0 0,0 0 0,0 0 0,1 0 0,-1 1 0,0-1 0,0 0 0,0 1 0,-1 0 0,-2 0 0,0 1 0,0 0 0,0 0 0,0 0 0,1 1 0,-1-1 0,1 1 0,-1 0 0,-3 5 0,5-6 0,0 1 0,1 0 0,-1 0 0,1-1 0,0 1 0,-1 0 0,1 0 0,1 0 0,-1 0 0,0 0 0,1 1 0,0 4 0,-1-7 0,1 0 0,1 0 0,-1 0 0,0 0 0,0 0 0,0 0 0,1 0 0,-1 0 0,0 0 0,1 0 0,-1 0 0,1 0 0,-1 0 0,1 0 0,-1 0 0,1 0 0,0-1 0,-1 1 0,1 0 0,0 0 0,0-1 0,0 1 0,-1 0 0,1-1 0,0 1 0,0-1 0,0 1 0,0-1 0,0 0 0,0 1 0,0-1 0,0 0 0,0 0 0,0 1 0,0-1 0,1 0 0,-1 0 0,0 0 0,1-1 0,0 1 0,0-1 0,0 1 0,-1-1 0,1 1 0,0-1 0,-1 0 0,1 0 0,-1 0 0,1 0 0,-1 0 0,1 0 0,-1-1 0,1 1 0,-1 0 0,0-1 0,0 1 0,0-1 0,0 1 0,0-1 0,0 0 0,0 1 0,-1-1 0,1 0 0,0 1 0,-1-1 0,1-3 0,3-16 0,-4 17 0,0 7 0,0 2 0,1 0 0,-1 1 0,1-1 0,0 0 0,1 1 0,-1-1 0,1 0 0,4 9 0,-6-13 0,1 0 0,-1 0 0,1 0 0,-1 0 0,1 0 0,0 0 0,-1 0 0,1 0 0,0 0 0,0 0 0,-1 0 0,1 0 0,0 0 0,0-1 0,0 1 0,0 0 0,0-1 0,0 1 0,1-1 0,-1 1 0,0-1 0,0 1 0,0-1 0,0 0 0,1 1 0,-1-1 0,0 0 0,0 0 0,0 0 0,1 0 0,-1 0 0,0 0 0,0-1 0,0 1 0,1 0 0,-1-1 0,0 1 0,0 0 0,0-1 0,0 1 0,0-1 0,0 0 0,0 1 0,2-2 0,0-1 0,0-1 0,0 1 0,-1 0 0,1-1 0,-1 1 0,1-1 0,-1 0 0,0 0 0,-1 0 0,3-7 0,-3 8 0,0-1 0,0 1 0,1 0 0,-1-1 0,1 1 0,-1 0 0,1 0 0,0 0 0,1 0 0,-1 1 0,0-1 0,1 0 0,-1 1 0,7-5 0,-8 7 0,-1 0 0,1-1 0,0 1 0,0 0 0,0-1 0,0 1 0,0 0 0,0 0 0,-1 0 0,1 0 0,0 0 0,0 0 0,0 0 0,0 0 0,0 0 0,0 0 0,0 1 0,0-1 0,-1 0 0,1 0 0,0 1 0,0-1 0,1 1 0,0 1 0,0-1 0,-1 1 0,1 0 0,0 0 0,-1-1 0,1 1 0,-1 0 0,3 4 0,0 3 0,0 1 0,-1-1 0,4 12 0,-7-20 0,2 6 0,0 0 0,0 0 0,-1 0 0,1 1 0,-2-1 0,1 0 0,-2 14 0,-1-62 0,4 30 0,0 0 0,1-1 0,0 1 0,6-14 0,-8 22 0,0 1 0,0-1 0,1 0 0,-1 1 0,0-1 0,1 1 0,0-1 0,0 1 0,0-1 0,0 1 0,0 0 0,0 0 0,0 0 0,1 1 0,-1-1 0,1 0 0,-1 1 0,1-1 0,0 1 0,-1 0 0,1 0 0,3-1 0,-4 3-54,0-1-1,1 0 0,-1 1 1,0-1-1,0 1 1,0 0-1,0 0 0,0 0 1,0 0-1,0 0 1,0 0-1,0 0 0,0 1 1,-1-1-1,1 1 0,0-1 1,-1 1-1,0 0 1,1-1-1,-1 1 0,0 0 1,0 0-1,0 0 1,2 4-1,3 7-6771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334"/>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 51,'0'-1,"1"1,-1 0,0-1,1 1,-1-1,1 1,-1 0,0-1,1 1,-1 0,1 0,-1-1,1 1,-1 0,1 0,0 0,-1 0,1-1,-1 1,1 0,-1 0,1 0,-1 0,1 0,-1 0,1 1,0-1,-1 0,1 0,-1 0,1 1,23 4,-22-5,40 8,1-2,86 1,-53-4,732 54,-112-5,-467-46,-61-4,-110 5,7 0,-2-8,-165-23,34 11,-319-62,-4 22,-739 13,1115 40,8 0,-1 0,0 0,1 1,-1 0,1 1,-12 2,19-3,0-1,-1 0,1 0,0 0,0 0,-1 0,1 0,0 0,0 1,-1-1,1 0,0 0,0 0,0 0,0 1,-1-1,1 0,0 0,0 0,0 1,0-1,0 0,-1 0,1 1,0-1,0 0,0 1,0-1,0 0,0 0,0 1,0-1,0 0,0 0,0 1,8 8,19 7,-23-14,23 11,-15-9</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35"/>
    </inkml:context>
    <inkml:brush xml:id="br0">
      <inkml:brushProperty name="width" value="0.025" units="cm"/>
      <inkml:brushProperty name="height" value="0.025" units="cm"/>
    </inkml:brush>
  </inkml:definitions>
  <inkml:trace contextRef="#ctx0" brushRef="#br0">1459 24 24575,'-12'-1'0,"0"-1"0,0-1 0,-22-6 0,32 8 0,-11-2 0,0 1 0,0 0 0,0 1 0,0 1 0,0 0 0,1 1 0,-1 0 0,0 1 0,-18 4 0,-9 1 0,37-6 0,1-1 0,0 1 0,-1 0 0,1 0 0,0 0 0,0 0 0,0 0 0,0 0 0,0 1 0,0-1 0,0 1 0,0-1 0,1 1 0,-1 0 0,0 0 0,1-1 0,-1 1 0,1 0 0,0 0 0,0 1 0,0-1 0,0 0 0,0 0 0,0 0 0,1 1 0,-1-1 0,1 0 0,-1 3 0,-1 10 0,1 0 0,0 0 0,3 22 0,-2-15 0,33 651 0,19 15 0,-64-339 0,3-224 0,8 138 0,1-223 0,-1-31 0,1 0 0,0 0 0,0 0 0,1 0 0,0 0 0,1 0 0,0 0 0,6 17 0,-7-24 0,0-1 0,1 0 0,-1 1 0,0 0 0,0-1 0,1 0 0,-1 0 0,0 0 0,1 0 0,-1 0 0,1 0 0,0-1 0,-1 1 0,1 0 0,-1-1 0,1 1 0,0-1 0,0 0 0,-1 0 0,1 1 0,0-1 0,0 0 0,-1 0 0,1-1 0,0 1 0,-1 0 0,1-1 0,0 1 0,1-1 0,10-3 0,-2 0 0,1-1 0,12-7 0,-3 3 0,91-30 0,-111 38-50,0 1-1,-1 0 1,1 0-1,-1 0 0,1-1 1,0 1-1,-1 0 1,1-1-1,-1 1 1,1 0-1,-1-1 0,1 1 1,-1-1-1,1 1 1,-1-1-1,0 1 1,1-1-1,-1 1 0,1-1 1,-1 1-1,0-1 1,0 1-1,1-1 1,-1 0-1,0 1 1,0-2-1,-1-5-6775</inkml:trace>
  <inkml:trace contextRef="#ctx0" brushRef="#br0" timeOffset="1">48 1504 24575,'-16'-29'-5050,"9"16"5746,0 0 0,2-1-1,-6-16 1,11 29-675,0 0 0,-1 0-1,1 1 1,0-1 0,0 0-1,0 0 1,0 0-1,0 0 1,-1 0 0,2 1-1,-1-1 1,0 0 0,0 0-1,0 0 1,0 0 0,1 1-1,-1-1 1,0 0-1,1 0 1,-1 0 0,1 0 14,-1 1 0,1 0 0,-1-1 0,1 1 0,-1 0 0,1 0 0,0 0 0,-1-1 0,1 1 0,-1 0 0,1 0 0,-1 0 0,1 0 0,0 0 0,-1 0 0,1 0 0,-1 0 0,1 0 0,0 0 0,-1 0 0,2 1 0,2 0 142,1 1 1,0 0-1,-1 0 0,0 1 0,9 5 0,6 7-177,0 1 0,-1 1 0,-1 0 0,25 33 0,50 85 0,-72-103 0,-13-23 0,-3-9 0,-4-19 0,-10-38 0,-28-88 0,17 69 0,9 36 0,4 13 0,2 1 0,-4-34 0,10 60 0,0 0 0,0-1 0,-1 1 0,1 0 0,0-1 0,0 1 0,0 0 0,0-1 0,0 1 0,0 0 0,0-1 0,0 1 0,0 0 0,0-1 0,1 1 0,-1 0 0,0-1 0,0 1 0,0 0 0,0-1 0,0 1 0,0 0 0,0-1 0,0 1 0,0 0 0,0 0 0,1-1 0,7 5 0,9 18 0,-16-20 0,19 27-1365,-2-1-5461</inkml:trace>
  <inkml:trace contextRef="#ctx0" brushRef="#br0" timeOffset="2">386 1419 24575,'0'-1'0,"0"0"0,0 0 0,-1 0 0,1 0 0,0 0 0,-1 0 0,1 0 0,-1 0 0,0 0 0,1 0 0,-1 0 0,0 0 0,1 0 0,-1 0 0,0 0 0,0 1 0,0-1 0,0 0 0,0 1 0,0-1 0,0 0 0,0 1 0,0 0 0,0-1 0,0 1 0,0-1 0,0 1 0,0 0 0,-1 0 0,1 0 0,0 0 0,-1 0 0,-1-1 0,0 1 0,0 0 0,0 0 0,1 0 0,-1 0 0,0 0 0,0 1 0,1-1 0,-1 1 0,0 0 0,1 0 0,-4 1 0,3 1 0,0 0 0,0-1 0,1 1 0,-1 1 0,1-1 0,0 0 0,0 0 0,0 1 0,0-1 0,1 1 0,-1 0 0,1-1 0,0 1 0,0 0 0,0 0 0,1 0 0,-1 6 0,1-8 0,0 0 0,0-1 0,0 1 0,0 0 0,0 0 0,0-1 0,0 1 0,1 0 0,-1 0 0,1-1 0,-1 1 0,1 0 0,0-1 0,-1 1 0,1-1 0,0 1 0,0-1 0,0 1 0,0-1 0,1 1 0,-1-1 0,0 0 0,1 0 0,-1 0 0,0 0 0,1 0 0,-1 0 0,1 0 0,0 0 0,-1 0 0,1-1 0,0 1 0,-1-1 0,1 1 0,0-1 0,0 0 0,-1 0 0,1 1 0,0-1 0,2-1 0,-1 1 0,-1 0 0,1-1 0,-1 1 0,0-1 0,1 0 0,-1 0 0,0 0 0,0 0 0,0 0 0,0 0 0,0 0 0,0-1 0,0 1 0,0-1 0,0 1 0,0-1 0,-1 0 0,1 0 0,-1 0 0,0 0 0,1 0 0,-1 0 0,0 0 0,2-5 0,-2 3 0,1 0 0,-1-1 0,0 1 0,0-1 0,-1 1 0,1-1 0,-1 0 0,0 1 0,0-1 0,0 0 0,-3-8 0,5 16 0,-1 0 0,0-1 0,0 1 0,1 0 0,-1-1 0,1 1 0,0-1 0,0 0 0,0 0 0,3 4 0,-3-5 0,-1 0 0,0-1 0,0 1 0,0 0 0,1 0 0,-1-1 0,0 1 0,1 0 0,-1-1 0,1 1 0,-1-1 0,1 0 0,-1 0 0,1 1 0,-1-1 0,1 0 0,-1 0 0,1 0 0,-1-1 0,0 1 0,1 0 0,-1 0 0,1-1 0,-1 1 0,1-1 0,-1 1 0,0-1 0,1 0 0,-1 1 0,2-3 0,0 1 0,0-1 0,0 1 0,-1-1 0,1 0 0,-1 0 0,0 0 0,0 0 0,0 0 0,0 0 0,0-1 0,-1 1 0,0-1 0,1 1 0,-1-1 0,-1 1 0,1-1 0,0 0 0,-1 1 0,0-1 0,0 0 0,0 0 0,-1-5 0,-1-7 0,-1 0 0,0 0 0,-11-27 0,10 29 0,-1-3 0,-1 0 0,-1 0 0,0 1 0,-1 0 0,0 0 0,-15-18 0,23 33 0,-1 1 0,1-1 0,0 1 0,0 0 0,-1-1 0,1 1 0,0 0 0,0-1 0,-1 1 0,1 0 0,0 0 0,-1-1 0,1 1 0,0 0 0,-1 0 0,1 0 0,-1 0 0,1-1 0,0 1 0,-1 0 0,1 0 0,-1 0 0,1 0 0,0 0 0,-1 0 0,1 0 0,-1 0 0,1 0 0,0 0 0,-1 0 0,0 0 0,-4 13 0,6 20 0,4-13 0,0-1 0,1 1 0,0-1 0,2 0 0,0-1 0,2 1 0,0-2 0,1 0 0,0 1 0,1-1 0,24 22 0,-34-37 0,0 0 0,1 0 0,-1 0 0,1 0 0,-1 0 0,1-1 0,0 1 0,0-1 0,0 0 0,0 1 0,0-1 0,0-1 0,0 1 0,3 0 0,-4-1 0,-1 0 0,0 0 0,1-1 0,-2 1 0,1 0 0,1-1 0,-1 1 0,0-1 0,0 0 0,1 1 0,-1-1 0,0 0 0,0 1 0,0-1 0,0 0 0,0 0 0,0 0 0,0 0 0,-1 0 0,1 0 0,0 0 0,0-1 0,-1 1 0,1 0 0,-1 0 0,1 0 0,-1-1 0,1 1 0,-1 0 0,0-1 0,0 1 0,0 0 0,1-1 0,-2-1 0,2-49 0,-2 29 0,0 18 0,1 6 0,0 5 0,0-1 0,0 0 0,1 1 0,0-1 0,0 0 0,2 5 0,-3-9 0,0 0 0,0 0 0,1 0 0,-1 0 0,0-1 0,1 1 0,-1 0 0,1 0 0,-1 0 0,1 0 0,-1-1 0,1 1 0,0 0 0,-1 0 0,1-1 0,0 1 0,0-1 0,-1 1 0,1-1 0,0 1 0,0-1 0,0 1 0,0-1 0,0 1 0,0-1 0,0 0 0,0 0 0,-1 0 0,1 1 0,0-1 0,0 0 0,0 0 0,0 0 0,0 0 0,0-1 0,0 1 0,0 0 0,0 0 0,2-1 0,-2 0 0,0 0 0,1 0 0,-1 0 0,0 0 0,0-1 0,0 1 0,0 0 0,0 0 0,-1-1 0,1 1 0,0-1 0,0 1 0,-1-1 0,1 1 0,-1-1 0,0 1 0,1-1 0,-1 1 0,0-1 0,0 1 0,0-1 0,0-2 0,-2-39 0,2 40 0,-5-20 0,4 22 0,2 14 0,0-10 0,0 1 0,1 0 0,-1 0 0,1 0 0,-1-1 0,1 1 0,0-1 0,1 1 0,-1-1 0,0 0 0,1 0 0,0 0 0,5 6 0,-7-8 0,0-1 0,0 1 0,1 0 0,-1 0 0,0-1 0,0 1 0,0-1 0,1 1 0,-1-1 0,0 1 0,1-1 0,-1 0 0,0 0 0,1 0 0,-1 0 0,0 0 0,4 0 0,-4 0 0,0-1 0,1 0 0,-1 1 0,1-1 0,-1 0 0,0 0 0,1 0 0,-1 0 0,0 0 0,0-1 0,0 1 0,0 0 0,0-1 0,0 1 0,0 0 0,0-1 0,-1 1 0,1 0 0,0-3 0,2-2 0,-2 0 0,1 0 0,0-1 0,-1 1 0,-1 0 0,1-1 0,-1-11 0,0 14 0,0 1 0,0-1 0,-1 0 0,0 0 0,0 0 0,0 0 0,0 1 0,0-1 0,-1 0 0,1 1 0,-1-1 0,0 1 0,-4-6 0,6 9 0,-1-1 0,1 1 0,0 0 0,-1 0 0,1-1 0,0 1 0,-1 0 0,1 0 0,-1-1 0,1 1 0,0 0 0,-1 0 0,1 0 0,-1 0 0,1-1 0,-1 1 0,1 0 0,0 0 0,-1 0 0,1 0 0,-1 0 0,1 0 0,-1 0 0,1 0 0,0 0 0,-1 1 0,1-1 0,-1 0 0,1 0 0,-1 0 0,1 0 0,0 1 0,-1-1 0,1 0 0,0 0 0,-1 1 0,1-1 0,-1 0 0,1 0 0,0 1 0,0-1 0,-1 0 0,1 1 0,0-1 0,0 1 0,-1-1 0,1 0 0,0 1 0,0-1 0,0 1 0,0-1 0,0 0 0,0 1 0,0-1 0,0 1 0,-1-1 0,2 1 0,-7 27 0,5-19 0,1 0 0,1 0 0,-1-1 0,1 1 0,1-1 0,4 17 0,-6-23 0,1 0 0,-1 0 0,1 0 0,0 0 0,-1 0 0,1-1 0,0 1 0,0 0 0,1 0 0,-1-1 0,0 2 0,0-2 0,1 1 0,-1-1 0,1 0 0,0 1 0,-1-1 0,1 0 0,0 0 0,-1 0 0,1 0 0,0 0 0,0 0 0,0-1 0,0 1 0,0-1 0,0 1 0,0-1 0,0 0 0,0 0 0,0 0 0,0 0 0,0 0 0,0 0 0,4-1 0,-3 0 0,-1 0 0,1-1 0,0 1 0,0-1 0,-1 1 0,1-1 0,-1 0 0,0 0 0,1-1 0,-1 1 0,0 0 0,0-1 0,0 1 0,-1-1 0,1 1 0,-1-1 0,1 0 0,-1 1 0,0-1 0,1-4 0,2-3 0,-1-1 0,0-1 0,2-21 0,-3 8 0,-2-42 0,0 71 0,0 0 0,1-1 0,0 1 0,-1 0 0,2 0 0,-1-1 0,0 1 0,1 0 0,-1-1 0,1 0 0,0 1 0,0-1 0,1 0 0,-1 0 0,1 0 0,4 5 0,6 2 0,-8-7 0,-1 1 0,1 0 0,-1 0 0,0 0 0,0 1 0,6 7 0,-10-11 0,1 1 0,0 0 0,-1-1 0,1 1 0,-1 0 0,1-1 0,-1 1 0,0 0 0,1 0 0,-1-1 0,0 1 0,-1 0 0,1 0 0,0-1 0,0 1 0,-1 0 0,1-1 0,-1 1 0,1 0 0,-1-1 0,0 1 0,0 0 0,1-1 0,-1 1 0,0-1 0,0 0 0,-2 2 0,-1 1-195,1 0 0,-1 0 0,0-1 0,0 1 0,-1-1 0,-5 3 0,-9 6-6631</inkml:trace>
  <inkml:trace contextRef="#ctx0" brushRef="#br0" timeOffset="3">140 1874 24575,'8'0'0,"0"-1"0,1 0 0,-1-1 0,0 0 0,-1 0 0,1 0 0,10-6 0,54-30 0,-47 24 0,139-82 0,95-51 0,-49 47 0,-184 90 0,-26 10 0,0 0 0,0 0 0,0 0 0,0 0 0,0 0 0,0 0 0,0 0 0,0 0 0,0 0 0,0 0 0,0 0 0,0 0 0,0 0 0,0 1 0,0-1 0,0 0 0,0 0 0,0 0 0,0 0 0,0 0 0,0 0 0,0 0 0,0 0 0,0 0 0,0 0 0,0 0 0,0 0 0,0 0 0,0 0 0,0 0 0,0 0 0,1 0 0,-1 0 0,0 0 0,0 0 0,0 0 0,0 0 0,0 0 0,0 0 0,0 0 0,0 0 0,0 0 0,0 0 0,0 0 0,0 0 0,0 0 0,0 0 0,-7 7 0,-14 7 0,-9 5-1365,-3 0-5461</inkml:trace>
  <inkml:trace contextRef="#ctx0" brushRef="#br0" timeOffset="4">111 2022 24575,'-2'0'0,"1"0"0,7-5 0,11-6 0,16-8 0,19-11 0,19-11 0,16-9 0,12-4 0,6-2 0,4-2 0,-3 6 0,-12 8 0,-20 11 0,-22 9 0,-21 8 0,-15 8-8191</inkml:trace>
  <inkml:trace contextRef="#ctx0" brushRef="#br0" timeOffset="5">654 1846 24575,'-1'-5'0,"-3"10"0,-2 11 0,3 46 0,6 82 0,-1-73 0,-4-52 0,2-19 0,0 1 0,-1-1 0,1 0 0,0 0 0,0 0 0,0 1 0,0-1 0,0 0 0,-1 0 0,1 0 0,0 0 0,0 0 0,0 1 0,-1-1 0,1 0 0,0 0 0,0 0 0,-1 0 0,1 0 0,0 0 0,0 0 0,0 0 0,-1 0 0,1 0 0,0 0 0,0 0 0,-1 0 0,1 0 0,0 0 0,0 0 0,-1 0 0,1 0 0,0 0 0,0 0 0,-1 0 0,1-1 0,-3-1 0,-1-1 0,1 1 0,0-1 0,0 0 0,-5-6 0,-7-7 0,15 15 0,-1 0 0,0 1 0,1-1 0,-1 1 0,1-1 0,-1 0 0,0 1 0,0-1 0,1 1 0,-1 0 0,0-1 0,0 1 0,0-1 0,1 1 0,-1 0 0,0 0 0,0 0 0,0-1 0,0 1 0,0 0 0,1 0 0,-1 0 0,0 0 0,0 0 0,0 1 0,0-1 0,0 0 0,0 0 0,0 1 0,1 0 0,-1 0 0,1-1 0,0 1 0,0 0 0,0 0 0,0 0 0,0 0 0,0-1 0,0 1 0,0 0 0,1 0 0,-1 0 0,0 0 0,0-1 0,1 1 0,-1 0 0,0 0 0,1 0 0,-1-1 0,1 1 0,-1 0 0,1-1 0,0 1 0,-1 0 0,1-1 0,-1 1 0,1-1 0,0 1 0,1 0 0,0 1 0,0 0 0,0 0 0,0-1 0,0 1 0,0 0 0,1-1 0,-1 0 0,1 1 0,-1-1 0,1 0 0,-1 0 0,1 0 0,0-1 0,-1 1 0,1-1 0,0 1 0,0-1 0,-1 0 0,1 0 0,0 0 0,0 0 0,0-1 0,-1 1 0,4-2 0,-1 0 0,-1 0 0,0 0 0,-1 0 0,1-1 0,0 0 0,-1 1 0,1-2 0,-1 1 0,0 0 0,0 0 0,0-1 0,0 0 0,3-7 0,-4 8 21,1-1-147,0-1 0,-1 1 0,0 0 0,0 0 0,0-1 0,0 1 0,-1-1 0,0 1 0,0-1 0,1-5 0</inkml:trace>
  <inkml:trace contextRef="#ctx0" brushRef="#br0" timeOffset="6">280 2653 24575,'-3'-5'0,"0"1"0,0 0 0,-1 0 0,0 0 0,0 1 0,0-1 0,0 1 0,0 0 0,-1 0 0,-7-4 0,10 6 0,0 1 0,0-1 0,1 0 0,-1 1 0,0 0 0,0-1 0,0 1 0,0 0 0,0 0 0,0 0 0,0 0 0,0 0 0,0 0 0,1 1 0,-1-1 0,0 0 0,0 1 0,0 0 0,0-1 0,1 1 0,-1 0 0,0 0 0,1 0 0,0 0 0,-1 0 0,1 1 0,0-1 0,-1 0 0,1 1 0,0-1 0,-2 3 0,-3 5 0,1 1 0,0-1 0,1 1 0,0-1 0,1 1 0,0 1 0,0-1 0,1 0 0,-1 11 0,0 8 0,2 0 0,2 30 0,-1-49 0,1 0 0,0 1 0,1-1 0,0 0 0,1-1 0,0 1 0,1 0 0,0-1 0,7 14 0,-9-20 0,0 0 0,0 0 0,0 0 0,1 0 0,-1-1 0,1 1 0,0-1 0,-1 0 0,1 1 0,0-1 0,0-1 0,0 1 0,0 0 0,1-1 0,-1 1 0,1-1 0,-1 0 0,1 0 0,-1-1 0,1 1 0,0-1 0,-1 0 0,1 0 0,0 0 0,-1 0 0,1 0 0,0-1 0,-1 0 0,5-1 0,1 0 0,-1-1 0,0 0 0,0-1 0,0 0 0,0 0 0,-1-1 0,0 0 0,0 0 0,0-1 0,0 0 0,-1-1 0,0 1 0,0-1 0,-1 0 0,0 0 0,5-9 0,-4 5 0,0 0 0,-1 0 0,-1 0 0,0 0 0,0-1 0,-1 1 0,-1-1 0,0 0 0,-1 0 0,0 0 0,-1-16 0,0 25 0,0 0 0,-1 1 0,1-1 0,-1 0 0,0 1 0,0-1 0,0 1 0,0-1 0,0 1 0,0-1 0,-2-2 0,2 5 0,1 0 0,0-1 0,0 1 0,-1 0 0,1-1 0,-1 1 0,1 0 0,0 0 0,-1-1 0,1 1 0,-1 0 0,1 0 0,0-1 0,-1 1 0,1 0 0,-1 0 0,1 0 0,-1 0 0,1 0 0,-1 0 0,1 0 0,0 0 0,-1 0 0,1 0 0,-2 0 0,1 1 0,0-1 0,0 1 0,0-1 0,0 1 0,1 0 0,-1 0 0,0-1 0,0 1 0,0 0 0,1 0 0,-1 0 0,0 0 0,1 0 0,-1 0 0,0 1 0,-3 7 0,0-1 0,1 1 0,0 0 0,-3 17 0,5-22 0,1 1 0,-1-1 0,1 0 0,0 0 0,0 1 0,0-1 0,0 0 0,1 1 0,0-1 0,0 0 0,0 0 0,3 8 0,-3-11 0,-1 0 0,1 0 0,-1 0 0,1 0 0,0 0 0,-1 0 0,1 0 0,0 0 0,0 0 0,-1-1 0,1 1 0,0 0 0,0 0 0,0-1 0,0 1 0,0 0 0,0-1 0,0 1 0,1-1 0,-1 0 0,0 1 0,0-1 0,0 0 0,0 0 0,1 1 0,-1-1 0,0 0 0,0 0 0,0 0 0,1-1 0,-1 1 0,0 0 0,0 0 0,0-1 0,0 1 0,1 0 0,1-2 0,-1 1 0,0-1 0,-1 1 0,1-1 0,0 1 0,0-1 0,-1 0 0,1 0 0,-1 0 0,1 1 0,-1-1 0,0-1 0,0 1 0,0 0 0,0 0 0,0 0 0,-1-1 0,1 1 0,0-3 0,0-1 0,-1 0 0,0 0 0,0 0 0,0 0 0,-1 0 0,1 0 0,-2 0 0,1 0 0,-1 0 0,0 0 0,0 1 0,-5-11 0,6 16 0,1-1 0,0 1 0,0 0 0,0 0 0,0 0 0,0 0 0,0 0 0,0 0 0,0-1 0,0 1 0,0 0 0,0 0 0,0 0 0,-1 0 0,1 0 0,0 0 0,0 0 0,0 0 0,0-1 0,0 1 0,0 0 0,-1 0 0,1 0 0,0 0 0,0 0 0,0 0 0,0 0 0,0 0 0,-1 0 0,1 0 0,0 0 0,0 0 0,0 0 0,0 0 0,0 0 0,-1 0 0,1 0 0,0 0 0,0 0 0,0 0 0,0 0 0,0 0 0,-1 0 0,1 1 0,0-1 0,0 0 0,0 0 0,0 0 0,0 0 0,0 0 0,-3 11 0,2 12 0,2-18 0,1 0 0,0 0 0,0-1 0,0 1 0,0-1 0,1 1 0,0-1 0,5 7 0,-7-10 0,0 0 0,0 1 0,0-1 0,0 0 0,-1 0 0,2 0 0,-1 0 0,0 0 0,0 0 0,0-1 0,0 1 0,0 0 0,1 0 0,-1-1 0,0 1 0,1-1 0,-1 1 0,0-1 0,1 0 0,-1 1 0,1-1 0,-1 0 0,0 0 0,1 0 0,-1 0 0,1 0 0,-1 0 0,1-1 0,-1 1 0,0 0 0,1-1 0,-1 1 0,0-1 0,1 1 0,1-2 0,-2 1 0,0-1 0,0 1 0,1-1 0,-1 1 0,0-1 0,0 1 0,0-1 0,-1 0 0,1 0 0,0 0 0,-1 1 0,1-1 0,-1 0 0,0 0 0,1 0 0,-1 0 0,0 0 0,0-2 0,-5-38 0,4 31 0,-2-2 0,2 9 0,1-1 0,-1 1 0,0 0 0,1-1 0,0 0 0,0 1 0,1-1 0,0-6 0,0 10 0,-1 1 0,0-1 0,0 1 0,1-1 0,-1 1 0,0 0 0,1-1 0,-1 1 0,1 0 0,-1-1 0,1 1 0,-1 0 0,0-1 0,1 1 0,-1 0 0,1 0 0,-1 0 0,1-1 0,-1 1 0,1 0 0,-1 0 0,1 0 0,-1 0 0,1 0 0,0 0 0,-1 0 0,1 0 0,-1 0 0,1 0 0,-1 0 0,1 0 0,-1 1 0,1-1 0,-1 0 0,1 0 0,-1 0 0,1 1 0,-1-1 0,0 0 0,1 1 0,-1-1 0,1 0 0,-1 1 0,1 0 0,20 15 0,-15-10 0,0 1 0,-1-1 0,0 1 0,7 12 0,-11-16 0,1 0 0,-1-1 0,0 1 0,0 0 0,0 0 0,0 0 0,0 0 0,0-1 0,-1 1 0,1 0 0,-1 0 0,0 1 0,0-1 0,0 0 0,-1 0 0,0 3 0,1-5 0,0 0 0,0-1 0,0 1 0,0-1 0,-1 1 0,1-1 0,0 1 0,0-1 0,-1 1 0,1 0 0,0-1 0,-1 1 0,1-1 0,0 0 0,-1 1 0,1-1 0,-1 1 0,1-1 0,-1 0 0,1 1 0,-1-1 0,1 0 0,-1 1 0,0-1 0,1 0 0,-1 0 0,0 1 0,0-2 0,0 1 0,0 0 0,0 0 0,1-1 0,-1 1 0,1 0 0,-1-1 0,0 1 0,0-1 0,1 1 0,-1-1 0,0 0 0,0 1 0,1-1 0,-2-1 0,-1-2 0,0 1 0,1-1 0,0 0 0,-1 0 0,1-1 0,-2-4 0,2 1 0,0-1 0,1 1 0,-1-1 0,2 0 0,-1 1 0,1-1 0,2-12 0,-2 19 0,0-1 0,1 1 0,-1-1 0,1 1 0,0-1 0,0 1 0,0 0 0,0-1 0,0 1 0,1 0 0,-1 0 0,1 0 0,-1 0 0,1 0 0,0 0 0,0 0 0,0 1 0,0-1 0,0 1 0,0-1 0,0 1 0,0 0 0,1-1 0,-2 1 0,1 1 0,1-1 0,-1 0 0,1 0 0,3 0 0,35-5-1365,-22 2-5461</inkml:trace>
  <inkml:trace contextRef="#ctx0" brushRef="#br0" timeOffset="7">718 2611 24575,'-2'0'0,"0"-1"0,0 1 0,1-1 0,-1 0 0,0 0 0,0 0 0,1 0 0,-1 0 0,-2-1 0,-13-8 0,15 10 0,0 0 0,0 0 0,0 1 0,0-1 0,0 0 0,0 1 0,0-1 0,1 1 0,-1 0 0,0-1 0,0 1 0,0 0 0,1 0 0,-1 0 0,0 0 0,1 1 0,-1-1 0,1 0 0,0 1 0,-1-1 0,1 1 0,0-1 0,0 1 0,0-1 0,0 1 0,0 0 0,0 0 0,0-1 0,1 1 0,-1 0 0,0 3 0,0-3 0,0 0 0,0 1 0,1-1 0,-1 1 0,1 0 0,-1-1 0,1 1 0,0-1 0,0 1 0,0-1 0,0 1 0,1 0 0,-1-1 0,1 1 0,-1-1 0,1 1 0,0-1 0,0 0 0,0 1 0,0-1 0,1 0 0,-1 1 0,3 2 0,-3-4 0,0 0 0,0 0 0,0 0 0,1 0 0,-1 0 0,0 0 0,0 0 0,1 0 0,-1-1 0,1 1 0,-1 0 0,0-1 0,1 1 0,-1-1 0,1 0 0,0 1 0,-1-1 0,1 0 0,-1 0 0,1 0 0,-1 0 0,1 0 0,-1 0 0,1-1 0,0 1 0,-1 0 0,1-1 0,-1 1 0,0-1 0,1 1 0,-1-1 0,1 0 0,-1 0 0,0 0 0,1 0 0,-1 0 0,0 0 0,2-2 0,-1 0 0,1-1 0,-1 0 0,0 0 0,0 0 0,0 0 0,0 0 0,-1-1 0,1 1 0,-1 0 0,-1-1 0,1 1 0,0-7 0,-1-6 0,-1-1 0,0 0 0,-7-27 0,6 36 0,0-1 0,-1 0 0,0 1 0,-1 0 0,0-1 0,-1 1 0,-8-12 0,13 21 0,0 0 0,0 0 0,0 0 0,0 0 0,0 0 0,0 0 0,0 0 0,0 0 0,0 0 0,0 1 0,0-1 0,0 0 0,0 0 0,0 0 0,0 0 0,0 0 0,0 0 0,0 0 0,0 0 0,0 0 0,0 0 0,0 0 0,0 0 0,0 0 0,0 0 0,-1 0 0,1 0 0,0 0 0,0 0 0,0 0 0,0 0 0,0 0 0,0 0 0,0 0 0,0 0 0,0 0 0,0 0 0,0 0 0,0 0 0,0 0 0,0 0 0,-1 0 0,1 0 0,0 0 0,0 0 0,0 0 0,0 0 0,0 0 0,0 0 0,0 0 0,0 0 0,0 0 0,0 0 0,0 0 0,0 0 0,0 0 0,1 11 0,5 14 0,64 190-36,-46-149-1293,-19-49-5497</inkml:trace>
  <inkml:trace contextRef="#ctx0" brushRef="#br0" timeOffset="8">154 3151 24575,'7'-1'0,"0"-1"0,0 0 0,0 0 0,-1 0 0,1-1 0,-1 0 0,1 0 0,10-8 0,3 0 0,-19 11 0,222-111 0,-160 83 0,105-33 0,-161 59 0,-4 1 0,1-1 0,-1 1 0,1 1 0,-1-1 0,1 0 0,0 1 0,0 0 0,-1 0 0,6 0 0,-9 0 4,0 0-1,0 0 1,0 0-1,0 0 1,0 0-1,0 0 1,0 0-1,1 0 1,-1 0-1,0 0 1,0 0-1,0 1 1,0-1-1,0 0 0,0 0 1,0 0-1,0 0 1,1 0-1,-1 0 1,0 0-1,0 0 1,0 0-1,0 0 1,0 0-1,0 1 1,0-1-1,0 0 1,0 0-1,0 0 1,0 0-1,0 0 1,0 0-1,0 0 1,0 1-1,0-1 1,0 0-1,0 0 1,0 0-1,0 0 1,0 0-1,0 0 1,0 0-1,0 1 0,0-1 1,0 0-1,0 0 1,0 0-1,0 0 1,-6 7 167,-9 2-1878,-1-1-5119</inkml:trace>
  <inkml:trace contextRef="#ctx0" brushRef="#br0" timeOffset="9">238 3199 24575,'-1'1'0,"1"-1"0,-1 1 0,0-1 0,1 0 0,-1 1 0,1-1 0,-1 1 0,1-1 0,-1 1 0,1 0 0,-1-1 0,1 1 0,-1-1 0,1 1 0,0 0 0,-1 0 0,1-1 0,0 1 0,0 0 0,-1-1 0,1 1 0,0 0 0,0 0 0,0-1 0,0 1 0,0 1 0,2-2 0,-1 0 0,1 1 0,0-1 0,0 0 0,-1 0 0,1 0 0,0 0 0,-1 0 0,1 0 0,0 0 0,-1-1 0,1 1 0,2-1 0,22-7 0,-1 0 0,0-2 0,40-20 0,-20 8 0,94-40 0,206-62 0,-278 101-1365,-55 18-5461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345"/>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0 1,'0'1,"0"0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346"/>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1 10,'0'1,"0"-1,0 1,1-1,-1 1,0-1,1 1,-1-1,1 1,-1-1,0 1,1-1,-1 1,1-1,-1 0,1 1,-1-1,1 0,0 1,-1-1,1 0,-1 0,1 1,0-1,-1 0,1 0,-1 0,2 0,22 2,-20-1,270 9,741 4,-652-16,-329 3,-19 0,0-1,0 0,27-5,-100 0,-136-10,-48-3,-35 14,-481 56,701-42,0 3,-65 23,120-35,0 0,0-1,-1 1,1-1,0 0,0 1,-1-1,1 0,-4-1,1 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347"/>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28 79,'0'-1,"0"0,0 1,0-1,-1 1,1-1,0 1,0-1,-1 1,1-1,0 1,-1 0,1-1,-1 1,1 0,-1-1,1 1,0 0,-1-1,1 1,-1 0,1 0,-1-1,0 1,1 0,-1 0,1 0,-1 0,1 0,-1 0,1 0,-1 0,0 0,1 0,-1 0,1 0,-1 0,1 0,-1 1,1-1,-1 0,1 0,-2 1,2-1,-1 0,1 1,0-1,-1 0,1 0,-1 0,1 1,0-1,-1 0,1 1,0-1,-1 0,1 1,0-1,-1 0,1 1,0-1,0 0,-1 1,1-1,0 1,0 0,0-1,0 1,0 0,0-1,1 1,-1-1,0 1,0-1,1 1,-1-1,0 1,1-1,-1 1,1-1,-1 1,0-1,1 0,-1 1,1-1,-1 0,1 1,-1-1,1 0,0 0,0 1,7 2,1-1,-1 0,1 0,-1-1,1 0,0-1,17 0,-5 0,880-21,-466 5,-409 15,-1-2,48-10,-6 1,-54 11,23-4,-34 4,0 1,0-1,0 1,0-1,0 0,0 0,-1 0,1 0,0 0,0 0,-1-1,4-2,-5 4,0 0,0 0,0 0,0-1,1 1,-1 0,0 0,0 0,0 0,0-1,0 1,0 0,0 0,0 0,0-1,0 1,0 0,0 0,0 0,0-1,0 1,0 0,0 0,0 0,0-1,0 1,0 0,0 0,0 0,0 0,0-1,-1 1,1 0,0 0,0 0,0 0,0 0,0-1,-1 1,1 0,-11-4,-12 1,22 3,-206 4,64 0,-338 29,-41-1,467-34,27 0,0 2,-35 3,63-3,0 0,0 0,0 0,-1 0,1 0,0 0,0 0,0 0,-1 0,1 0,0 0,0 0,0 0,-1 0,1 0,0 0,0 0,0 0,-1 0,1 0,0 0,0 0,0 1,-1-1,1 0,0 0,0 0,0 0,0 0,-1 0,1 1,0-1,0 0,0 0,0 0,0 1,0-1,0 0,0 0,0 0,-1 1,1-1,0 0,0 0,0 0,0 1,0-1,0 0,0 0,0 0,1 1,-1-1,0 0,0 0,0 0,0 1,0-1,0 0,0 0,0 0,0 1,1-1,-1 0,6 5</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348"/>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6 58,'3'0,"0"-1,0 0,0 0,1 0,-1 0,4-2,15-5,8 4,1 1,0 2,36 2,-10 1,433-21,-214 4,109 13,-216 3,-335 11,33-1,-610-7,603-9,40 0,-124 10,144 1,76-6</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349"/>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57 118,'239'1,"271"-3,-1-22,345 5,-586 21,-136 5,-87-3,-1-1,65-6,-94 2,8-2,-23 3,0 0,0 0,0 0,0 0,0 0,0 0,0 0,0 0,0 0,0 0,0 0,0 0,0 0,0 0,0 0,0 0,0 0,0 0,0 0,0 0,0 0,-15-1,-330-11,-543-40,760 43,64 3,-1 3,-73 6,-87 14,-93 10,-273 29,573-53,9 0,9-3,0 0,0 0,0 0,0 0,0 0,0 0,0 0,0 0,0 0,0 1,0-1,-1 0,1 0,0 0,0 0,0 0,0 0,0 0,0 0,0 0,0 1,0-1,0 0,0 0,0 0,0 0,0 0,0 0,0 0,0 0,0 1,0-1,0 0,0 0,0 0,1 0,-1 0,0 0,0 0,0 0,0 0,0 0,0 1,0-1,0 0,0 0,0 0,0 0,0 0,1 0,-1 0,0 0,0 0,4 2</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350"/>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52 0,'14'1,"-1"1,0 0,0 1,14 4,19 5,345 33,-391-45,131 19,-217-20,-499-11,577 12,-10 1,16 2,10 2,-1-1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351"/>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32 9,'-5'0,"-21"1,26-1,0 0,0 0,0 0,0 0,0 0,0 0,0 0,0 0,0 0,0 0,1 0,-1 1,0-1,0 0,0 0,0 0,0 0,0 0,0 0,0 0,0 0,0 0,0 0,0 0,0 0,0 0,0 0,0 0,0 0,0 0,0 1,0-1,0 0,0 0,-1 0,1 0,0 0,0 0,0 0,0 0,0 0,0 0,0 0,0 0,0 0,0 0,0 0,0 0,0 0,0 0,0 0,0 0,0 0,0 0,0 0,15 5,32 5,1-3,79 3,99-13,-90 0,582 2,-388 1,-192-11,-90 6,51-1,-59 7,87 3,-111-2,-1 0,0 1,0 1,0 0,-1 1,16 7,-30-12,1 0,-1 0,1 0,-1 0,1 0,-1 0,1 0,-1 1,0-1,1 0,-1 0,1 1,-1-1,1 0,-1 1,0-1,1 0,-1 1,0-1,1 0,-1 1,0-1,0 1,1-1,-1 1,0-1,0 0,0 1,0-1,1 1,-1-1,0 1,0-1,0 1,0-1,0 1,0-1,0 1,0-1,-1 1,1-1,0 1,0-1,0 1,0-1,-1 1,1-1,0 0,0 1,-1-1,1 1,0-1,-1 0,1 1,-1-1,1 0,0 1,-1-1,1 0,-1 0,1 0,-1 1,1-1,-1 0,1 0,0 0,-1 0,-4 3,-1-1,1 0,0-1,-10 3,-25-1,0-1,0-3,-57-6,5-1,-59-3,-64-3,66 15,-194-9,230-3,-129-6,115 19,-149-3,207-6,-26-1,83 8,6 0,0 0,0 0,0 1,0-1,-6 3,12-3,0 0,0 0,0 0,0 0,0 0,0 0,0 0,0 0,0 0,1 0,-1 0,0 0,0 0,0 0,0 0,0 0,0 0,0 0,0 0,0 0,0 1,0-1,0 0,0 0,0 0,0 0,0 0,0 0,0 0,0 0,0 0,0 0,0 0,0 0,0 1,0-1,0 0,0 0,0 0,0 0,0 0,0 0,0 0,0 0,0 0,0 0,0 1,6-1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52"/>
    </inkml:context>
    <inkml:brush xml:id="br0">
      <inkml:brushProperty name="width" value="0.025" units="cm"/>
      <inkml:brushProperty name="height" value="0.025" units="cm"/>
    </inkml:brush>
  </inkml:definitions>
  <inkml:trace contextRef="#ctx0" brushRef="#br0">0 128 24575,'504'-21'0,"62"-2"0,-560 23 53,17-1 218,-23 1-297,1 0 0,-1 0 0,0 0 0,0 0 0,1 0 0,-1 0 0,0 0 0,0 0 0,1 0 0,-1 0 0,0 0 0,0 0 0,1 0 0,-1 0 1,0 0-1,0-1 0,0 1 0,1 0 0,-1 0 0,0 0 0,0 0 0,0 0 0,1-1 0,-1 1 0,0 0 0,0 0 0,0 0 0,0-1 0,0 1 0,1 0 0,-1 0 0,0 0 0,0-1 0,0 1 0,0 0 0,0 0 0,0-1 0,0 1 0,0 0 0,0 0 0,0-1 0,0 1 0,0 0 0,0 0 0,0-1 0,0 1 0,0 0 0,0 0 0,0-1 0,0 1 0,0 0 0,-1 0 0,1 0 0,0-1 0,0 1 0,0 0 0,0 0 0,0 0 0,-1-1 0,1 1 0,0 0 0,0 0 0,0 0 0,-1-1 0,-9-7-6800</inkml:trace>
  <inkml:trace contextRef="#ctx0" brushRef="#br0" timeOffset="1">1016 1 24575,'4'0'0,"0"1"0,0-1 0,0 1 0,0 0 0,0 0 0,0 1 0,0-1 0,-1 1 0,1 0 0,-1 0 0,1 0 0,-1 0 0,0 0 0,0 1 0,0 0 0,0 0 0,0-1 0,0 2 0,-1-1 0,0 0 0,1 0 0,-1 1 0,0-1 0,-1 1 0,1 0 0,-1-1 0,1 1 0,-1 0 0,0 0 0,-1 0 0,1 0 0,-1 0 0,1 0 0,-1 0 0,-1 0 0,1 0 0,0 0 0,-1 0 0,0 0 0,0 0 0,0 0 0,0-1 0,-1 1 0,0 0 0,1-1 0,-1 1 0,0-1 0,-6 7 0,4-6-151,0 0-1,0 0 0,0-1 0,-1 1 1,0-1-1,0 0 0,0-1 1,-10 5-1,2-3-6674</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54"/>
    </inkml:context>
    <inkml:brush xml:id="br0">
      <inkml:brushProperty name="width" value="0.025" units="cm"/>
      <inkml:brushProperty name="height" value="0.025" units="cm"/>
    </inkml:brush>
  </inkml:definitions>
  <inkml:trace contextRef="#ctx0" brushRef="#br0">92 79 24575,'0'-2'0,"0"0"0,0 0 0,0 0 0,0 0 0,-1 0 0,1 0 0,-1 0 0,1 0 0,-1 0 0,0 0 0,1 1 0,-1-1 0,0 0 0,0 0 0,-1 1 0,1-1 0,0 1 0,0-1 0,-1 1 0,-1-2 0,2 3 0,0-1 0,0 1 0,0-1 0,-1 1 0,1 0 0,0-1 0,0 1 0,0 0 0,-1 0 0,1 0 0,0 0 0,0 0 0,0 0 0,-1 0 0,1 1 0,0-1 0,0 0 0,0 1 0,0-1 0,-1 1 0,1-1 0,0 1 0,0-1 0,0 1 0,0 0 0,0 0 0,0-1 0,1 1 0,-1 0 0,0 0 0,0 0 0,1 0 0,-2 2 0,-3 3 0,1 0 0,1 1 0,-1 0 0,1 0 0,0 0 0,0 0 0,1 0 0,0 1 0,-1 7 0,1-4 0,0 1 0,1-1 0,1 1 0,0 0 0,2 14 0,-1-22 0,-1 1 0,2-1 0,-1 0 0,0 0 0,1-1 0,-1 1 0,1 0 0,0 0 0,1-1 0,-1 0 0,0 1 0,1-1 0,0 0 0,0 0 0,0 0 0,0 0 0,0-1 0,1 1 0,-1-1 0,1 0 0,0 0 0,-1 0 0,1-1 0,0 1 0,0-1 0,0 0 0,0 0 0,0 0 0,0-1 0,5 1 0,-1 0 0,0-1 0,0 0 0,-1 0 0,1-1 0,0 0 0,0 0 0,0-1 0,-1 0 0,1 0 0,-1-1 0,1 0 0,-1 0 0,0-1 0,0 0 0,6-5 0,-10 6 0,0 0 0,0 0 0,0 0 0,-1 0 0,0 0 0,1-1 0,-1 1 0,0-1 0,2-6 0,-3 8 0,-1 0 0,1 0 0,0 0 0,-1 0 0,1 0 0,-1 0 0,0 0 0,0 0 0,0 0 0,0-1 0,0 1 0,0 0 0,0 0 0,-1 0 0,1 0 0,-1 0 0,1 0 0,-1 0 0,-1-2 0,2 3 0,0 1 0,0 0 0,0 0 0,-1 0 0,1-1 0,0 1 0,0 0 0,0 0 0,0 0 0,0 0 0,0-1 0,-1 1 0,1 0 0,0 0 0,0 0 0,0 0 0,0 0 0,-1-1 0,1 1 0,0 0 0,0 0 0,0 0 0,-1 0 0,1 0 0,0 0 0,0 0 0,0 0 0,-1 0 0,1 0 0,0 0 0,0 0 0,-1 0 0,1 0 0,0 0 0,0 0 0,0 0 0,-1 0 0,1 0 0,0 1 0,-6 8 0,0 14 0,6-21 0,0 1 0,0-1 0,0 0 0,0 1 0,1-1 0,-1 0 0,1 1 0,-1-1 0,1 0 0,0 0 0,0 1 0,0-1 0,0 0 0,0 0 0,0 0 0,1 0 0,-1 0 0,1-1 0,-1 1 0,1 0 0,0-1 0,-1 1 0,1-1 0,0 1 0,0-1 0,0 0 0,0 0 0,1 0 0,-1 0 0,0 0 0,0 0 0,0-1 0,1 1 0,2-1 0,-2 1 0,-1-1 0,0 0 0,1 0 0,-1 0 0,1 0 0,-1 0 0,1 0 0,-1-1 0,1 1 0,-1-1 0,0 0 0,1 0 0,-1 1 0,0-2 0,0 1 0,0 0 0,0 0 0,0-1 0,0 1 0,0-1 0,0 0 0,0 1 0,-1-1 0,1 0 0,-1 0 0,1 0 0,-1 0 0,0 0 0,0 0 0,0-1 0,0 1 0,0 0 0,1-3 0,-2 3 0,0-1 0,0 1 0,0 0 0,0 0 0,0-1 0,0 1 0,0 0 0,-1 0 0,1 0 0,-1-1 0,1 1 0,-1 0 0,0 0 0,0 0 0,0 0 0,0 0 0,0 0 0,-1 0 0,1 1 0,-1-1 0,1 0 0,-1 1 0,1-1 0,-1 1 0,0-1 0,0 1 0,0 0 0,0 0 0,0 0 0,0 0 0,0 0 0,0 0 0,0 1 0,0-1 0,0 1 0,-1-1 0,1 1 0,0 0 0,0 0 0,0 0 0,-1 0 0,1 0 0,0 0 0,0 1 0,-1-1 0,1 1 0,0 0 0,0-1 0,0 1 0,0 0 0,0 0 0,0 0 0,0 1 0,0-1 0,1 0 0,-1 1 0,0-1 0,1 1 0,-1 0 0,1-1 0,-3 4 0,3-3 0,0 0 0,0 0 0,0 0 0,0 0 0,0 0 0,0 1 0,1-1 0,-1 0 0,1 0 0,-1 0 0,1 1 0,0-1 0,0 0 0,0 0 0,0 1 0,0-1 0,1 0 0,-1 0 0,2 3 0,-1-3 0,0-1 0,0 1 0,0 0 0,0-1 0,0 1 0,1-1 0,-1 0 0,0 1 0,1-1 0,-1 0 0,1 0 0,0 0 0,-1 0 0,1 0 0,0 0 0,0-1 0,0 1 0,1 0 0,2 0 0,0 0 0,-1 0 0,1-1 0,-1 1 0,1-1 0,0 0 0,-1-1 0,1 1 0,0-1 0,-1 0 0,1 0 0,-1 0 0,1-1 0,-1 0 0,0 1 0,0-2 0,8-3 0,-9 2 0,1 1 0,-1-1 0,0 1 0,0-1 0,0 0 0,-1 0 0,1-1 0,-1 1 0,0 0 0,0-1 0,-1 0 0,1 1 0,-1-1 0,0 0 0,0 1 0,0-7 0,-1 2 0,1 1 0,-1-1 0,-1 0 0,0 1 0,0-1 0,0 1 0,-1-1 0,-4-8 0,6 16 0,0 0 0,0 0 0,0 0 0,-1 0 0,1 0 0,-1 0 0,1 0 0,-1 0 0,1 0 0,-1 0 0,1 1 0,-1-1 0,0 0 0,1 0 0,-1 0 0,0 1 0,0-1 0,0 0 0,-1 0 0,2 1 0,-1 1 0,1-1 0,-1 0 0,1 0 0,-1 1 0,1-1 0,-1 0 0,1 1 0,-1-1 0,1 1 0,0-1 0,-1 1 0,1-1 0,0 1 0,-1-1 0,1 1 0,0-1 0,0 1 0,0-1 0,-1 1 0,1-1 0,0 1 0,0 1 0,-2 6 0,0 0 0,1 1 0,-1 11 0,2-1 0,1-1 0,4 32 0,-5-46 0,1 0 0,0 0 0,0 0 0,0 0 0,0 0 0,1 0 0,0 0 0,0 0 0,0 0 0,0-1 0,0 1 0,1-1 0,-1 0 0,1 1 0,0-1 0,0 0 0,0-1 0,5 4 0,-6-5 0,-1-1 0,1 1 0,-1 0 0,1-1 0,-1 0 0,1 1 0,-1-1 0,1 0 0,-1 0 0,1 0 0,0 0 0,-1 0 0,1 0 0,-1-1 0,1 1 0,-1 0 0,1-1 0,-1 1 0,1-1 0,-1 1 0,1-1 0,-1 0 0,0 0 0,1 0 0,-1 0 0,0 0 0,0 0 0,1 0 0,-1 0 0,0 0 0,0 0 0,0-1 0,-1 1 0,1 0 0,0-1 0,0 1 0,0-2 0,4-7 0,-1 0 0,0 0 0,6-20 0,-10 29 0,11-43 0,-9 88 0,-1-41 0,0 1 0,0-1 0,0 0 0,0 1 0,0-1 0,1 0 0,-1 0 0,1 0 0,0 0 0,0 0 0,0 0 0,4 3 0,-6-5 0,1 0 0,0 0 0,0 0 0,0 0 0,0 0 0,0-1 0,0 1 0,0 0 0,0 0 0,0-1 0,0 1 0,1 0 0,-1-1 0,0 0 0,0 1 0,1-1 0,-1 0 0,0 1 0,1-1 0,-1 0 0,0 0 0,0 0 0,1 0 0,-1 0 0,0 0 0,1-1 0,-1 1 0,0 0 0,0-1 0,1 1 0,-1-1 0,0 1 0,0-1 0,0 0 0,2-1 0,-1 1 0,-1-1 0,0 0 0,1 1 0,-1-1 0,0 0 0,0 0 0,-1 1 0,1-1 0,0 0 0,0 0 0,-1 0 0,0 0 0,1 0 0,-1 0 0,0 0 0,0 0 0,0 0 0,0-4 0,-1-1 0,0 0 0,0 0 0,-1 1 0,-2-8 0,1 8 171,2 9 0,5 11-1878,2-7-5119</inkml:trace>
  <inkml:trace contextRef="#ctx0" brushRef="#br0" timeOffset="1">649 149 24575,'0'0'0,"0"0"0,0-1 0,0 1 0,0 0 0,0-1 0,0 1 0,1 0 0,-1-1 0,0 1 0,0 0 0,0-1 0,0 1 0,0 0 0,0 0 0,1-1 0,-1 1 0,0 0 0,0-1 0,0 1 0,1 0 0,-1 0 0,0 0 0,0-1 0,1 1 0,-1 0 0,0 0 0,1 0 0,-1 0 0,0-1 0,1 1 0,-1 0 0,0 0 0,1 0 0,-1 0 0,0 0 0,1 0 0,-1 0 0,0 0 0,1 0 0,-1 0 0,0 0 0,1 0 0,-1 0 0,0 0 0,1 0 0,-1 0 0,0 1 0,0-1 0,1 0 0,-1 0 0,17 10 0,-15-6 0,1-1 0,-1 1 0,0 0 0,0-1 0,0 1 0,-1 0 0,1 0 0,-1 1 0,0-1 0,0 0 0,-1 0 0,1 0 0,-1 1 0,0-1 0,0 0 0,0 1 0,0-1 0,-1 0 0,0 0 0,0 1 0,-3 7 0,4-12 0,0 0 0,0 0 0,0 0 0,0 1 0,0-1 0,0 0 0,0 0 0,0 0 0,-1 0 0,1 1 0,0-1 0,0 0 0,0 0 0,0 0 0,0 0 0,0 0 0,0 0 0,-1 1 0,1-1 0,0 0 0,0 0 0,0 0 0,0 0 0,-1 0 0,1 0 0,0 0 0,0 0 0,0 0 0,0 0 0,-1 0 0,1 0 0,0 0 0,0 0 0,0 0 0,0 0 0,-1 0 0,1 0 0,0 0 0,0 0 0,-3-7 0,2-13 0,7-20 0,-5 39 0,-1-1 0,0 1 0,1-1 0,-1 1 0,1 0 0,-1-1 0,1 1 0,-1-1 0,1 1 0,0 0 0,0 0 0,0-1 0,0 1 0,0 0 0,0 0 0,0 0 0,0 0 0,0 0 0,1 0 0,-1 0 0,0 1 0,0-1 0,3-1 0,-2 2 0,-1 0 0,0 1 0,0-1 0,0 0 0,0 1 0,0-1 0,0 0 0,0 1 0,0-1 0,0 1 0,0 0 0,0-1 0,0 1 0,0 0 0,0 0 0,0-1 0,0 1 0,-1 0 0,1 0 0,0 0 0,-1 0 0,1 0 0,-1 0 0,1 0 0,-1 0 0,1 0 0,-1 0 0,0 0 0,1 2 0,6 34 0,-4-46 0,1 1 0,1 0 0,-1 0 0,1 1 0,1-1 0,-1 1 0,8-6 0,-12 12 0,-1 0 0,1 1 0,0-1 0,-1 1 0,1-1 0,0 1 0,0-1 0,0 1 0,-1 0 0,1 0 0,0-1 0,0 1 0,0 0 0,0 0 0,0 0 0,0 0 0,-1 0 0,1 0 0,0 0 0,0 0 0,0 0 0,0 0 0,0 0 0,0 1 0,-1-1 0,3 1 0,-2 0 0,1 0 0,-1 0 0,0 1 0,0-1 0,0 1 0,0-1 0,0 0 0,0 1 0,0 0 0,0-1 0,0 1 0,0 3 0,2 3 0,-1 1 0,-1 0 0,1 1 0,-1 9 0,1 11-1365,1-20-5461</inkml:trace>
  <inkml:trace contextRef="#ctx0" brushRef="#br0" timeOffset="2">875 171 24575,'0'-1'0,"0"1"0,0-1 0,0 1 0,1-1 0,-1 1 0,0-1 0,0 1 0,0 0 0,0-1 0,1 1 0,-1-1 0,0 1 0,0 0 0,1-1 0,-1 1 0,0 0 0,0-1 0,1 1 0,-1 0 0,1-1 0,-1 1 0,0 0 0,1 0 0,-1-1 0,0 1 0,1 0 0,-1 0 0,1 0 0,-1 0 0,1 0 0,-1-1 0,1 1 0,-1 0 0,0 0 0,1 0 0,-1 0 0,1 0 0,-1 0 0,1 0 0,-1 1 0,1-1 0,-1 0 0,0 0 0,1 0 0,1 1 0,0-1 0,-1 1 0,1-1 0,0 1 0,-1 0 0,1-1 0,-1 1 0,1 0 0,-1 0 0,3 2 0,-1 0 0,-1 1 0,0-1 0,0 1 0,0 0 0,0 0 0,0 0 0,-1 0 0,0 0 0,0 0 0,0 0 0,0 1 0,-1-1 0,1 0 0,-1 0 0,0 1 0,-1-1 0,0 6 0,0-43 0,2 29 0,0 1 0,0 0 0,0 0 0,0 0 0,1 0 0,-1 0 0,1 0 0,0 0 0,0 1 0,0-1 0,0 0 0,0 1 0,0 0 0,1-1 0,-1 1 0,6-3 0,-7 4 0,1 0 0,0 1 0,-1-1 0,1 1 0,0-1 0,0 1 0,0-1 0,0 1 0,-1 0 0,1 0 0,0 0 0,0 0 0,0 0 0,0 0 0,0 1 0,-1-1 0,1 1 0,0-1 0,0 1 0,-1 0 0,1-1 0,0 1 0,-1 0 0,1 0 0,0 0 0,-1 0 0,0 1 0,1-1 0,-1 0 0,3 3 0,-1 1 0,0-1 0,1 1 0,-1-1 0,-1 1 0,1 0 0,-1 0 0,3 8 0,-4-10 0,0-1 0,-1 1 0,1 0 0,0 0 0,-1-1 0,0 1 0,1 0 0,-1 0 0,0 0 0,-1 0 0,1-1 0,0 1 0,-1 0 0,0 0 0,1-1 0,-3 5 0,-2-2-1365,0-2-5461</inkml:trace>
  <inkml:trace contextRef="#ctx0" brushRef="#br0" timeOffset="3">1200 1 24575,'-1'121'0,"6"234"0,-4-337 0,5 49 0,-5-62 0,0 0 0,1 0 0,-1 0 0,1-1 0,0 1 0,0 0 0,0-1 0,1 1 0,-1-1 0,5 5 0,-6-8-37,-1 0 0,1 0 1,0-1-1,0 1 0,0 0 0,0 0 0,0-1 0,0 1 0,0-1 0,0 1 0,0-1 0,0 1 1,1-1-1,-1 0 0,0 0 0,0 1 0,0-1 0,0 0 0,1 0 0,-1 0 0,0 0 0,0 0 1,0-1-1,1 1 0,-1 0 0,0 0 0,0-1 0,0 1 0,0-1 0,0 1 0,0-1 0,0 1 1,0-1-1,0 0 0,0 0 0,1 0 0,10-10-6789</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58"/>
    </inkml:context>
    <inkml:brush xml:id="br0">
      <inkml:brushProperty name="width" value="0.025" units="cm"/>
      <inkml:brushProperty name="height" value="0.025" units="cm"/>
    </inkml:brush>
  </inkml:definitions>
  <inkml:trace contextRef="#ctx0" brushRef="#br0">1 54 24575,'19'59'0,"-13"-37"0,-2-8 0,-1 1 0,0-1 0,-1 1 0,0 0 0,-1 0 0,-1 0 0,-1 17 0,-3-96 0,3 27 0,-1 20 0,2 0 0,0 0 0,1 0 0,1 0 0,0 0 0,6-19 0,-7 34 0,-1 0 0,1 0 0,0-1 0,0 2 0,1-1 0,-1 0 0,0 0 0,1 0 0,-1 0 0,1 1 0,-1-1 0,1 1 0,0-1 0,2-1 0,-4 3 0,1 0 0,-1 0 0,1 0 0,-1-1 0,1 1 0,-1 0 0,1 0 0,-1 0 0,1 0 0,-1 0 0,1 0 0,-1 0 0,1 0 0,-1 0 0,1 0 0,-1 0 0,1 0 0,-1 0 0,1 1 0,-1-1 0,1 0 0,-1 0 0,1 1 0,-1-1 0,1 1 0,0 0 0,0 0 0,0 0 0,0 0 0,-1 0 0,1 0 0,0 1 0,-1-1 0,1 0 0,-1 0 0,1 1 0,-1-1 0,1 2 0,-1 4 0,1 0 0,-1 0 0,0 0 0,-1 0 0,1-1 0,-2 1 0,1 0 0,-1-1 0,1 1 0,-2-1 0,-5 13 0,8-19 0,0 0 0,0 1 0,0-1 0,0 0 0,0 1 0,0-1 0,0 0 0,0 1 0,0-1 0,0 0 0,0 1 0,0-1 0,0 0 0,0 1 0,0-1 0,0 0 0,0 1 0,1-1 0,-1 0 0,0 1 0,0-1 0,0 0 0,1 0 0,-1 1 0,0-1 0,0 0 0,0 0 0,1 1 0,-1-1 0,0 0 0,1 0 0,-1 0 0,0 1 0,0-1 0,1 0 0,-1 0 0,0 0 0,1 0 0,-1 0 0,0 0 0,1 0 0,-1 0 0,0 0 0,1 0 0,24 2 0,-3 0 0,-19-1 0,0 1 0,-1-1 0,1 1 0,0 0 0,-1-1 0,1 1 0,-1 0 0,0 1 0,1-1 0,-1 0 0,0 1 0,-1-1 0,1 1 0,0 0 0,-1-1 0,1 1 0,-1 0 0,0 0 0,0 0 0,0 0 0,0 0 0,-1 0 0,1 0 0,-1 0 0,0 0 0,0 5 0,0-4 0,0-1 0,0 1 0,-1 0 0,0-1 0,1 1 0,-1-1 0,-1 1 0,1-1 0,0 1 0,-1-1 0,0 0 0,0 1 0,0-1 0,0 0 0,0 0 0,0-1 0,-1 1 0,0 0 0,1-1 0,-1 1 0,-6 2 0,8-3 12,-1-1 0,0 0 0,0 0-1,0-1 1,0 1 0,0 0 0,0 0-1,0-1 1,0 0 0,0 1 0,0-1-1,0 0 1,0 0 0,0 0 0,0 0 0,0 0-1,0 0 1,0-1 0,0 1 0,0-1-1,0 1 1,0-1 0,0 0 0,0 0-1,0 0 1,1 0 0,-1 0 0,-2-2 0,3 2-76,0-1 1,-1 0 0,1 0 0,0 0 0,0 0-1,0 0 1,0 0 0,1 0 0,-1 0 0,1 0-1,-1 0 1,1 0 0,0-1 0,-1 1-1,1 0 1,0 0 0,1 0 0,-1 0 0,0-1-1,1 1 1,-1 0 0,1 0 0,-1 0 0,1 0-1,0 0 1,1-3 0,8-13-6763</inkml:trace>
  <inkml:trace contextRef="#ctx0" brushRef="#br0" timeOffset="1">325 153 24575,'0'-1'0,"0"-1"0,-1 1 0,1 0 0,-1-1 0,1 1 0,-1 0 0,1 0 0,-1-1 0,1 1 0,-1 0 0,0 0 0,0 0 0,0 0 0,0 0 0,0 0 0,0 0 0,0 0 0,0 0 0,0 1 0,0-1 0,0 0 0,0 0 0,0 1 0,-1-1 0,1 1 0,-2-1 0,0 0 0,1 0 0,0 1 0,-1-1 0,1 1 0,-1-1 0,1 1 0,-1 0 0,1 0 0,-1 0 0,1 0 0,0 1 0,-1-1 0,-3 2 0,2 0 0,0 1 0,0 0 0,1 0 0,-1 0 0,1 0 0,0 0 0,0 1 0,0-1 0,0 1 0,1 0 0,0 0 0,-1 0 0,-2 8 0,4-9 0,0 0 0,0 0 0,0 0 0,1 0 0,-1 0 0,1 0 0,0 0 0,-1 0 0,2 0 0,-1 3 0,0-4 0,1 0 0,-1-1 0,1 1 0,-1-1 0,1 1 0,-1-1 0,1 0 0,0 1 0,0-1 0,0 0 0,0 1 0,0-1 0,0 0 0,0 0 0,0 0 0,0 0 0,0 0 0,1 0 0,-1 0 0,2 1 0,-2-2 0,0 1 0,0 0 0,1-1 0,-1 1 0,0-1 0,1 0 0,-1 1 0,0-1 0,1 0 0,-1 0 0,1 1 0,-1-1 0,0 0 0,1-1 0,-1 1 0,0 0 0,1 0 0,-1 0 0,0-1 0,1 1 0,1-2 0,-1 1 0,0 0 0,0-1 0,0 1 0,-1-1 0,1 0 0,0 0 0,-1 1 0,0-1 0,1 0 0,-1 0 0,2-4 0,0-2 0,0 1 0,-1-1 0,0 0 0,0 1 0,-1-1 0,1-11 0,-1 2 0,-2 25 0,2 28 0,-1-31 0,1-1 0,0 0 0,0 1 0,1-1 0,-1 0 0,1 0 0,0 0 0,4 6 0,-6-9 0,1 0 0,-1 0 0,1-1 0,-1 1 0,1 0 0,0-1 0,-1 1 0,1 0 0,0-1 0,0 1 0,0-1 0,-1 1 0,1-1 0,0 0 0,0 1 0,0-1 0,0 0 0,0 1 0,0-1 0,0 0 0,0 0 0,-1 0 0,1 0 0,0 0 0,0 0 0,0 0 0,0 0 0,0 0 0,0-1 0,0 1 0,0 0 0,0-1 0,0 1 0,-1 0 0,1-1 0,0 1 0,0-1 0,0 1 0,-1-1 0,1 0 0,0 1 0,-1-1 0,1 0 0,0 1 0,-1-1 0,1-1 0,3-3 0,0 0 0,-1 0 0,0 0 0,0-1 0,-1 1 0,4-10 0,11-22 0,-15 35 0,-1 0 0,1 0 0,-1 0 0,1 1 0,0-1 0,-1 0 0,1 1 0,0-1 0,0 1 0,0 0 0,0 0 0,0 0 0,1 0 0,3-1 0,-5 1 0,1 1 0,-1 0 0,1 0 0,0 0 0,-1 0 0,1 0 0,-1 0 0,1 1 0,0-1 0,-1 0 0,1 1 0,-1-1 0,1 1 0,-1 0 0,1-1 0,-1 1 0,0 0 0,1 0 0,-1 0 0,0 0 0,0 0 0,0 0 0,1 0 0,-1 1 0,0-1 0,-1 0 0,1 1 0,0-1 0,0 0 0,0 1 0,-1-1 0,1 1 0,-1-1 0,1 3 0,1 1 0,0 1 0,-1 0 0,1 0 0,-1-1 0,0 1 0,-1 0 0,0 0 0,0 6 0,0-10 0,0 0 0,-1-1 0,1 1 0,0-1 0,-1 1 0,1-1 0,-1 1 0,0-1 0,0 1 0,1-1 0,-1 0 0,0 1 0,-2 1 0,3-3 0,0 0 0,0 0 0,0 0 0,0 0 0,0 0 0,0 0 0,-1 0 0,1 0 0,0 1 0,0-1 0,0 0 0,0 0 0,0 0 0,0 0 0,-1 0 0,1 0 0,0 0 0,0 0 0,0 0 0,0 0 0,0 0 0,-1 0 0,1 0 0,0 0 0,0 0 0,0 0 0,0 0 0,0 0 0,0 0 0,-1-1 0,1 1 0,0 0 0,0 0 0,0 0 0,0 0 0,0 0 0,0 0 0,0 0 0,-1 0 0,1 0 0,0-1 0,0 1 0,0 0 0,0 0 0,-2-15 0,3 6 0,1 0 0,-1 0 0,1 0 0,1 0 0,-1 0 0,8-14 0,-8 18 0,1 1 0,-1 0 0,1-1 0,-1 1 0,1 0 0,0 1 0,1-1 0,-1 0 0,1 1 0,0 0 0,-1 0 0,1 0 0,1 0 0,5-3 0,-9 6-54,0 0-1,-1-1 0,1 1 1,0 0-1,0 0 1,0-1-1,-1 1 0,1 0 1,0 0-1,0 0 1,0 0-1,0 0 0,0 0 1,-1 0-1,1 0 0,0 1 1,0-1-1,0 0 1,0 0-1,-1 1 0,1-1 1,0 0-1,0 1 1,1 0-1,3 6-6771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60"/>
    </inkml:context>
    <inkml:brush xml:id="br0">
      <inkml:brushProperty name="width" value="0.025" units="cm"/>
      <inkml:brushProperty name="height" value="0.025" units="cm"/>
    </inkml:brush>
  </inkml:definitions>
  <inkml:trace contextRef="#ctx0" brushRef="#br0">1592 325 24575,'-3'0'0,"0"1"0,0 3 0,2 1 0,6-1 0,11-1 0,11 0 0,13-7 0,8-5 0,4-1 0,-2-2 0,-8 2 0,-10 3 0,-13 3 0,-13 7 0,-13 3 0,-6 1-8191</inkml:trace>
  <inkml:trace contextRef="#ctx0" brushRef="#br0" timeOffset="1">1775 318 24575,'0'4'0,"0"3"0,1 4 0,1 6 0,-1 7 0,1 8 0,-2 10 0,-1 5 0,-2 0 0,0-5 0,0-7 0,3-8 0,3-7 0,3-9 0,1-7-8191</inkml:trace>
  <inkml:trace contextRef="#ctx0" brushRef="#br0" timeOffset="2">1895 527 24575,'-17'7'0,"14"-4"0,1-1 0,-1 1 0,1 0 0,0 1 0,0-1 0,0 0 0,0 0 0,1 1 0,-1-1 0,1 1 0,0-1 0,0 1 0,1 0 0,-1-1 0,1 1 0,-1 7 0,1-9 0,0-1 0,1 1 0,-1-1 0,0 1 0,1-1 0,-1 1 0,1-1 0,-1 1 0,1-1 0,0 0 0,-1 1 0,1-1 0,0 0 0,0 1 0,0-1 0,0 0 0,0 0 0,1 0 0,-1 0 0,0 0 0,0 0 0,1 0 0,-1 0 0,0-1 0,1 1 0,-1 0 0,1-1 0,-1 1 0,1-1 0,-1 0 0,1 1 0,0-1 0,-1 0 0,1 0 0,-1 0 0,1 0 0,0 0 0,-1 0 0,1-1 0,-1 1 0,3-1 0,-1 1 0,-1-1 0,0 1 0,1 0 0,-1-1 0,0 0 0,0 1 0,1-1 0,-1 0 0,0 0 0,0 0 0,0-1 0,0 1 0,0 0 0,-1-1 0,1 1 0,0-1 0,0 1 0,-1-1 0,1 0 0,-1 0 0,0 0 0,0 0 0,1 0 0,-1 0 0,-1 0 0,1 0 0,0 0 0,0 0 0,-1-1 0,1 1 0,-1 0 0,0-1 0,0 1 0,0 0 0,0-5 0,-1 3 0,1 0 0,-1 0 0,0 0 0,-1 0 0,1 0 0,-1 0 0,0 0 0,0 0 0,0 1 0,0-1 0,-1 1 0,1-1 0,-1 1 0,0 0 0,0 0 0,0 0 0,-1 1 0,-6-5 0,8 6 0,0 0 0,0 0 0,0 1 0,-1-1 0,1 1 0,0 0 0,0 0 0,-1 0 0,1 0 0,0 0 0,0 0 0,-1 0 0,1 1 0,0-1 0,0 1 0,0-1 0,-1 1 0,1 0 0,0 0 0,-3 2 0,3-2 0,1 0 0,0-1 0,0 1 0,0 0 0,0-1 0,0 1 0,0 0 0,0 0 0,1 0 0,-1 0 0,0 0 0,0 0 0,1 0 0,-1 0 0,0 0 0,1 0 0,-1 0 0,1 0 0,0 0 0,-1 0 0,1 1 0,0-1 0,0 0 0,0 0 0,0 1 0,0-1 0,0 0 0,0 0 0,0 0 0,0 1 0,0-1 0,1 0 0,-1 0 0,0 0 0,1 0 0,-1 1 0,1-1 0,0 1 0,1 0 0,0-1 0,0 1 0,0-1 0,0 1 0,0-1 0,0 0 0,0 0 0,0 0 0,0 0 0,1 0 0,-1 0 0,0-1 0,1 1 0,-1-1 0,0 1 0,1-1 0,-1 0 0,1 0 0,-1 0 0,1 0 0,-1-1 0,0 1 0,1-1 0,3-1 0,8-1 0,-1-1 0,24-10 0,-28 10 0,-1-1 0,0 1 0,1-1 0,-2-1 0,1 1 0,-1-1 0,0-1 0,10-10 0,-13 12 0,0 0 0,-1 0 0,1-1 0,-1 1 0,0-1 0,-1 0 0,1 1 0,-1-1 0,0 0 0,-1 0 0,0-1 0,0 1 0,1-10 0,-4 10 0,-2 11 0,-4 12 0,3 3 0,2-1 0,-1 0 0,2 1 0,1-1 0,2 32 0,18 98 0,-19-149 0,0 0 0,0 0 0,0 0 0,0 0 0,0 0 0,0-1 0,0 1 0,0 0 0,0 0 0,0 0 0,0 0 0,0 0 0,0 0 0,0 0 0,0 0 0,0 0 0,0 0 0,0 0 0,0 0 0,-1 0 0,1 0 0,0 0 0,0-1 0,0 1 0,0 0 0,0 0 0,0 0 0,0 0 0,0 0 0,0 0 0,0 0 0,0 0 0,0 0 0,-1 0 0,1 0 0,0 0 0,0 0 0,0 0 0,0 0 0,0 0 0,0 0 0,0 0 0,0 0 0,0 0 0,0 0 0,0 0 0,0 0 0,-1 1 0,1-1 0,0 0 0,0 0 0,0 0 0,0 0 0,0 0 0,0 0 0,0 0 0,0 0 0,0 0 0,0 0 0,0 0 0,0 0 0,0 0 0,0 0 0,0 1 0,-10-11 0,-10-14 0,2 3 0,-2-2 0,17 17 0,9 5 0,5 4 0,1 0 0,-1-2 0,1 1 0,0-1 0,23-1 0,-27-1 0,-1 0 0,1 0 0,-1 0 0,1-1 0,-1 0 0,0 0 0,0-1 0,0 0 0,0 0 0,9-7 0,-14 8 0,1 0 0,-1 0 0,0 0 0,0-1 0,0 1 0,0-1 0,0 1 0,-1-1 0,1 0 0,-1 0 0,0 0 0,0 0 0,0 0 0,0 0 0,1-4 0,-2 6 0,0-1 0,0 1 0,1-1 0,-1 1 0,0-1 0,0 1 0,-1-1 0,1 1 0,0-1 0,0 1 0,-1-1 0,1 1 0,-1-1 0,1 1 0,-1 0 0,0-1 0,1 1 0,-1 0 0,0 0 0,0-1 0,0 1 0,0 0 0,0 0 0,0 0 0,0 0 0,-1 0 0,1 0 0,0 0 0,-1 1 0,1-1 0,0 0 0,-4 0 0,4 0 0,0 1 0,0 0 0,0 0 0,0-1 0,0 1 0,0 0 0,0 0 0,-1 0 0,1 0 0,0 0 0,0 1 0,0-1 0,0 0 0,0 0 0,0 1 0,0-1 0,0 1 0,0-1 0,0 1 0,0-1 0,0 1 0,-2 1 0,2-1 0,-1 1 0,0 0 0,1 0 0,0 0 0,-1 0 0,1 0 0,0 0 0,0 0 0,0 1 0,-1 2 0,1-1 0,0 0 0,0 0 0,0 0 0,1 0 0,0 0 0,-1 0 0,1 0 0,1 0 0,-1 1 0,0-1 0,1 0 0,2 6 0,-3-9 0,1 0 0,-1 1 0,1-1 0,0 0 0,-1 0 0,1 1 0,0-1 0,0 0 0,0 0 0,0 0 0,0 0 0,0 0 0,0 0 0,0 0 0,0 0 0,0-1 0,0 1 0,1 0 0,-1-1 0,0 1 0,1-1 0,-1 1 0,0-1 0,1 1 0,-1-1 0,0 0 0,1 0 0,-1 0 0,1 0 0,-1 0 0,1 0 0,-1 0 0,0 0 0,1-1 0,-1 1 0,1 0 0,0-1 0,1-1 0,-1 1 0,0 0 0,1-1 0,-1 0 0,0 1 0,0-1 0,0 0 0,0 0 0,-1 0 0,1 0 0,-1 0 0,1-1 0,-1 1 0,0 0 0,1-1 0,-1 1 0,-1-1 0,2-4 0,-1 3 0,0 1 0,0-1 0,-1 0 0,0 0 0,0 0 0,0 1 0,0-1 0,-2-5 0,1 12 0,0 0 0,1 0 0,-1 0 0,1 0 0,-1 0 0,1 0 0,0 0 0,0 0 0,1 4 0,-1-4 0,1-1 0,0 0 0,0 0 0,0 0 0,1 0 0,-1 0 0,0 0 0,1-1 0,-1 1 0,1 0 0,0-1 0,-1 1 0,1-1 0,0 0 0,0 1 0,0-1 0,0 0 0,0 0 0,0 0 0,0 0 0,1-1 0,-1 1 0,0-1 0,0 1 0,1-1 0,-1 0 0,0 1 0,4-2 0,-3 1 0,0 0 0,-1 0 0,1 0 0,-1-1 0,1 1 0,-1-1 0,1 0 0,-1 1 0,1-1 0,-1 0 0,1-1 0,-1 1 0,0 0 0,0-1 0,0 1 0,0-1 0,0 0 0,0 1 0,0-1 0,-1 0 0,1 0 0,0 0 0,-1 0 0,0-1 0,2-3 0,0-4 0,-1 0 0,-1-1 0,1 1 0,-2-1 0,0 1 0,0-1 0,-1 1 0,0 0 0,0-1 0,-2 1 0,1 0 0,-1 0 0,-1 0 0,-7-16 0,10 25 0,1 0 0,0 1 0,-1-1 0,1 0 0,-1 1 0,1-1 0,0 1 0,-1-1 0,0 0 0,1 1 0,-1-1 0,1 1 0,-1 0 0,1-1 0,-1 1 0,0-1 0,1 1 0,-1 0 0,0 0 0,0-1 0,0 1 0,0 0 0,1 0 0,-1 1 0,1-1 0,-1 0 0,1 0 0,-1 1 0,1-1 0,-1 0 0,1 0 0,-1 1 0,1-1 0,-1 1 0,1-1 0,0 0 0,-1 1 0,1-1 0,0 1 0,-1-1 0,1 1 0,0-1 0,-1 1 0,-7 32 0,6-21 0,1 0 0,0-1 0,1 1 0,1 0 0,-1-1 0,2 1 0,4 17 0,-5-26 0,0 1 0,0-1 0,1 0 0,-1 1 0,1-1 0,0 0 0,0 0 0,1 0 0,-1 0 0,0-1 0,1 1 0,0 0 0,-1-1 0,1 0 0,0 0 0,1 0 0,-1 0 0,0 0 0,0 0 0,1-1 0,-1 0 0,1 0 0,-1 0 0,1 0 0,0 0 0,-1 0 0,1-1 0,4 0 0,11-1-1365,-1-1-5461</inkml:trace>
  <inkml:trace contextRef="#ctx0" brushRef="#br0" timeOffset="3">2657 339 24575,'1'-1'0,"-1"1"0,0-1 0,0 0 0,0 0 0,0 1 0,0-1 0,0 0 0,0 0 0,0 1 0,0-1 0,0 0 0,0 1 0,-1-1 0,1 0 0,0 0 0,0 1 0,-1-1 0,1 0 0,-1 1 0,1-1 0,0 1 0,-1-1 0,1 0 0,-1 1 0,1-1 0,-1 1 0,0-1 0,0 1 0,0 0 0,0 0 0,0 0 0,0 0 0,0 0 0,0 1 0,0-1 0,0 1 0,0-1 0,0 0 0,0 1 0,0 0 0,1-1 0,-1 1 0,0-1 0,0 1 0,0 0 0,0 0 0,-5 6 0,0-1 0,1 1 0,-8 12 0,11-15 0,-1 1 0,1-1 0,0 1 0,0-1 0,1 1 0,-1 0 0,1 0 0,0 0 0,0 9 0,1-12 0,0 0 0,1 0 0,-1 0 0,1 0 0,-1 0 0,1 0 0,0 0 0,0 0 0,0-1 0,0 1 0,0 0 0,0 0 0,0-1 0,1 1 0,-1-1 0,0 1 0,1-1 0,0 0 0,-1 1 0,1-1 0,0 0 0,-1 0 0,1 0 0,0 0 0,0 0 0,3 0 0,11 5 0,-7-3 0,1 0 0,-1 1 0,9 5 0,-16-9 0,-1 1 0,1 0 0,-1 0 0,1 0 0,-1 0 0,0 0 0,1 0 0,-1 1 0,0-1 0,0 0 0,0 1 0,0-1 0,0 0 0,0 1 0,0-1 0,-1 1 0,1-1 0,0 1 0,-1 0 0,0-1 0,1 1 0,-1 0 0,1 3 0,-2-4 0,0 1 0,1 0 0,-1 0 0,0 0 0,0-1 0,0 1 0,0 0 0,0-1 0,0 1 0,-1-1 0,1 1 0,0-1 0,-1 0 0,1 0 0,-1 1 0,0-1 0,1 0 0,-1 0 0,0 0 0,1-1 0,-1 1 0,0 0 0,0-1 0,0 1 0,0-1 0,0 0 0,-2 1 0,-8 1 0,1 0 0,-1-1 0,-12 0 0,2-5 342,21 4-368,1 1 1,0-1 0,0 0 0,-1 0 0,1 0 0,0 0 0,0 0 0,-1 0 0,1 0 0,0 0 0,-1-1-1,1 1 1,0 0 0,0 0 0,-1 0 0,1 0 0,0 0 0,0 0 0,-1 0 0,1-1 0,0 1-1,0 0 1,0 0 0,-1 0 0,1-1 0,0 1 0,0 0 0,0 0 0,0 0 0,-1-1 0,1 1-1,0 0 1,0 0 0,0-1 0,0 1 0,0 0 0,0 0 0,0-1 0,0 1 0,0 0 0,0 0 0,0-1-1,0 1 1,0 0 0,0-1 0,0 1 0,0 0 0,0 0 0,0-1 0,0 1 0,0 0 0,0 0-1,1-1 1,-1 1 0,0 0 0,0 0 0,0-1 0,0 1 0,1 0 0,-1 0 0,0 0 0,0 0-1,0-1 1,1 1 0,-1 0 0,0 0 0,1 0 0,6-4-6801</inkml:trace>
  <inkml:trace contextRef="#ctx0" brushRef="#br0" timeOffset="4">2890 436 24575,'1'-1'0,"-1"-1"0,0 1 0,0-1 0,0 0 0,0 1 0,-1-1 0,1 1 0,0-1 0,-1 1 0,1-1 0,-1 1 0,1-1 0,-1 1 0,0-1 0,0 1 0,1 0 0,-1-1 0,0 1 0,0 0 0,0 0 0,-1 0 0,1-1 0,0 1 0,0 0 0,-1 1 0,1-1 0,0 0 0,-1 0 0,1 1 0,-1-1 0,1 0 0,-1 1 0,1-1 0,-1 1 0,1 0 0,-1 0 0,0 0 0,1-1 0,-1 1 0,1 1 0,-1-1 0,0 0 0,1 0 0,-1 0 0,1 1 0,-1-1 0,1 1 0,-4 1 0,3-1 0,0 0 0,0 0 0,0 1 0,0-1 0,0 1 0,1-1 0,-1 1 0,0 0 0,1-1 0,-1 1 0,1 0 0,0 0 0,-1 0 0,1 0 0,0 0 0,0 1 0,1-1 0,-1 0 0,0 0 0,1 1 0,-1 3 0,1-4 0,-1 0 0,1-1 0,0 1 0,0-1 0,1 1 0,-1 0 0,0-1 0,1 1 0,-1-1 0,0 1 0,1-1 0,0 1 0,-1-1 0,1 1 0,0-1 0,0 0 0,0 1 0,0-1 0,0 0 0,0 0 0,0 1 0,0-1 0,0 0 0,1 0 0,-1-1 0,0 1 0,1 0 0,-1 0 0,1 0 0,-1-1 0,1 1 0,2 0 0,-2-1 0,0 1 0,0-1 0,0 1 0,0-1 0,0 0 0,0 0 0,0 0 0,1 0 0,-1 0 0,0 0 0,0-1 0,0 1 0,0-1 0,0 1 0,0-1 0,0 0 0,0 0 0,0 0 0,0 0 0,0 0 0,-1 0 0,1 0 0,0-1 0,-1 1 0,1-1 0,-1 1 0,0-1 0,1 0 0,-1 1 0,0-1 0,0 0 0,0 0 0,0 0 0,0 0 0,0 0 0,-1 0 0,1 0 0,-1 0 0,1 0 0,-1 0 0,0 0 0,0 0 0,0 0 0,0-4 0,-2 5 0,0 9 0,1 12 0,1-18 0,1-1 0,-1 1 0,1-1 0,-1 0 0,1 1 0,-1-1 0,1 1 0,0-1 0,0 0 0,0 0 0,-1 1 0,1-1 0,1 0 0,-1 0 0,0 0 0,0 0 0,0 0 0,0 0 0,1 0 0,-1-1 0,0 1 0,1 0 0,-1-1 0,1 1 0,-1-1 0,1 1 0,-1-1 0,1 0 0,-1 0 0,1 1 0,-1-1 0,1 0 0,1-1 0,0 1 0,-1 0 0,1-1 0,-1 0 0,1 1 0,-1-1 0,0 0 0,0 0 0,1 0 0,-1-1 0,0 1 0,0 0 0,0-1 0,0 1 0,-1-1 0,1 0 0,0 0 0,-1 0 0,1 0 0,-1 0 0,2-3 0,0-2 0,0 0 0,0-1 0,-1 0 0,0 1 0,-1-1 0,0 0 0,0-12 0,-3-57 0,1 59 0,1 14 0,0 0 0,-1 1 0,1-1 0,-1 0 0,0 1 0,-2-7 0,3 10 0,0 0 0,0 0 0,-1 0 0,1 0 0,0 0 0,0 0 0,0-1 0,0 1 0,0 0 0,0 0 0,0 0 0,0 0 0,0 0 0,0 0 0,0 0 0,-1 0 0,1 0 0,0 0 0,0 0 0,0 0 0,0 0 0,0 0 0,0 0 0,0 0 0,0 0 0,-1 0 0,1 0 0,0 0 0,0 0 0,0 0 0,0 0 0,0 0 0,0 0 0,0 0 0,0 0 0,-1 0 0,1 0 0,0 0 0,0 0 0,0 0 0,0 0 0,0 0 0,0 0 0,0 0 0,0 0 0,0 0 0,0 1 0,0-1 0,-1 0 0,1 0 0,0 0 0,0 0 0,0 0 0,0 0 0,0 0 0,0 0 0,0 0 0,0 1 0,0-1 0,0 0 0,0 0 0,-4 19 0,0 5 0,2 0 0,2 45 0,0-62 0,1 0 0,0 0 0,0 1 0,0-1 0,1 0 0,1 0 0,-1 0 0,1-1 0,0 1 0,0 0 0,1-1 0,0 0 0,9 12 0,-10-16-85,-1 0 0,1 0-1,-1 0 1,1 0 0,0 0-1,0-1 1,0 1 0,0-1-1,0 0 1,0 0 0,0 0-1,0 0 1,1 0 0,-1-1-1,4 1 1,4-2-6741</inkml:trace>
  <inkml:trace contextRef="#ctx0" brushRef="#br0" timeOffset="5">3145 450 24575,'-1'0'0,"1"0"0,0 0 0,-1 1 0,1-1 0,0 0 0,0 0 0,-1 1 0,1-1 0,0 0 0,0 0 0,0 1 0,-1-1 0,1 0 0,0 0 0,0 1 0,0-1 0,0 0 0,0 1 0,0-1 0,0 0 0,-1 1 0,1-1 0,0 0 0,0 1 0,0-1 0,0 0 0,0 0 0,0 1 0,1-1 0,-1 0 0,0 1 0,0-1 0,0 0 0,0 1 0,0-1 0,0 0 0,0 0 0,1 1 0,-1-1 0,0 0 0,0 1 0,1-1 0,-1 0 0,0 1 0,0-1 0,0 0 0,0 0 0,1 0 0,-1 1 0,0-1 0,0 0 0,0 0 0,0 0 0,1 1 0,-1-1 0,0 0 0,0 0 0,1 0 0,-1 0 0,0 0 0,0 0 0,1 1 0,-1-1 0,0 0 0,0 0 0,1 0 0,-1 0 0,0 0 0,0 0 0,1 0 0,-1 0 0,0 0 0,0 0 0,1 0 0,-1 0 0,0 0 0,0 0 0,1-1 0,-1 1 0,0 0 0,0 0 0,1 0 0,-1 0 0,0 0 0,0 0 0,1-1 0,-1 1 0,0 0 0,0 0 0,0 0 0,0-1 0,1 1 0,-1 0 0,0 0 0,0 0 0,0-1 0,0 1 0,0 0 0,0 0 0,0-1 0,1 1 0,-1 0 0,0-1 0,0 1 0,0 0 0,0 0 0,0-1 0,0 1 0,0 0 0,-1-1 0,2-1 0,0-1 0,0 1 0,-1-1 0,1 1 0,-1-1 0,0 1 0,0-1 0,0 0 0,0 1 0,0-1 0,-1 1 0,1-1 0,-1 1 0,1-1 0,-1 1 0,-1-3 0,1 4 0,1 1 0,0-1 0,0 1 0,-1 0 0,1-1 0,0 1 0,-1-1 0,1 1 0,0 0 0,-1-1 0,1 1 0,-1 0 0,1-1 0,-1 1 0,1 0 0,0 0 0,-1-1 0,1 1 0,-1 0 0,1 0 0,-1 0 0,0 0 0,1 0 0,-1 0 0,1 0 0,-1 0 0,1 0 0,-1 0 0,-1 0 0,1 1 0,-1 0 0,1 0 0,-1 0 0,1-1 0,0 1 0,0 0 0,-1 0 0,1 1 0,0-1 0,0 0 0,0 0 0,0 1 0,-1 1 0,0 1 0,-1-1 0,1 1 0,0 0 0,0 0 0,1 0 0,-1 0 0,1 0 0,0 0 0,0 0 0,0 1 0,1-1 0,0 0 0,0 7 0,0-9 0,0 0 0,1 0 0,-1 0 0,1 0 0,-1-1 0,1 1 0,0 0 0,0 0 0,0 0 0,0-1 0,0 1 0,1-1 0,-1 1 0,0-1 0,1 1 0,-1-1 0,1 0 0,-1 1 0,1-1 0,0 0 0,0 0 0,-1 0 0,1 0 0,0-1 0,0 1 0,0 0 0,0-1 0,0 1 0,0-1 0,4 0 0,-2 1 0,1-1 0,0-1 0,0 1 0,0-1 0,0 1 0,-1-1 0,1-1 0,0 1 0,-1-1 0,1 1 0,-1-1 0,0-1 0,1 1 0,-1 0 0,0-1 0,0 0 0,-1 0 0,1 0 0,6-8 0,-7 8 0,1-1 0,-1 0 0,0 0 0,-1 0 0,1 0 0,-1-1 0,1 1 0,-1-1 0,0 1 0,-1-1 0,1 0 0,-1 1 0,0-1 0,0 0 0,-1 0 0,0 0 0,1 0 0,-2-10 0,1 15 0,-1-1 0,1 0 0,0 0 0,0 1 0,0-1 0,0 0 0,-1 0 0,1 1 0,0-1 0,-1 0 0,1 1 0,0-1 0,-1 0 0,1 1 0,-1-1 0,1 1 0,-1-1 0,1 0 0,-1 1 0,-1-1 0,2 1 0,-1 0 0,1 0 0,-1 0 0,1 0 0,-1 0 0,1 0 0,0 0 0,-1 0 0,1 0 0,-1 1 0,1-1 0,-1 0 0,1 0 0,-1 0 0,1 1 0,0-1 0,-1 0 0,1 1 0,0-1 0,-1 0 0,1 1 0,0-1 0,-1 1 0,-1 1 0,0 1 0,0 0 0,0 0 0,1 0 0,-1 0 0,1 0 0,-2 5 0,2-6 0,1 0 0,0-1 0,-1 1 0,1 0 0,0 0 0,0-1 0,0 1 0,0 0 0,0 0 0,0-1 0,1 1 0,-1 0 0,0 0 0,1-1 0,-1 1 0,1-1 0,0 1 0,0 0 0,0-1 0,0 1 0,0-1 0,0 0 0,0 1 0,2 1 0,2 0 0,-1 0 0,0-1 0,1 0 0,-1 0 0,1 0 0,0-1 0,5 2 0,-6-3 0,0 1 0,0 0 0,0 0 0,-1 1 0,1-1 0,0 1 0,-1 0 0,1 0 0,-1 0 0,0 0 0,0 0 0,5 5 0,-8-7 9,0 1 1,0-1-1,0 1 0,0 0 0,0-1 0,1 1 1,-1-1-1,0 1 0,0 0 0,-1-1 0,1 1 0,0-1 1,0 1-1,0 0 0,0-1 0,0 1 0,-1-1 1,1 1-1,0 0 0,-1-1 0,1 1 0,0-1 1,-1 1-1,1-1 0,0 0 0,-1 1 0,1-1 0,-1 1 1,1-1-1,-1 0 0,1 1 0,-1-1 0,-23 17-456,15-11-774,2 0-5605</inkml:trace>
  <inkml:trace contextRef="#ctx0" brushRef="#br0" timeOffset="6">3639 395 24575,'-3'2'0,"5"1"0,5 0 0,6 0 0,5-2 0,5 0 0,2-1 0,2-2 0,-1-1 0,-6-4 0,-9 0 0,-9-3 0,-9-3 0,-6 1 0,-1 2-8191</inkml:trace>
  <inkml:trace contextRef="#ctx0" brushRef="#br0" timeOffset="7">3702 318 24575,'-3'0'0,"0"0"0,4 0 0,4 0 0,4 0 0,2 0 0,2 0 0,-1 3 0,0 3 0,-1 4 0,-2 3 0,-4 0 0,-3 1 0,-2 1 0,-4-3 0,-5 1 0,-4-2 0,1-3-8191</inkml:trace>
  <inkml:trace contextRef="#ctx0" brushRef="#br0" timeOffset="8">4451 263 24575,'-1'-5'0,"0"0"0,0 0 0,-1 0 0,1 0 0,-1 1 0,0-1 0,0 0 0,0 1 0,-1 0 0,0 0 0,0-1 0,0 2 0,0-1 0,-1 0 0,-3-3 0,5 5 0,-1 0 0,1 0 0,0 1 0,-1-1 0,1 1 0,-1-1 0,1 1 0,-1 0 0,0 0 0,0 0 0,1 0 0,-5 0 0,5 1 0,1 0 0,-1 0 0,0 0 0,0 0 0,1 1 0,-1-1 0,0 0 0,1 1 0,-1 0 0,0-1 0,1 1 0,-1 0 0,1 0 0,-1-1 0,1 1 0,-1 0 0,1 1 0,0-1 0,-1 0 0,1 0 0,-2 2 0,-2 5 0,-1 1 0,1-1 0,1 1 0,0-1 0,0 1 0,0 1 0,1-1 0,-2 15 0,2-9 0,0 1 0,2 0 0,0 0 0,1 23 0,0-34 0,1 0 0,0 0 0,0 0 0,0 0 0,0 0 0,1 0 0,0 0 0,0 0 0,0-1 0,0 1 0,1-1 0,0 0 0,4 6 0,-4-7 0,0-1 0,1 1 0,-1 0 0,1-1 0,-1 0 0,1 0 0,0 0 0,0 0 0,0 0 0,0-1 0,0 0 0,0 0 0,1 0 0,-1 0 0,0-1 0,6 1 0,-1-1 0,0-1 0,0 1 0,0-1 0,-1-1 0,1 0 0,-1 0 0,1-1 0,-1 0 0,0 0 0,0-1 0,0 0 0,12-8 0,-15 9 0,0-1 0,0 0 0,0 0 0,-1 0 0,0-1 0,0 1 0,0-1 0,0 0 0,-1 0 0,1-1 0,-1 1 0,-1 0 0,1-1 0,-1 0 0,0 0 0,0 0 0,-1 0 0,2-9 0,-3 13 0,0 1 0,0-1 0,0 0 0,0 1 0,0-1 0,0 0 0,-1 1 0,1-1 0,-1 0 0,1 1 0,-1-1 0,1 1 0,-1-1 0,-1-2 0,1 4 0,1-1 0,-1 1 0,1-1 0,-1 1 0,0-1 0,1 1 0,-1-1 0,0 1 0,1 0 0,-1-1 0,0 1 0,0 0 0,1 0 0,-1-1 0,0 1 0,0 0 0,1 0 0,-1 0 0,0 0 0,0 0 0,0 0 0,0 0 0,-2 1 0,1 0 0,0-1 0,-1 1 0,1 0 0,0 0 0,0 0 0,0 1 0,0-1 0,0 0 0,0 1 0,0-1 0,0 1 0,1 0 0,-1 0 0,0 0 0,1 0 0,0 0 0,-2 2 0,1-1 0,1 0 0,0-1 0,0 1 0,-1 0 0,2 1 0,-1-1 0,0 0 0,1 0 0,-1 0 0,1 0 0,0 1 0,0-1 0,0 0 0,1 0 0,-1 1 0,1-1 0,1 5 0,-1-7 0,0 1 0,0-1 0,-1 1 0,2-1 0,-1 0 0,0 1 0,0-1 0,0 0 0,1 0 0,-1 0 0,0 0 0,1 0 0,-1 0 0,1 0 0,-1 0 0,1 0 0,0-1 0,-1 1 0,1-1 0,0 1 0,-1-1 0,1 0 0,0 1 0,-1-1 0,1 0 0,0 0 0,0 0 0,0 0 0,-1-1 0,1 1 0,0 0 0,-1-1 0,1 1 0,2-2 0,-1 1 0,0-1 0,0 1 0,0-1 0,0 0 0,0 0 0,-1 0 0,1 0 0,0 0 0,-1-1 0,0 1 0,0-1 0,1 0 0,-2 0 0,1 1 0,0-1 0,0 0 0,-1 0 0,0-1 0,2-5 0,-2 7 0,0-1 0,0 1 0,-1-1 0,1 1 0,-1-1 0,1 0 0,-1 1 0,0-1 0,0 0 0,0 1 0,-1-1 0,1 0 0,0 1 0,-1-1 0,0 1 0,0-1 0,0 1 0,0-1 0,0 1 0,0 0 0,-1-1 0,1 1 0,-1 0 0,1 0 0,-4-3 0,5 5 0,-1 0 0,1-1 0,0 1 0,0 0 0,0 0 0,-1 0 0,1 0 0,0 0 0,0 0 0,-1 0 0,1 0 0,0 0 0,0 0 0,-1 0 0,1 0 0,0 0 0,0 0 0,-1 0 0,1 1 0,0-1 0,0 0 0,0 0 0,-1 0 0,1 0 0,0 0 0,0 0 0,0 1 0,-1-1 0,1 0 0,0 0 0,0 0 0,0 0 0,0 1 0,-1-1 0,1 0 0,0 0 0,0 0 0,0 1 0,0-1 0,0 0 0,0 0 0,0 1 0,0-1 0,0 0 0,0 0 0,0 1 0,0-1 0,0 0 0,0 1 0,-3 13 0,3-14 0,-1 15 0,0-1 0,2 30 0,0-40 0,0 0 0,0 0 0,0 0 0,0 1 0,0-1 0,4 6 0,-4-9 0,0 1 0,0-1 0,0 1 0,0-1 0,0 0 0,0 0 0,0 0 0,0 0 0,0 0 0,1 0 0,-1 0 0,1 0 0,-1 0 0,0 0 0,1-1 0,0 1 0,2 0 0,-3 0-76,1-1 1,-1 0-1,0 0 0,0 0 0,0 0 0,0 0 0,1 0 0,-1 0 1,0-1-1,0 1 0,0 0 0,0-1 0,0 1 0,0 0 1,0-1-1,0 0 0,2 0 0,5-6-6750</inkml:trace>
  <inkml:trace contextRef="#ctx0" brushRef="#br0" timeOffset="9">4655 332 24575,'0'0'0,"0"-1"0,0 1 0,0-1 0,0 0 0,0 1 0,0-1 0,0 1 0,1-1 0,-1 0 0,0 1 0,0-1 0,0 1 0,0-1 0,1 1 0,-1-1 0,0 1 0,1-1 0,-1 1 0,0-1 0,1 1 0,-1-1 0,1 1 0,-1-1 0,1 1 0,-1 0 0,1-1 0,-1 1 0,1 0 0,-1-1 0,1 1 0,-1 0 0,1 0 0,-1 0 0,1 0 0,0-1 0,-1 1 0,1 0 0,-1 0 0,1 0 0,0 0 0,-1 0 0,1 0 0,-1 0 0,1 0 0,0 1 0,-1-1 0,1 0 0,-1 0 0,2 1 0,1 0 0,-1 0 0,1 0 0,0 0 0,0 1 0,-1-1 0,1 1 0,-1-1 0,4 4 0,-2 0 0,0 0 0,-1 0 0,1 0 0,-1 0 0,4 11 0,-6-14 0,0 0 0,0 1 0,0-1 0,0 1 0,0-1 0,-1 1 0,0-1 0,1 1 0,-1 0 0,0-1 0,0 1 0,0-1 0,-1 1 0,1-1 0,0 1 0,-2 2 0,2-5 0,0 0 0,0 0 0,0 0 0,-1 0 0,1 1 0,0-1 0,0 0 0,0 0 0,-1 0 0,1 0 0,0 0 0,0 0 0,0 0 0,-1 0 0,1 0 0,0 0 0,0 0 0,0 0 0,-1 0 0,1 0 0,0 0 0,0 0 0,0 0 0,-1 0 0,1 0 0,0-1 0,0 1 0,0 0 0,0 0 0,-1 0 0,1 0 0,0 0 0,0 0 0,0 0 0,0-1 0,0 1 0,-1 0 0,1 0 0,0 0 0,0 0 0,0-1 0,0 1 0,0 0 0,0 0 0,0 0 0,0-1 0,0 1 0,0 0 0,0 0 0,0 0 0,0-1 0,0 1 0,0 0 0,0 0 0,0 0 0,0-1 0,-5-13 0,4 5 0,1 1 0,-1-1 0,2 1 0,-1-1 0,2 1 0,-1-1 0,1 1 0,0-1 0,1 1 0,-1 0 0,5-8 0,-5 13 0,-1 1 0,0-1 0,0 1 0,1 0 0,-1-1 0,1 1 0,0 0 0,0 0 0,-1 0 0,2 0 0,-1 0 0,0 0 0,0 1 0,0-1 0,1 1 0,-1-1 0,1 1 0,-1 0 0,1 0 0,0 0 0,-1 0 0,1 1 0,0-1 0,0 1 0,-1 0 0,1-1 0,0 1 0,0 0 0,0 1 0,-1-1 0,1 0 0,0 1 0,0-1 0,-1 1 0,1 0 0,0 0 0,2 2 0,43 23-1365,-28-14-5461</inkml:trace>
  <inkml:trace contextRef="#ctx0" brushRef="#br0" timeOffset="10">5001 325 24575,'0'-3'0,"0"-1"0,-1 0 0,0 1 0,0-1 0,0 1 0,0-1 0,0 1 0,-1-1 0,1 1 0,-1 0 0,0 0 0,0 0 0,0 0 0,-1 0 0,1 0 0,-1 1 0,1-1 0,-1 1 0,0-1 0,0 1 0,-5-2 0,7 3 0,-1 0 0,0 0 0,0 0 0,1 1 0,-1-1 0,0 1 0,0-1 0,0 1 0,0 0 0,0 0 0,0 0 0,0 0 0,0 0 0,1 0 0,-1 0 0,0 0 0,-3 2 0,3-1 0,0 0 0,0 0 0,1 0 0,-1 0 0,0 1 0,0-1 0,1 1 0,-1-1 0,1 1 0,-1-1 0,1 1 0,0 0 0,-1 0 0,1 0 0,0 0 0,0 0 0,1 0 0,-2 3 0,1-3 0,1 0 0,-1 0 0,0 0 0,1 0 0,0 0 0,-1 1 0,1-1 0,0 0 0,0 0 0,1 1 0,-1-1 0,0 0 0,1 0 0,-1 0 0,1 0 0,0 0 0,-1 0 0,1 1 0,0-2 0,0 1 0,1 0 0,-1 0 0,0 0 0,1 0 0,-1-1 0,1 1 0,-1-1 0,1 1 0,0-1 0,0 0 0,0 1 0,-1-1 0,1 0 0,0 0 0,1 0 0,-1-1 0,3 2 0,-2-1 0,0 0 0,0 0 0,0 0 0,1-1 0,-1 1 0,0-1 0,0 0 0,1 0 0,-1 0 0,0 0 0,1-1 0,-1 1 0,0-1 0,0 0 0,1 0 0,-1 0 0,0 0 0,0-1 0,0 1 0,0-1 0,-1 0 0,1 1 0,0-1 0,-1-1 0,4-2 0,-2-1 0,-1 1 0,1-1 0,-1 0 0,-1 0 0,1-1 0,-1 1 0,0-1 0,0 1 0,-1-1 0,0 1 0,0-1 0,-1-7 0,1-15 0,-7-41 0,5 53 0,-1-8 0,1 13 0,1 0 0,-2-1 0,0 1 0,0 0 0,-1 0 0,-7-17 0,7 27 0,2 8 0,0 18 0,1 1 0,1-1 0,6 29 0,-1-7 0,6 83 271,14 108-1907,-20-201-5190</inkml:trace>
  <inkml:trace contextRef="#ctx0" brushRef="#br0" timeOffset="11">306 1027 24575,'-7'1'0,"9"3"0,15 1 0,55 0 0,0-3 0,96-11 0,-57 2 0,-84 6 0,355-7 0,-379 8 342,-6 0-2049,-3 0-5119</inkml:trace>
  <inkml:trace contextRef="#ctx0" brushRef="#br0" timeOffset="12">1041 936 24575,'12'0'0,"0"0"0,1 1 0,-1 0 0,0 1 0,14 4 0,-23-5 0,0 0 0,-1 0 0,1 0 0,0 0 0,0 1 0,-1-1 0,1 1 0,0-1 0,-1 1 0,0 0 0,1 0 0,-1 0 0,0 0 0,0 1 0,0-1 0,0 0 0,-1 1 0,1-1 0,-1 1 0,1 0 0,-1 0 0,0-1 0,0 1 0,0 0 0,-1 0 0,1 0 0,-1 0 0,1 0 0,-1 5 0,-1-4-72,0 1 1,0-1-1,0 1 0,-1-1 0,0 1 0,1-1 0,-2 0 0,1 0 1,0 0-1,-1 0 0,0 0 0,0-1 0,0 1 0,0-1 0,-1 0 1,1 0-1,-1 0 0,-6 4 0,-1 0-6754</inkml:trace>
  <inkml:trace contextRef="#ctx0" brushRef="#br0" timeOffset="13">3660 1068 24575,'10'1'0,"-1"0"0,1 0 0,-1 1 0,11 3 0,17 4 0,-3-3 0,0-1 0,0-2 0,1-1 0,48-5 0,-82 3 0,1 0 0,-1 0 0,0 0 0,1-1 0,-1 1 0,0 0 0,1-1 0,-1 1 0,0-1 0,0 1 0,1-1 0,-1 0 0,0 0 0,1-1 0,-1 2 0,-1-1 0,0 1 0,0 0 0,1-1 0,-1 1 0,0-1 0,0 1 0,0-1 0,0 1 0,0-1 0,0 1 0,0-1 0,0 1 0,0-1 0,0 1 0,0-1 0,0 1 0,0-1 0,0 1 0,0-1 0,0 1 0,0-1 0,-1 1 0,1-1 0,-1 0 0,-2-3 0,0 0 0,0 0 0,-1 0 0,0 0 0,-6-5 0,2 2 0,1 0 0,0 2 0,1-1 0,-1 0 0,1 0 0,1 0 0,-1-1 0,1 0 0,-6-11 0,14 18 0,1 1 0,-1 0 0,0 1 0,0-1 0,0 0 0,0 1 0,4 3 0,1 1 0,0 1 0,0-1 0,-1 1 0,0 1 0,-1-1 0,1 1 0,6 12 0,-11-17 0,0 0 0,0 1 0,-1-1 0,1 0 0,-1 1 0,0-1 0,0 0 0,0 1 0,-1-1 0,1 1 0,-1 0 0,0-1 0,0 1 0,0-1 0,0 1 0,-1-1 0,0 1 0,1-1 0,-1 1 0,0-1 0,-1 1 0,1-1 0,-1 0 0,-1 4 0,-1-1-341,-1-1 0,0 1-1,-10 8 1,1-2-6485</inkml:trace>
  <inkml:trace contextRef="#ctx0" brushRef="#br0" timeOffset="14">2057 1047 24575,'2'-26'0,"-2"-25"0,0 47 0,0 1 0,-1-1 0,1 0 0,-1 1 0,0-1 0,0 0 0,-1 1 0,1-1 0,-1 1 0,-2-4 0,4 7 0,0-1 0,-1 1 0,1-1 0,0 1 0,-1 0 0,1-1 0,-1 1 0,1 0 0,-1-1 0,1 1 0,0 0 0,-1 0 0,1-1 0,-1 1 0,1 0 0,-1 0 0,1 0 0,-1 0 0,0 0 0,1-1 0,-1 1 0,1 0 0,-1 0 0,1 0 0,-1 1 0,1-1 0,-1 0 0,1 0 0,-1 0 0,1 0 0,-1 0 0,1 1 0,-1-1 0,1 0 0,-1 0 0,1 1 0,-1-1 0,1 0 0,0 1 0,-1-1 0,1 0 0,-1 1 0,1-1 0,0 1 0,0-1 0,-1 1 0,1-1 0,0 0 0,0 1 0,-1 0 0,-14 26 0,9-11 0,1 0 0,0 0 0,-4 27 0,8-37 0,0 0 0,0 1 0,1-1 0,0 1 0,0-1 0,1 1 0,-1-1 0,2 1 0,-1-1 0,1 0 0,0 0 0,4 9 0,-5-13 0,0 0 0,1 0 0,0 0 0,-1 0 0,1 0 0,0-1 0,0 1 0,0 0 0,0-1 0,0 0 0,0 1 0,0-1 0,1 0 0,-1 0 0,0-1 0,1 1 0,-1 0 0,0-1 0,1 1 0,-1-1 0,1 0 0,-1 0 0,1 0 0,-1 0 0,1 0 0,-1 0 0,1-1 0,-1 1 0,1-1 0,-1 1 0,4-3 0,-1 1 0,1 0 0,-1 0 0,1-1 0,-1 0 0,0 0 0,0 0 0,0 0 0,-1-1 0,1 0 0,-1 0 0,0 0 0,5-7 0,-4 2 0,1 0 0,-2-1 0,1 0 0,-2 0 0,1 0 0,-1-1 0,-1 1 0,2-13 0,-2 5 0,-1 1 0,-1-1 0,0 1 0,-4-20 0,3 32 0,-1 6 0,0 16 0,-1 25 0,3-28 0,3 96 0,-3-109 0,0-1 0,0 0 0,0 1 0,-1-1 0,1 1 0,1-1 0,-1 0 0,0 1 0,0-1 0,0 1 0,0-1 0,0 0 0,0 1 0,0-1 0,0 0 0,1 1 0,-1-1 0,0 1 0,0-1 0,1 0 0,-1 0 0,0 1 0,0-1 0,1 0 0,-1 1 0,0-1 0,1 0 0,5-8 0,7-25 0,-12 27 0,1-1 0,1-1 0,0 1 0,0 0 0,0 0 0,1 0 0,6-8 0,-10 15 0,1-1 0,-1 1 0,0 0 0,0-1 0,1 1 0,-1 0 0,0-1 0,1 1 0,-1 0 0,0 0 0,1-1 0,-1 1 0,0 0 0,1 0 0,-1 0 0,1-1 0,-1 1 0,0 0 0,1 0 0,-1 0 0,1 0 0,-1 0 0,0 0 0,1 0 0,-1 0 0,1 0 0,-1 0 0,1 0 0,-1 0 0,0 0 0,1 0 0,-1 1 0,1-1 0,-1 0 0,0 0 0,1 0 0,-1 1 0,0-1 0,1 0 0,-1 0 0,0 1 0,1-1 0,-1 0 0,0 1 0,0-1 0,1 0 0,-1 1 0,0-1 0,0 0 0,0 1 0,1-1 0,-1 0 0,0 1 0,0-1 0,0 1 0,0-1 0,8 25 0,-5 7 150,-3-24-124,1 0 0,-1 0 0,2 1-1,3 14 1,-4-22-87,0 1 0,-1 0 0,1-1 1,0 1-1,0 0 0,0-1 0,0 1 0,1-1 0,-1 0 0,0 1 0,0-1 0,1 0 0,-1 0 1,1 0-1,-1 0 0,1 0 0,0 0 0,-1 0 0,1 0 0,0-1 0,0 1 0,-1 0 1,1-1-1,0 0 0,0 1 0,3-1 0,11-1-6765</inkml:trace>
  <inkml:trace contextRef="#ctx0" brushRef="#br0" timeOffset="15">2488 992 24575,'0'-2'0,"0"0"0,0 0 0,0 1 0,0-1 0,-1 0 0,1 0 0,0 1 0,-1-1 0,1 0 0,-1 1 0,0-1 0,0 0 0,-1-1 0,2 3 0,-1-1 0,0 0 0,1 1 0,-1-1 0,0 0 0,1 1 0,-1-1 0,0 1 0,0-1 0,0 1 0,0 0 0,1-1 0,-1 1 0,0 0 0,0 0 0,0 0 0,0-1 0,-2 1 0,1 1 0,-1-1 0,0 0 0,1 1 0,-1 0 0,0 0 0,1-1 0,-1 2 0,1-1 0,-1 0 0,1 0 0,0 1 0,0-1 0,-1 1 0,1 0 0,-3 3 0,2-2 0,0 1 0,0 0 0,0-1 0,1 1 0,-1 1 0,1-1 0,0 0 0,0 1 0,-1 6 0,2-10 0,1 0 0,0 0 0,0 0 0,0 0 0,-1 0 0,1 0 0,1 0 0,-1 1 0,0-1 0,0 0 0,0 0 0,0 0 0,1 0 0,-1 0 0,1 0 0,-1 0 0,1 0 0,0 1 0,0-1 0,0 0 0,0 0 0,1 0 0,-1 0 0,0-1 0,0 1 0,1-1 0,-1 1 0,0-1 0,1 1 0,-1-1 0,0 0 0,1 1 0,-1-1 0,0 0 0,1 0 0,-1 0 0,1 0 0,1 0 0,-1-1 0,1 1 0,-1 0 0,1-1 0,-1 1 0,0-1 0,1 0 0,-1 0 0,1 0 0,-1 0 0,0 0 0,0 0 0,0-1 0,0 1 0,0-1 0,0 1 0,0-1 0,0 0 0,-1 0 0,1 1 0,1-4 0,0 0 0,-1 1 0,0 0 0,0-1 0,0 1 0,0-1 0,-1 0 0,0 1 0,0-1 0,0-6 0,-2 23 86,1 1-1,0-1 0,3 15 1,-3-22-200,1-1 0,0 1 0,0-1 0,0 0 1,1 1-1,0-1 0,-1 0 0,1 0 1,1 0-1,-1 0 0,1 0 0,0-1 1,-1 1-1,6 4 0,2-1-6712</inkml:trace>
  <inkml:trace contextRef="#ctx0" brushRef="#br0" timeOffset="16">2587 985 24575,'2'0'0,"0"1"0,0 0 0,0 0 0,0-1 0,0 1 0,-1 0 0,1 0 0,0 1 0,0-1 0,-1 0 0,1 0 0,-1 1 0,1-1 0,-1 1 0,0 0 0,0-1 0,2 4 0,17 31 0,-8 5 0,-11-38 0,-1 0 0,1 0 0,-1 0 0,0 0 0,0 0 0,0-1 0,0 1 0,-1 0 0,1 0 0,-1 0 0,0 0 0,-1 3 0,2-6 0,0 0 0,0 0 0,0 1 0,0-1 0,0 0 0,0 0 0,0 0 0,-1 1 0,1-1 0,0 0 0,0 0 0,0 0 0,0 0 0,0 1 0,0-1 0,-1 0 0,1 0 0,0 0 0,0 0 0,0 0 0,0 0 0,-1 1 0,1-1 0,0 0 0,0 0 0,0 0 0,-1 0 0,1 0 0,0 0 0,0 0 0,0 0 0,-1 0 0,1 0 0,0 0 0,0 0 0,0 0 0,-1 0 0,1 0 0,-5-8 0,0-14 0,5 19 0,0-1 0,0 1 0,0-1 0,0 1 0,0-1 0,1 1 0,-1-1 0,1 1 0,0 0 0,0-1 0,1 1 0,-1 0 0,0 0 0,1 0 0,0 0 0,0 0 0,0 0 0,3-3 0,-2 3 0,1 0 0,-1 1 0,1-1 0,-1 1 0,1 0 0,0 0 0,0 0 0,0 1 0,0 0 0,0-1 0,0 1 0,0 0 0,0 1 0,9-1 0,29-2-1365,-22 1-5461</inkml:trace>
  <inkml:trace contextRef="#ctx0" brushRef="#br0" timeOffset="17">2869 909 24575,'-1'0'0,"-1"5"0,1 8 0,0 8 0,0 7 0,0 8 0,1 2 0,0 1 0,0-6 0,1-4 0,3-7 0,1-13 0</inkml:trace>
  <inkml:trace contextRef="#ctx0" brushRef="#br0" timeOffset="18">2813 1040 24575,'0'4'0,"0"3"0,1 1 0,5-2 0,7-1 0,9-5 0,8-3 0,6-3 0,0 0 0,-5 0-8191</inkml:trace>
  <inkml:trace contextRef="#ctx0" brushRef="#br0" timeOffset="19">17 1492 24575,'-1'0'-37,"0"0"0,1 0-1,-1 0 1,0 0 0,0 0 0,1 0-1,-1 1 1,0-1 0,0 0-1,1 1 1,-1-1 0,0 0 0,1 1-1,-1-1 1,1 1 0,-1-1-1,0 1 1,1-1 0,-1 1 0,1 0-1,-1-1 1,1 1 0,0 0 0,-1 0-1,1 0 49,-1-1 0,1 1-1,0-1 1,0 1 0,0-1-1,0 0 1,0 1 0,0-1-1,0 1 1,0-1-1,0 1 1,0-1 0,1 1-1,-1-1 1,0 1 0,0-1-1,0 0 1,0 1 0,1-1-1,-1 1 1,0-1 0,1 0-1,-1 1 1,0-1 0,0 0-1,1 1 1,-1-1 0,1 0-1,-1 0 1,0 1 0,1-1-1,-1 0 1,1 0 0,-1 0-1,0 1 1,1-1 0,-1 0-1,1 0 1,-1 0 0,1 0-1,-1 0 1,1 0-1,0 0 1,28 4 95,0-2 0,0-1 0,48-4 1,-39 1-69,125-4-38,454-34 0,-587 38 0,-23 2 0,1 0 0,0-1 0,0 0 0,-1 0 0,1-1 0,-1 0 0,12-4 0,-17 3-1365</inkml:trace>
  <inkml:trace contextRef="#ctx0" brushRef="#br0" timeOffset="20">984 1394 24575,'0'0'0,"0"0"0,0 0 0,0 0 0,0 0 0,0 0 0,0 0 0,0 0 0,0 0 0,0 0 0,0 0 0,0 0 0,-1 0 0,1 0 0,0 0 0,0 0 0,0 0 0,0 0 0,0 0 0,0 0 0,0 0 0,0 0 0,0 0 0,0 0 0,0 0 0,0 1 0,-1-1 0,1 0 0,0 0 0,0 0 0,0 0 0,0 0 0,0 0 0,0 0 0,0 0 0,0 0 0,0 0 0,0 0 0,0 0 0,0 0 0,0 0 0,0 1 0,0-1 0,0 0 0,0 0 0,0 0 0,0 0 0,0 0 0,0 0 0,0 0 0,0 0 0,0 0 0,0 0 0,0 0 0,0 1 0,0-1 0,0 0 0,0 0 0,0 0 0,0 0 0,0 0 0,0 0 0,0 0 0,0 0 0,0 0 0,0 0 0,1 0 0,-1 0 0,7 7 0,12 6 0,1-5 0,-8-3 0,1 0 0,-2 1 0,20 12 0,-29-16 0,1 0 0,-1 0 0,0-1 0,0 1 0,0 0 0,0 1 0,0-1 0,0 0 0,-1 1 0,1-1 0,-1 0 0,0 1 0,1 0 0,-1-1 0,0 1 0,-1 0 0,1 0 0,0-1 0,-1 1 0,0 0 0,1 0 0,-2 4 0,1-3 24,-1-1 0,0 0 0,0 0 0,-1 0 0,1 0 0,-1 0 0,1 0 0,-1 0 0,0-1 0,0 1 0,0-1 0,-1 1 0,-3 2 0,-37 29-1164,37-30 579,-2 1-6265</inkml:trace>
  <inkml:trace contextRef="#ctx0" brushRef="#br0" timeOffset="21">1690 1436 24575,'-2'7'0,"-1"0"0,1-1 0,0 1 0,0 1 0,1-1 0,0 0 0,-1 12 0,5 54 0,-1-44 0,-1-11 0,0-10 0,-1 0 0,0 0 0,-1 13 0,1-21 0,0 0 0,0 0 0,0 0 0,0 1 0,0-1 0,0 0 0,0 0 0,0 0 0,0 0 0,0 0 0,0 1 0,0-1 0,0 0 0,0 0 0,0 0 0,0 0 0,0 0 0,0 0 0,0 1 0,0-1 0,0 0 0,0 0 0,0 0 0,0 0 0,0 0 0,-1 0 0,1 0 0,0 1 0,0-1 0,0 0 0,0 0 0,0 0 0,0 0 0,0 0 0,-1 0 0,1 0 0,0 0 0,0 0 0,0 0 0,0 0 0,0 0 0,0 0 0,-1 0 0,1 0 0,0 0 0,0 0 0,0 0 0,0 0 0,0 0 0,-1 0 0,1 0 0,0 0 0,0 0 0,0 0 0,-7-9 0,-2-15 0,3-9 0,1-1 0,2 1 0,2-1 0,2-34 0,0 65 0,-1-13 0,5-29 0,-4 42 0,-1 0 0,1 0 0,-1 0 0,1 1 0,0-1 0,0 0 0,1 0 0,-1 0 0,1 1 0,-1-1 0,1 1 0,0-1 0,0 1 0,0 0 0,0 0 0,0 0 0,3-2 0,-4 3 0,0 1 0,0-1 0,0 1 0,1 0 0,-1 0 0,0-1 0,0 1 0,0 0 0,0 0 0,1 0 0,-1 0 0,0 1 0,0-1 0,0 0 0,0 0 0,0 1 0,0-1 0,1 0 0,-1 1 0,0-1 0,0 1 0,0 0 0,0-1 0,0 1 0,-1 0 0,1-1 0,0 1 0,0 0 0,0 0 0,-1 0 0,2 1 0,2 3 0,-1 0 0,0 0 0,0 0 0,5 11 0,-6-9 0,1 1 0,-1 0 0,0-1 0,-1 1 0,0 0 0,0 0 0,-1 0 0,0 0 0,0 0 0,-1 0 0,0 0 0,0 0 0,-1-1 0,0 1 0,0 0 0,-1-1 0,0 1 0,-1-1 0,1 0 0,-1 0 0,-1-1 0,1 1 0,-1-1 0,-7 7 0,9-9 133,5-3 55,7-4-907,-6 1-248,9-3-5859</inkml:trace>
  <inkml:trace contextRef="#ctx0" brushRef="#br0" timeOffset="22">1867 1533 24575,'0'3'0,"0"6"0,0 5 0,0 3 0,0 1 0,0-1 0,0 0 0,0-1 0,0-3-8191</inkml:trace>
  <inkml:trace contextRef="#ctx0" brushRef="#br0" timeOffset="23">1867 1485 24575,'0'-3'0,"0"1"0,2 1 0,2 1 0</inkml:trace>
  <inkml:trace contextRef="#ctx0" brushRef="#br0" timeOffset="24">1965 1644 24575,'0'1'0,"0"-1"0,-1 0 0,1 0 0,0 1 0,-1-1 0,1 0 0,0 1 0,-1-1 0,1 0 0,0 1 0,0-1 0,-1 1 0,1-1 0,0 1 0,0-1 0,0 0 0,0 1 0,-1-1 0,1 1 0,0-1 0,0 1 0,0-1 0,0 1 0,0-1 0,0 1 0,0-1 0,0 0 0,1 1 0,-1-1 0,0 1 0,0 0 0,1 0 0,0-1 0,0 1 0,-1 0 0,1-1 0,0 1 0,0-1 0,0 1 0,0-1 0,0 1 0,0-1 0,0 0 0,0 1 0,1-1 0,3 1 0,-1-1 0,0 1 0,1-1 0,-1 0 0,0 0 0,7-1 0,-8 0 0,-1 0 0,1 0 0,0 0 0,-1 0 0,1 0 0,-1-1 0,1 1 0,-1-1 0,0 0 0,0 1 0,0-1 0,0 0 0,0 0 0,0-1 0,0 1 0,0 0 0,-1-1 0,0 1 0,1 0 0,-1-1 0,0 0 0,0 1 0,0-1 0,0 0 0,-1 1 0,1-1 0,-1 0 0,0 0 0,0 0 0,0-4 0,0 5 0,-1-1 0,1 1 0,-1 0 0,1-1 0,-1 1 0,0 0 0,0 0 0,0-1 0,0 1 0,0 0 0,0 0 0,-1 0 0,1 0 0,-1 1 0,0-1 0,1 0 0,-1 1 0,0-1 0,0 1 0,0-1 0,0 1 0,0 0 0,0 0 0,-1 0 0,1 0 0,0 0 0,0 0 0,-1 1 0,1-1 0,-1 1 0,1-1 0,0 1 0,-1 0 0,1 0 0,-5 1 0,3-1 0,1 1 0,0 0 0,-1 0 0,1 0 0,0 0 0,0 1 0,0-1 0,0 1 0,0 0 0,1 0 0,-1 0 0,0 0 0,1 0 0,-1 1 0,1-1 0,0 1 0,0-1 0,0 1 0,0 0 0,1 0 0,-1 0 0,1 0 0,-1 0 0,1 0 0,0 0 0,0 0 0,1 1 0,-2 3 0,2-4 0,-1 0 0,1 0 0,-1 0 0,1 0 0,0 0 0,0 0 0,0-1 0,1 1 0,-1 0 0,1 0 0,0 0 0,-1 0 0,1-1 0,0 1 0,1 0 0,-1-1 0,0 1 0,1 0 0,0-1 0,-1 0 0,1 1 0,0-1 0,0 0 0,0 0 0,1 0 0,-1 0 0,0-1 0,1 1 0,-1 0 0,1-1 0,0 0 0,4 2 0,2-1 49,0 0 0,1 0 0,-1-1-1,1 0 1,-1-1 0,13-1 0,-16 1-192,0-1 1,0 0 0,0 0 0,-1 0-1,1-1 1,0 0 0,-1 0 0,0-1 0,1 1-1,-1-1 1,6-4 0,2-5-6684</inkml:trace>
  <inkml:trace contextRef="#ctx0" brushRef="#br0" timeOffset="25">2566 1381 24575,'0'-11'-7460,"-4"-7"7845,4 17-238,0 1 0,0 0 0,0-1-1,0 1 1,0-1 0,0 1 0,-1-1-1,1 1 1,0-1 0,0 1 0,-1 0-1,1-1 1,0 1 0,-1 0 0,1-1-1,0 1 1,-1 0 0,1-1 0,0 1-1,-1 0 1,1 0 0,-1-1 0,1 1-1,-1 0 1,1 0 0,0 0 0,-2 0-1,-9 6-796,7-2 813,1 1-1,-1 0 1,1 1 0,0-1 0,0 0-1,0 1 1,1-1 0,0 1-1,0 0 1,-1 7 0,-9 64 1640,11-71-1780,0 3-23,1 1 0,-1-1 0,2 0 0,-1 0 0,4 16 0,-4-23 0,0 0 0,1 0 0,-1-1 0,1 1 0,-1 0 0,1 0 0,0-1 0,0 1 0,0-1 0,0 1 0,0 0 0,0-1 0,0 0 0,0 1 0,1-1 0,-1 0 0,1 1 0,-1-1 0,1 0 0,-1 0 0,1 0 0,0 0 0,-1-1 0,1 1 0,0 0 0,0-1 0,-1 1 0,1-1 0,0 1 0,0-1 0,0 0 0,0 0 0,0 0 0,-1 0 0,4-1 0,-3 1 0,-1-1 0,1 1 0,-1-1 0,1 1 0,0-1 0,-1 0 0,1 0 0,-1 0 0,0 0 0,1 0 0,-1 0 0,0-1 0,0 1 0,1 0 0,-1 0 0,1-3 0,11-21 0,-11 22 0,-1 8 0,0-1 0,0 1 0,0 0 0,1-1 0,0 1 0,0-1 0,0 1 0,0-1 0,1 0 0,0 0 0,0 0 0,0 0 0,0-1 0,0 1 0,1-1 0,0 0 0,6 5 0,-7-6 0,-1-1 0,1 1 0,-1-1 0,1 1 0,-1-1 0,1 0 0,0 0 0,0 0 0,-1-1 0,1 1 0,0-1 0,0 1 0,0-1 0,0 0 0,0 0 0,0 0 0,0-1 0,-1 1 0,1-1 0,0 1 0,0-1 0,0 0 0,-1 0 0,1 0 0,0 0 0,-1-1 0,1 1 0,-1-1 0,1 1 0,-1-1 0,3-3 0,-4 4 0,0 0 0,1-1 0,-1 1 0,0 0 0,0-1 0,0 1 0,0-1 0,-1 0 0,1 1 0,0-1 0,-1 0 0,1 1 0,-1-1 0,1 0 0,-1 0 0,0 1 0,0-1 0,0 0 0,0 0 0,0 0 0,0-1 0,-1-1 0,0 1 0,0 0 0,0 0 0,-1 0 0,1 0 0,-1 0 0,0 0 0,0 0 0,0 0 0,-4-5 0,3 6 0,1-1 0,-1 0 0,1 1 0,-1 0 0,0-1 0,0 1 0,0 0 0,0 0 0,-1 1 0,1-1 0,0 1 0,-1-1 0,1 1 0,-1 0 0,1 0 0,-1 1 0,0-1 0,1 1 0,-1 0 0,0 0 0,-6 0 0,8 2 0,-1-1 0,1 0 0,0 1 0,-1-1 0,1 1 0,0 0 0,0 0 0,0-1 0,0 2 0,1-1 0,-1 0 0,1 0 0,-1 0 0,1 1 0,0-1 0,-1 0 0,1 1 0,0 0 0,1-1 0,-1 1 0,0-1 0,1 1 0,0 0 0,-1 3 0,1-2 0,0 1 0,0-1 0,0 0 0,0 0 0,0 0 0,1 1 0,0-1 0,0 0 0,0 0 0,0 0 0,1 0 0,0 0 0,0-1 0,0 1 0,3 4 0,-4-6 0,0 0 0,1-1 0,-1 1 0,1 0 0,0-1 0,0 1 0,0-1 0,-1 1 0,1-1 0,0 0 0,1 0 0,-1 0 0,0 0 0,0 0 0,0 0 0,1 0 0,-1-1 0,0 1 0,1-1 0,-1 0 0,0 0 0,1 0 0,-1 0 0,1 0 0,-1 0 0,0-1 0,1 1 0,-1-1 0,0 1 0,0-1 0,1 0 0,-1 0 0,0 0 0,0 0 0,0 0 0,0-1 0,0 1 0,2-3 0,4-3 0,-1 0 0,0 0 0,-1-1 0,1 0 0,-2-1 0,1 1 0,6-14 0,-12 21 0,0 0 0,0 1 0,0-1 0,1 0 0,-1 1 0,0-1 0,1 1 0,-1-1 0,0 0 0,1 1 0,-1-1 0,1 1 0,-1-1 0,1 1 0,-1 0 0,1-1 0,-1 1 0,1-1 0,0 1 0,-1 0 0,1-1 0,0 1 0,-1 0 0,1 0 0,0 0 0,-1-1 0,1 1 0,1 0 0,-1 1 0,0-1 0,0 1 0,0-1 0,0 1 0,-1-1 0,1 1 0,0 0 0,0 0 0,0-1 0,0 1 0,-1 0 0,1 0 0,-1 0 0,1 0 0,1 2 0,3 8 0,0 1 0,5 17 0,-8-19 0,0-7 0,-1 1 0,1-1 0,-1 1 0,1-1 0,0 0 0,0 1 0,4 2 0,-6-5 0,0-1 0,1 0 0,-1 1 0,0-1 0,1 0 0,-1 1 0,1-1 0,-1 0 0,1 1 0,-1-1 0,1 0 0,-1 0 0,1 0 0,-1 0 0,1 1 0,-1-1 0,1 0 0,-1 0 0,1 0 0,-1 0 0,1 0 0,-1 0 0,1 0 0,0-1 0,0 1 0,0-1 0,0 0 0,0 1 0,-1-1 0,1 0 0,0 1 0,0-1 0,-1 0 0,1 0 0,0 1 0,-1-1 0,1 0 0,-1 0 0,1 0 0,0-2 0,9-31 0,-9 29 0,0-1 0,1 1 0,-1 0 0,1-1 0,0 1 0,1 0 0,-1 0 0,7-8 0,-9 13 0,0 0 0,1 0 0,-1-1 0,0 1 0,1 0 0,-1 0 0,0 0 0,1 0 0,-1-1 0,1 1 0,-1 0 0,0 0 0,1 0 0,-1 0 0,1 0 0,-1 0 0,0 0 0,1 0 0,-1 0 0,1 0 0,-1 0 0,0 1 0,1-1 0,-1 0 0,0 0 0,1 0 0,-1 0 0,0 1 0,1-1 0,-1 0 0,0 0 0,1 0 0,-1 1 0,0-1 0,0 0 0,1 1 0,-1-1 0,0 0 0,0 1 0,1-1 0,-1 0 0,0 1 0,0-1 0,11 21 0,-9-17 0,-1-2 0,-1-1 0,1 1 0,0-1 0,-1 0 0,1 1 0,0-1 0,0 0 0,0 1 0,0-1 0,0 0 0,0 0 0,0 0 0,1 0 0,-1 0 0,0 0 0,1 0 0,-1-1 0,0 1 0,1 0 0,-1-1 0,1 1 0,-1-1 0,1 1 0,-1-1 0,3 0 0,-2 0 0,-1-1 0,0 1 0,1-1 0,-1 0 0,0 0 0,1 0 0,-1 0 0,0 0 0,0 0 0,0 0 0,0 0 0,0 0 0,0 0 0,0-1 0,0 1 0,-1 0 0,1-1 0,0 1 0,-1-1 0,1 1 0,-1-1 0,1 1 0,-1-1 0,0 1 0,0-1 0,0-1 0,2-6 0,-2 6 0,1-1 0,-1 1 0,1 0 0,0 0 0,0 0 0,0 0 0,2-5 0,-2 7 0,-1 1 0,0 0 0,0 0 0,0 0 0,1-1 0,-1 1 0,0 0 0,0 0 0,1 0 0,-1 0 0,0 0 0,0-1 0,1 1 0,-1 0 0,0 0 0,0 0 0,1 0 0,-1 0 0,0 0 0,1 0 0,-1 0 0,0 0 0,1 0 0,-1 0 0,0 0 0,0 0 0,1 0 0,-1 0 0,0 0 0,1 1 0,-1-1 0,0 0 0,15 15 0,25 42 0,-36-50 0,0 0 0,-1 0 0,1 0 0,-2 0 0,1 0 0,-1 1 0,2 7 0,-4-15 0,0 1 0,0-1 0,1 1 0,-1 0 0,0-1 0,0 1 0,0-1 0,0 1 0,0-1 0,0 1 0,0 0 0,0-1 0,0 1 0,0-1 0,0 1 0,0-1 0,-1 1 0,1 0 0,0-1 0,0 1 0,-1-1 0,1 1 0,0-1 0,0 1 0,-1-1 0,1 1 0,-1-1 0,1 0 0,0 1 0,-1-1 0,1 1 0,-1-1 0,1 0 0,-1 1 0,1-1 0,-1 0 0,0 0 0,1 0 0,-1 1 0,1-1 0,-1 0 0,1 0 0,-1 0 0,0 0 0,1 0 0,-1 0 0,1 0 0,-1 0 0,0 0 0,1 0 0,-1 0 0,1 0 0,-1 0 0,1-1 0,-1 1 0,0-1 0,-2 1 0,1-1 0,0 0 0,0 0 0,0-1 0,0 1 0,0 0 0,0-1 0,1 1 0,-1-1 0,0 1 0,1-1 0,-1 0 0,-2-3 0,4 2 0,-1 1 0,0-1 0,1 0 0,0 1 0,0-1 0,0 1 0,0-1 0,0 0 0,0 1 0,0-1 0,1 0 0,0 1 0,-1-1 0,1 1 0,0-1 0,0 1 0,1 0 0,-1-1 0,0 1 0,1 0 0,-1 0 0,3-3 0,-1 1 0,0 1 0,0 0 0,0 0 0,0 0 0,1 0 0,-1 1 0,1-1 0,-1 1 0,1 0 0,0 0 0,0 0 0,0 0 0,5-1 0,-8 3 0,0 0 0,0 0 0,-1 0 0,1 0 0,0 0 0,0 0 0,0 0 0,0 0 0,0 0 0,0 0 0,0 0 0,0 1 0,-1-1 0,1 0 0,0 1 0,0-1 0,0 0 0,0 1 0,-1-1 0,1 1 0,0-1 0,1 2 0,-1 0 0,0 0 0,0-1 0,0 1 0,0 0 0,0 0 0,0 0 0,0 0 0,-1 0 0,2 4 0,-1 4 0,0 0 0,0 1 0,-2 12 0,1-17 0,-1 11-1365,1-2-5461</inkml:trace>
  <inkml:trace contextRef="#ctx0" brushRef="#br0" timeOffset="26">3123 1450 24575,'0'1'0,"0"4"0,0 5 0,0 5 0,3 4 0,3 4 0,2-1-8191</inkml:trace>
  <inkml:trace contextRef="#ctx0" brushRef="#br0" timeOffset="27">3314 1749 24575,'-1'-1'0,"0"-1"0,0 1 0,0 0 0,0 0 0,0 0 0,1-1 0,-1 1 0,0 0 0,1-1 0,-1 1 0,1 0 0,-1-3 0,0 0 0,-22-39 0,20 39 0,1 1 0,0 0 0,-1 0 0,1 0 0,-1 0 0,0 1 0,0-1 0,0 1 0,0 0 0,-5-3 0,7 4 0,-1 1 0,0 0 0,1 0 0,-1-1 0,0 1 0,1 0 0,-1 0 0,1 1 0,-1-1 0,0 0 0,1 0 0,-1 1 0,1-1 0,-1 1 0,1-1 0,-1 1 0,1 0 0,-1 0 0,1-1 0,-1 1 0,1 0 0,0 0 0,0 0 0,0 1 0,-1-1 0,1 0 0,0 0 0,0 1 0,1-1 0,-1 0 0,0 1 0,-1 2 0,0-1 0,0 1 0,0 0 0,0 0 0,1 0 0,-1 0 0,1 0 0,0 0 0,0 1 0,1-1 0,-1 0 0,1 6 0,0-9 0,0 1 0,0-1 0,0 1 0,1-1 0,-1 1 0,1-1 0,-1 1 0,1-1 0,0 1 0,-1-1 0,1 1 0,0-1 0,0 0 0,0 1 0,0-1 0,0 0 0,0 0 0,0 0 0,0 0 0,1 0 0,-1 0 0,0 0 0,1 0 0,-1 0 0,1-1 0,-1 1 0,1-1 0,-1 1 0,1-1 0,-1 1 0,1-1 0,-1 0 0,1 0 0,0 0 0,-1 0 0,1 0 0,-1 0 0,4-1 0,0 1 0,0-2 0,0 1 0,-1 0 0,1-1 0,-1 0 0,1 0 0,-1 0 0,1-1 0,-1 1 0,0-1 0,6-6 0,-1 0 0,-1-1 0,0-1 0,-1 1 0,0-1 0,-1 0 0,0-1 0,-1 0 0,6-15 0,-5 6 0,0 0 0,-1 0 0,-2 0 0,2-23 0,-12 71 0,-3 24 0,10-50 0,-2 13 0,1-1 0,1 28 0,0-39 0,0 1 0,0-1 0,1 1 0,-1-1 0,1 1 0,-1-1 0,1 1 0,0-1 0,0 0 0,0 1 0,0-1 0,0 0 0,1 0 0,-1 1 0,1-1 0,-1 0 0,1-1 0,0 1 0,0 0 0,0 0 0,0-1 0,0 1 0,4 1 0,-4-2 0,-1-1 0,0 0 0,1 1 0,-1-1 0,1 0 0,-1 0 0,1 0 0,-1-1 0,1 1 0,-1 0 0,1 0 0,-1-1 0,0 1 0,1-1 0,-1 1 0,0-1 0,1 1 0,-1-1 0,0 0 0,0 0 0,1 0 0,-1 0 0,0 0 0,0 0 0,0 0 0,0 0 0,0 0 0,0-1 0,5-6 0,-1 1 0,-1-1 0,6-11 0,-7 12 0,-3 7 0,1 0 0,-1 0 0,0-1 0,1 1 0,-1 0 0,0 0 0,0 0 0,1 0 0,-1 0 0,0-1 0,1 1 0,-1 0 0,0 0 0,1 0 0,-1 0 0,0 0 0,1 0 0,-1 0 0,0 0 0,1 0 0,-1 0 0,0 0 0,1 0 0,-1 0 0,0 1 0,1-1 0,-1 0 0,0 0 0,1 0 0,-1 0 0,0 1 0,0-1 0,1 0 0,-1 0 0,0 0 0,0 1 0,1-1 0,-1 1 0,17 13 0,-6-4 0,-9-9 0,0 0 0,0 1 0,1-1 0,-1 0 0,0 0 0,1 0 0,-1-1 0,1 1 0,-1-1 0,1 1 0,-1-1 0,1 0 0,-1 1 0,1-2 0,-1 1 0,4 0 0,-5-1 0,0 1 0,-1 0 0,1 0 0,0-1 0,0 1 0,-1 0 0,1-1 0,0 1 0,0-1 0,-1 1 0,1-1 0,-1 0 0,1 1 0,-1-1 0,1 1 0,-1-1 0,1 0 0,-1 1 0,1-1 0,-1-1 0,1 1 0,-1-1 0,1 0 0,-1 1 0,0-1 0,0 0 0,0 1 0,0-1 0,0 0 0,0 1 0,-1-1 0,1 1 0,-1-1 0,0-2 0,0 2 0,1 0 0,-1 0 0,0 0 0,0 0 0,0 0 0,0 0 0,0 0 0,0 0 0,-1 1 0,1-1 0,-1 0 0,1 1 0,-1-1 0,1 1 0,-1 0 0,0 0 0,-3-2 0,4 2 0,0 1 0,1 0 0,-1 0 0,0 0 0,1 0 0,-1 0 0,0 0 0,1 0 0,-1 0 0,1 0 0,-1 0 0,0 0 0,1 0 0,-1 0 0,0 1 0,1-1 0,-1 0 0,1 1 0,-1-1 0,0 0 0,1 1 0,-1 0 0,-1 0 0,1 0 0,0 1 0,0-1 0,0 1 0,0-1 0,0 1 0,0 0 0,0-1 0,1 1 0,-1 0 0,0 3 0,0-1 0,0 0 0,0 0 0,1 1 0,-1-1 0,1 0 0,0 1 0,1-1 0,-1 1 0,1-1 0,-1 0 0,1 0 0,1 1 0,-1-1 0,1 0 0,2 6 0,-2-8 0,-1 0 0,1 0 0,-1 0 0,1 0 0,0 0 0,-1-1 0,1 1 0,0-1 0,0 1 0,0-1 0,1 0 0,-1 1 0,0-1 0,0 0 0,1-1 0,-1 1 0,0 0 0,1-1 0,-1 1 0,1-1 0,-1 0 0,1 0 0,-1 1 0,1-2 0,-1 1 0,1 0 0,-1 0 0,1-1 0,2 0 0,-3 0 0,1 0 0,-1 0 0,1 0 0,-1 0 0,0 0 0,1 0 0,-1 0 0,0-1 0,0 1 0,0-1 0,0 0 0,0 1 0,0-1 0,-1 0 0,1 0 0,0 0 0,1-3 0,1-3 0,-1 1 0,0-1 0,4-16 0,-6 19 0,0 0 0,1 0 0,-1 0 0,1 0 0,0 0 0,0 1 0,1-1 0,-1 0 0,1 1 0,0 0 0,0 0 0,1 0 0,3-4 0,-6 7 0,0 1 0,0-1 0,0 1 0,0-1 0,0 1 0,0-1 0,0 1 0,0 0 0,0-1 0,0 1 0,1 0 0,-1 0 0,0 0 0,0 0 0,0 0 0,0 0 0,0 0 0,0 0 0,0 0 0,1 1 0,-1-1 0,0 0 0,0 1 0,0-1 0,0 1 0,0-1 0,0 1 0,0-1 0,-1 1 0,1 0 0,0-1 0,0 1 0,0 0 0,0 0 0,-1 0 0,1-1 0,0 1 0,-1 0 0,1 0 0,0 2 0,3 4 0,1 1 0,-2 0 0,6 16 0,-7-20 0,4 13 0,-1 0 0,0 0 0,-2 1 0,0-1 0,0 1 0,-1 19 0,-4-27 0,0-20 0,-1-20 0,3 6 0,4-32 0,-3 47 0,0 1 0,1 0 0,1-1 0,-1 1 0,1 0 0,1 0 0,4-9 0,4 4 342,-11 13-394,-1 0 0,1 0 0,-1-1 1,1 1-1,-1 0 0,1 0 1,-1 0-1,0 0 0,1 0 0,-1 0 1,1 0-1,-1 0 0,1 0 1,-1 0-1,1 0 0,-1 0 0,1 0 1,-1 0-1,1 0 0,-1 1 1,0-1-1,1 0 0,-1 0 0,1 0 1,-1 1-1,1-1 0,-1 0 1,0 1-1,1-1 0,-1 0 0,0 1 1,1 0-1,4 7-6774</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88"/>
    </inkml:context>
    <inkml:brush xml:id="br0">
      <inkml:brushProperty name="width" value="0.025" units="cm"/>
      <inkml:brushProperty name="height" value="0.025" units="cm"/>
    </inkml:brush>
  </inkml:definitions>
  <inkml:trace contextRef="#ctx0" brushRef="#br0">270 84 24575,'-13'0'0,"0"1"0,0 2 0,-19 5 0,16-4 0,0 0 0,-21 2 0,33-6 0,0 0 0,0 0 0,0 0 0,0 0 0,0-1 0,0 1 0,0-1 0,1 0 0,-1 0 0,1-1 0,-1 1 0,0-1 0,1 0 0,-5-2 0,7 3 0,0 0 0,0 1 0,0-1 0,0 0 0,-1 0 0,1 0 0,1 0 0,-1 0 0,0 0 0,0 0 0,0 0 0,1 0 0,-1 0 0,0 0 0,1-1 0,-1 1 0,1 0 0,-1-1 0,1 1 0,0 0 0,0-1 0,0 1 0,-1 0 0,1-1 0,1 1 0,-1-2 0,0 3 0,0-1 0,0 1 0,0 0 0,1 0 0,-1 0 0,0-1 0,0 1 0,1 0 0,-1 0 0,0 0 0,0-1 0,0 1 0,1 0 0,-1 0 0,0 0 0,1 0 0,-1 0 0,0 0 0,0 0 0,1 0 0,-1 0 0,0 0 0,1 0 0,-1 0 0,0 0 0,0 0 0,1 0 0,-1 0 0,0 0 0,1 0 0,-1 0 0,0 0 0,0 0 0,1 0 0,-1 0 0,0 1 0,0-1 0,1 0 0,-1 0 0,0 0 0,0 0 0,0 1 0,1-1 0,-1 0 0,0 0 0,0 1 0,0-1 0,0 0 0,1 0 0,-1 1 0,0-1 0,0 0 0,0 0 0,0 1 0,0-1 0,0 1 0,10 16 0,-5-4 0,0 2 0,-1 0 0,-1-1 0,-1 1 0,0 25 0,-3 77 0,-9-19 0,-37 149 0,30-160 0,15-82 0,1 0 0,0 1 0,1 0 0,-1-1 0,1 1 0,0 0 0,1-1 0,1 10 0,-1-13 0,-1-1 0,1 1 0,0 0 0,0-1 0,0 1 0,0-1 0,0 0 0,0 1 0,0-1 0,0 0 0,0 0 0,1 1 0,-2-1 0,1 0 0,1 0 0,-1-1 0,1 1 0,0 0 0,-1 0 0,1-1 0,-1 1 0,1-1 0,0 1 0,0-1 0,-1 0 0,1 0 0,0 1 0,-1-1 0,1-1 0,0 1 0,3 0 0,24-4 0,-2-2 0,1 0 0,-1-2 0,30-11 0,2-1 0,-27 12 0,-23 7 0,-1-1 0,-1 0 0,1 0 0,8-4 0,-14 4-1365</inkml:trace>
  <inkml:trace contextRef="#ctx0" brushRef="#br0" timeOffset="1">242 132 24575,'0'-1'0,"0"0"0,0 0 0,-1-1 0,1 1 0,0 0 0,-1 0 0,1 0 0,-1 0 0,1 0 0,-1-1 0,1 1 0,-1 0 0,0 0 0,1 0 0,-1 0 0,0 1 0,0-1 0,0 0 0,0 0 0,0 0 0,0 1 0,0-1 0,0 0 0,0 1 0,0-1 0,0 1 0,0 0 0,-1-1 0,2 1 0,-1 0 0,0-1 0,0 1 0,-1 0 0,-1 0 0,-6 0 0,-1-1 0,1 2 0,-15 1 0,11-1 0,-14 0 0,17-1 0,0 1 0,1-1 0,-1 1 0,0 1 0,0 0 0,-12 4 0,22-5 0,-1-1 0,0 0 0,0 1 0,1 0 0,-1-1 0,1 1 0,-1-1 0,0 1 0,1 0 0,-1-1 0,1 1 0,0 0 0,-1 0 0,1-1 0,0 1 0,0 0 0,0 0 0,0 0 0,0-1 0,-1 1 0,1 2 0,0 19 0,0-14 0,26 338 0,1 10 0,-31-204 0,1 43 0,3-190 0,0 0 0,1 0 0,-1 0 0,1 0 0,0-2 0,1 2 0,-1 0 0,1-1 0,0 1 0,0-1 0,0 0 0,0 0 0,0 1 0,4 3 0,-3-5 0,1 0 0,-1-1 0,1 0 0,-1 0 0,1 1 0,0-1 0,0 0 0,0 0 0,0-1 0,0 1 0,0-1 0,0 0 0,1 0 0,-2-1 0,10 1 0,50 2 0,80-6 0,-182-4 0,13 9 0,0 0 0,-36 9 0,16-3 0,43-7 0,1-1 0,0 0 0,0 0 0,-1 1 0,1-1 0,0 0 0,0-1 0,0 1 0,0 0 0,0-1 0,0 1 0,-1-1 0,1 0 0,0 0 0,0 0 0,0 0 0,0 0 0,0 0 0,0 0 0,0-1 0,1 1 0,-1-1 0,0 1 0,1-1 0,-1 0 0,1 1 0,0-1 0,-1 0 0,1 0 0,0 0 0,-1-3 0,-2-5 0,1 0 0,0-1 0,1 0 0,0 0 0,0-14 0,-1-1 0,-28-257 0,19 167 0,5-4 0,13-184 0,2 52 0,-10 220 0,2 21 0,-1 0 0,3-23 0,-2 33 0,0 0 0,1 0 0,-1 1 0,1-1 0,-1 0 0,1 1 0,-1-1 0,1 0 0,0 0 0,-1 1 0,1-1 0,0 0 0,0 0 0,-1 1 0,1-1 0,0 1 0,0-1 0,0 1 0,0-1 0,0 1 0,0-1 0,0 1 0,0 0 0,0 0 0,0-1 0,2 1 0,32-2 0,-20 1 0,38-5 0,-32 2 0,0 2 0,0 0 0,24 2 0,-36 2 0,-8 1 0,-14 5 0,-22 4 0,-14 1 0,-52 18 0,89-26 0,-1 0 0,1 0 0,-1 2 0,1 0 0,-15 13 0,25-19 0,1 0 0,0 1 0,-1-1 0,1 1 0,0-1 0,0 1 0,0-1 0,0 1 0,0-1 0,0 1 0,0 0 0,1 0 0,-1-2 0,1 2 0,-1 0 0,1 0 0,0 0 0,-1 0 0,1 2 0,1 3 0,0-1 0,0 1 0,0 0 0,3 7 0,3 17 0,0 276 0,-9-190 0,2 484 0,-1-584 0,1-1 0,1 0 0,0 0 0,1 1 0,1-1 0,0 0 0,1 0 0,7 17 0,-10-32 0,0 1 0,0-1 0,0 1 0,0-1 0,0 0 0,0 1 0,0-1 0,0 0 0,1 0 0,-1 0 0,0 0 0,1 0 0,-1 0 0,1 0 0,-1 0 0,1-1 0,0 1 0,-1-1 0,1 1 0,0-1 0,-1 1 0,1-1 0,0 0 0,-1 0 0,1 0 0,0 0 0,0 0 0,2-1 0,5-1 0,1 0 0,0-1 0,-1 0 0,11-5 0,14-3 0,12 4 0,-27 5 0,0-1 0,21-7 0,-25 6-1365,-3 0-5461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390"/>
    </inkml:context>
    <inkml:brush xml:id="br0">
      <inkml:brushProperty name="width" value="0.025" units="cm"/>
      <inkml:brushProperty name="height" value="0.025" units="cm"/>
    </inkml:brush>
  </inkml:definitions>
  <inkml:trace contextRef="#ctx0" brushRef="#br0">280 685 24575,'-1'-61'0,"-2"57"0,-1 9 0,-2 12 0,0 22 0,1 0 0,0 40 0,1-7 0,-2-9 0,3-164 0,3 52 0,1-75 0,1 104 0,0 1 0,1-1 0,1 0 0,7-19 0,-10 36 0,0 1 0,0-1 0,0 1 0,0-1 0,0 1 0,1 0 0,-1-1 0,1 1 0,-1 0 0,1 0 0,0 0 0,0 0 0,0 1 0,4-4 0,-5 5 0,0-1 0,-1 1 0,1 0 0,0 0 0,0-1 0,-1 1 0,1 0 0,0 0 0,0 0 0,-1 0 0,1 0 0,0 0 0,0 0 0,0 0 0,-1 1 0,1-1 0,0 0 0,0 0 0,-1 1 0,2-1 0,-1 1 0,1 0 0,-1 0 0,0 1 0,1-1 0,-1 0 0,0 1 0,0-1 0,0 0 0,0 1 0,0 0 0,2 2 0,1 7 0,1 0 0,-1 1 0,-1-1 0,0 1 0,-1 0 0,0 0 0,0 18 0,-2-20 0,0-1 0,0 0 0,-1 1 0,0-1 0,-1 0 0,0 0 0,0 0 0,-1 0 0,0 0 0,-6 11 0,7-16 0,-1 0 0,0-1 0,0 1 0,0 0 0,0-1 0,-1 0 0,0 1 0,1-2 0,-6 4 0,8-5 0,0 0 0,0-1 0,0 1 0,0-1 0,0 1 0,-1-1 0,1 1 0,0-1 0,0 0 0,0 1 0,-1-1 0,1 0 0,0 0 0,-1 0 0,1 0 0,0 0 0,0 0 0,-1 0 0,1-1 0,0 1 0,0 0 0,0-1 0,-1 1 0,1-1 0,0 1 0,0-1 0,0 0 0,0 1 0,0-1 0,0 0 0,0 0 0,0 0 0,0 0 0,0 1 0,0-1 0,1-1 0,-1 1 0,0-1 0,29 21 0,-20-12 0,1-1 0,0 0 0,0 0 0,1-1 0,11 3 0,-17-6 0,-1-1 0,1 0 0,0 0 0,-1 0 0,1 0 0,0 0 0,-1-1 0,1 0 0,0 1 0,0-1 0,-1-1 0,1 1 0,0-1 0,0 1 0,-1-1 0,1 0 0,0 0 0,3-3 0,-5 3 0,0 0 0,0-1 0,0 1 0,-1-1 0,1 1 0,-1 0 0,1-1 0,-1 0 0,0 1 0,0-1 0,0 0 0,0 0 0,0 0 0,0-1 0,0 1 0,0-3 0,4-39 0,-4 19 0,37 47 0,-37-21 0,0 0 0,0-1 0,0 1 0,0-1 0,0 1 0,0-1 0,0 0 0,0 1 0,0-1 0,0 0 0,0 0 0,0 0 0,1 0 0,-1 0 0,0 0 0,0 0 0,0 0 0,0 0 0,0 0 0,0-1 0,1 1 0,-1 0 0,0-1 0,0 1 0,0-1 0,0 1 0,0-1 0,0 0 0,0 1 0,-1-1 0,1 0 0,0 0 0,0 1 0,0-1 0,-1 0 0,2-2 0,-1 0 0,0 1 0,-1-1 0,1 0 0,-1 0 0,1 0 0,-1 0 0,0 0 0,0 1 0,0-1 0,-1 0 0,1 0 0,-1 0 0,1 0 0,-2-2 0,1 2 0,0 1 0,0-1 0,0 1 0,0 0 0,0-1 0,0 1 0,-1 0 0,1 0 0,-1 0 0,1 0 0,-1 0 0,0 0 0,0 0 0,0 1 0,-3-3 0,4 3 0,0 1 0,0 0 0,0-1 0,0 1 0,0 0 0,0 0 0,1 0 0,-1 0 0,0 0 0,0 0 0,0 0 0,0 0 0,0 0 0,0 0 0,0 0 0,0 1 0,0-1 0,-1 1 0,0 0 0,0 0 0,1 0 0,-1 0 0,0 1 0,1-1 0,-1 1 0,0-1 0,1 1 0,0 0 0,-3 3 0,1 0 0,1-1 0,-1 1 0,1 0 0,0 0 0,1 0 0,-1 0 0,1 0 0,0 0 0,0 0 0,0 0 0,1 1 0,0 8 0,0-11 0,1 0 0,-1 0 0,1 0 0,-1 0 0,1-1 0,0 1 0,0 0 0,0-1 0,1 1 0,-1 0 0,1-1 0,-1 0 0,1 1 0,0-1 0,0 0 0,0 0 0,0 0 0,0 0 0,1 0 0,-1 0 0,0-1 0,1 1 0,0-1 0,3 2 0,1 0 0,0-1 0,0 0 0,0-1 0,1 0 0,-1 0 0,0 0 0,0-1 0,14-1 0,-18 1 0,-1 0 0,1 0 0,0-1 0,-1 0 0,1 1 0,0 0 0,-1-1 0,1 0 0,-1 0 0,0-1 0,1 1 0,-1-1 0,0 1 0,0-1 0,0 0 0,0 0 0,0 0 0,0 0 0,0 0 0,-1 0 0,1 0 0,-1 0 0,1-1 0,-1 1 0,0-1 0,0 1 0,1-3 0,0-10 0,1 0 0,-2 0 0,0 0 0,0 0 0,-2 0 0,0 0 0,0 0 0,-6-18 0,7 32 0,0 0 0,0 1 0,0-1 0,0 0 0,0 0 0,0 0 0,-1 1 0,1-1 0,0 0 0,-1 0 0,1 1 0,0-1 0,-1 0 0,1 1 0,-1-1 0,1 0 0,-1 1 0,1-1 0,-1 1 0,0-1 0,1 1 0,-1-1 0,0 0 0,0 1 0,0 1 0,1-1 0,-1 0 0,1 0 0,-1 1 0,0-1 0,1 1 0,-1-1 0,1 0 0,-1 1 0,1-1 0,-1 1 0,1-1 0,0 1 0,-1-1 0,1 1 0,-1-1 0,1 1 0,0 0 0,-1 0 0,-2 5 0,1-1 0,0 1 0,0 0 0,-2 10 0,4-11 0,0 0 0,0-1 0,0 1 0,1 0 0,1 8 0,-2-12 0,1 1 0,-1-1 0,1 1 0,-1-1 0,1 1 0,-1-1 0,1 0 0,0 1 0,-1-1 0,1 0 0,0 0 0,0 0 0,0 1 0,0-1 0,0 0 0,1 0 0,-1 0 0,0 0 0,0-1 0,1 1 0,1 1 0,-2-2 0,-1 0 0,1 0 0,-1 0 0,1 0 0,-1 0 0,1 0 0,-1 0 0,1 0 0,-1 0 0,1 0 0,-1 0 0,1 0 0,-1 0 0,1 0 0,-1-1 0,1 1 0,-1 0 0,1 0 0,-1-1 0,1 1 0,-1 0 0,1-1 0,-1 1 0,0 0 0,1-1 0,-1 1 0,0-1 0,1 1 0,-1 0 0,0-1 0,0 1 0,1-1 0,-1 1 0,0-1 0,0 1 0,0-2 0,4-22 0,-5 11 0,4 38 0,11 48 0,26 74 0,11 58 0,-50-201 0,4 39 0,-5-40 0,0-1 0,0 1 0,-1 0 0,1-1 0,0 1 0,-1 0 0,0-1 0,0 1 0,1 0 0,-1-1 0,-1 1 0,1-1 0,-2 3 0,2-4 0,1 0 0,-1-1 0,0 1 0,1-1 0,-1 1 0,0-1 0,0 1 0,0-1 0,1 1 0,-1-1 0,0 0 0,0 1 0,0-1 0,0 0 0,0 0 0,1 0 0,-1 0 0,0 0 0,0 0 0,0 0 0,0 0 0,0 0 0,0 0 0,0 0 0,0-1 0,1 1 0,-1 0 0,0 0 0,0-1 0,0 1 0,1-1 0,-1 1 0,0-1 0,0 1 0,1-1 0,-1 1 0,0-1 0,1 0 0,-1 1 0,0-2 0,-4-3 0,1 0 0,0 0 0,0 0 0,-5-7 0,3-1 0,0 0 0,1 1 0,0-1 0,0 0 0,2-1 0,0 0 0,0 0 0,2 0 0,-1 0 0,2 0 0,0 0 0,0 0 0,2 0 0,0 0 0,4-17 0,1 4 0,1 0 0,1 1 0,1 1 0,1 0 0,2 1 0,28-44 0,-40 67 0,-1 0 0,1 0 0,0 0 0,0 0 0,-1 0 0,1 1 0,0-1 0,0 0 0,0 0 0,0 1 0,0-1 0,0 0 0,0 1 0,0-1 0,1 0 0,-1 1 0,-1 0 0,0 0 0,1 0 0,-1 0 0,1 0 0,-1 1 0,1-1 0,-1 0 0,0 0 0,1 0 0,-1 0 0,0 1 0,1-1 0,-1 0 0,1 0 0,-1 1 0,0-1 0,0 0 0,2 1 0,-2-1 0,0 0 0,1 1 0,-1-1 0,0 0 0,0 1 0,0-1 0,1 1 0,1 5 0,0-1 0,-1 1 0,1 0 0,0 10 0,0-3 0,21 65-1365,-20-64-5461</inkml:trace>
  <inkml:trace contextRef="#ctx0" brushRef="#br0" timeOffset="1">717 475 24575,'3'3'0,"3"2"0,7 5 0,0-1-8191</inkml:trace>
  <inkml:trace contextRef="#ctx0" brushRef="#br0" timeOffset="2">993 685 24575,'0'-4'0,"0"1"0,-1-1 0,0 0 0,0 0 0,0 1 0,0-1 0,0 1 0,-1-1 0,1 1 0,-1 0 0,0-1 0,0 1 0,-1 0 0,1 0 0,0 0 0,-5-3 0,6 5 0,0 0 0,0 0 0,0 1 0,0-1 0,0 1 0,0-1 0,0 1 0,0-1 0,0 1 0,0-1 0,-1 1 0,1 0 0,0 0 0,0-1 0,0 1 0,-1 0 0,1 0 0,0 0 0,0 0 0,-3 1 0,3 0 0,-1 0 0,1 0 0,-1 0 0,1 0 0,-1 0 0,1 0 0,0 0 0,-1 1 0,1-1 0,0 0 0,0 1 0,0-1 0,0 1 0,0-1 0,1 1 0,-1 0 0,0-1 0,0 4 0,-1 0 0,1 1 0,0 0 0,0 0 0,0 0 0,1 0 0,-1 0 0,2 9 0,-1-13 0,1 0 0,-1 0 0,1 0 0,-1 0 0,1 0 0,-1-1 0,1 1 0,0 0 0,0 0 0,0 0 0,2 2 0,-2-3 0,0 0 0,0-1 0,-1 1 0,1 0 0,0-1 0,0 1 0,0-1 0,0 1 0,0-1 0,0 0 0,0 1 0,0-1 0,0 0 0,0 0 0,0 0 0,0 0 0,0 0 0,0 0 0,0 0 0,0 0 0,0 0 0,0 0 0,0 0 0,2-1 0,-2 0 0,1 0 0,0 1 0,-1-1 0,1 0 0,-1 0 0,1-1 0,-1 1 0,1 0 0,-1 0 0,0-1 0,1 1 0,-1-1 0,0 1 0,0-1 0,0 1 0,0-1 0,-1 0 0,1 1 0,1-4 0,9-39 0,-8 31 0,-2 5 0,0 4 0,0 0 0,0 0 0,0 0 0,0 0 0,0 0 0,1 0 0,0 0 0,0 1 0,0-1 0,5-6 0,-7 10 0,1 0 0,-1 0 0,0 0 0,1 0 0,-1 0 0,1 0 0,-1 0 0,1 0 0,-1 0 0,0 0 0,1 0 0,-1 0 0,1 0 0,-1 0 0,1 0 0,-1 0 0,0 0 0,1 0 0,-1 1 0,1-1 0,-1 0 0,0 0 0,1 0 0,-1 1 0,0-1 0,1 0 0,-1 1 0,0-1 0,1 0 0,-1 1 0,0-1 0,0 0 0,1 1 0,-1-1 0,0 0 0,0 1 0,0-1 0,0 1 0,1-1 0,-1 1 0,0-1 0,0 0 0,0 1 0,7 20 0,-3-5 0,-1-1 0,0 1 0,-1-1 0,-1 1 0,0-1 0,-3 22 0,-2-85 0,4 44 0,0-4 0,0 0 0,1-1 0,-1 1 0,2 0 0,-1-1 0,1 1 0,0 0 0,6-13 0,-8 21 0,0-1 0,1 1 0,-1-1 0,0 1 0,0-1 0,1 1 0,-1 0 0,0-1 0,1 1 0,-1-1 0,0 1 0,1 0 0,-1-1 0,1 1 0,-1 0 0,1-1 0,-1 1 0,1 0 0,-1 0 0,1-1 0,-1 1 0,1 0 0,-1 0 0,1 0 0,-1 0 0,1 0 0,-1 0 0,1 0 0,0 0 0,-1 0 0,1 0 0,-1 0 0,1 0 0,-1 0 0,1 0 0,-1 0 0,1 1 0,-1-1 0,1 0 0,-1 0 0,1 1 0,-1-1 0,1 0 0,-1 1 0,1-1 0,-1 0 0,0 1 0,1-1 0,-1 1 0,1 0 0,16 26 0,-5 5-341,-1-1 0,-2 2-1,9 51 1,-14-56-6485</inkml:trace>
  <inkml:trace contextRef="#ctx0" brushRef="#br0" timeOffset="3">824 994 24575,'17'59'0,"-1"20"0,8 141 0,-25-198 0,1-22 0,0 0 0,0 1 0,0-1 0,0 0 0,0 0 0,0 0 0,0 0 0,0 0 0,0 0 0,0 0 0,0 0 0,0 1 0,0-1 0,0 0 0,-1 0 0,1 0 0,0 0 0,0 0 0,0 0 0,0 0 0,0 0 0,0 0 0,0 0 0,0 0 0,0 0 0,-1 0 0,1 0 0,0 0 0,0 0 0,0 0 0,0 0 0,0 0 0,0 0 0,0 0 0,-1 0 0,1 0 0,0 0 0,0 0 0,0 0 0,0 0 0,0 0 0,0 0 0,0 0 0,0 0 0,-1 0 0,1 0 0,0 0 0,0 0 0,0 0 0,0 0 0,0 0 0,0-1 0,0 1 0,0 0 0,0 0 0,0 0 0,0 0 0,-1 0 0,1 0 0,0 0 0,0 0 0,0 0 0,0-1 0,0 1 0,0 0 0,0 0 0,-14-34 0,8 6 0,4 19 0,0 0 0,0 1 0,-1-1 0,0 1 0,-6-12 0,7 29 0,3 6 0,0-12 0,0 0 0,0 0 0,0 0 0,1 0 0,-1 0 0,1 0 0,0 0 0,0-1 0,0 1 0,0-1 0,0 1 0,1-1 0,-1 0 0,1 0 0,-1 0 0,1 0 0,0 0 0,0-1 0,0 1 0,0-1 0,0 0 0,0 0 0,0 0 0,1 0 0,-1 0 0,0-1 0,6 1 0,-5-1 0,0-1 0,0 1 0,0 0 0,0-1 0,0 0 0,0 0 0,0 0 0,0-1 0,-1 1 0,1-1 0,0 0 0,-1 0 0,1 0 0,-1 0 0,0-1 0,0 1 0,0-1 0,0 0 0,0 0 0,-1 0 0,1 0 0,2-5 0,-1 1 0,-1 0 0,0 0 0,0 0 0,-1 0 0,0 0 0,0-1 0,-1 1 0,0-1 0,0 0 0,-1 1 0,0-1 0,0 0 0,-2-8 0,2 15-50,0 1-1,0-1 1,0 0-1,0 1 0,0-1 1,0 1-1,0-1 1,-1 0-1,1 1 1,0-1-1,0 1 0,-1-1 1,1 1-1,0-1 1,-1 1-1,1-1 1,0 1-1,-1-1 0,1 1 1,-1 0-1,1-1 1,-1 1-1,1-1 1,-1 1-1,1 0 1,-2-1-1,-2 3-6775</inkml:trace>
  <inkml:trace contextRef="#ctx0" brushRef="#br0" timeOffset="4">633 1666 24575,'0'0'0,"0"-1"0,0 1 0,0-1 0,0 1 0,0-1 0,0 0 0,0 1 0,-1-1 0,1 1 0,0-1 0,0 1 0,0-1 0,-1 1 0,1-1 0,0 1 0,0-1 0,-1 1 0,1-1 0,0 1 0,-1-1 0,1 1 0,-1-1 0,1 1 0,-1 0 0,1-1 0,0 1 0,-1 0 0,1 0 0,-1-1 0,0 1 0,1 0 0,-1 0 0,1 0 0,-1-1 0,1 1 0,-1 0 0,1 0 0,-1 0 0,0 0 0,1 0 0,-1 0 0,1 0 0,-2 0 0,0 1 0,0-1 0,0 1 0,0 0 0,0-1 0,0 1 0,0 0 0,0 0 0,0 0 0,0 0 0,-3 3 0,1 1 0,-1 0 0,1 0 0,-1 1 0,1-1 0,1 1 0,-6 10 0,7-12 0,1 0 0,-1 0 0,1-1 0,-1 1 0,1 0 0,1 0 0,-1 0 0,0 1 0,1-1 0,0 0 0,0 0 0,1 6 0,-1-9 0,1 1 0,-1-1 0,1 0 0,0 1 0,0-1 0,0 0 0,-1 1 0,1-1 0,0 0 0,0 0 0,1 0 0,-1 0 0,0 0 0,0 0 0,0 0 0,1-1 0,-1 1 0,0 0 0,1-1 0,-1 1 0,1 0 0,-1-1 0,3 1 0,40 4 0,-34-5 0,-3 0 0,42 6 0,-47-5 0,0-1 0,1 0 0,-1 1 0,0 0 0,0 0 0,0 0 0,1 0 0,-1 0 0,0 0 0,0 0 0,0 0 0,-1 0 0,1 0 0,0 1 0,-1 0 0,1-1 0,2 4 0,-4-3 0,0-1 0,1 0 0,-1 0 0,0 1 0,0-1 0,0 0 0,0 0 0,0 1 0,-1-1 0,1 0 0,0 0 0,0 0 0,-1 1 0,1-1 0,-1 0 0,1 0 0,-1 0 0,0 0 0,1 0 0,-1 0 0,0 0 0,0 0 0,1 0 0,-1 0 0,0 0 0,0 0 0,0 0 0,0-1 0,0 1 0,-2 0 0,-34 21 0,36-22 0,1 1 0,-7 2 0,0 0 0,0 0 0,-12 2 0,18-4 0,0-1 0,0 0 0,-1 1 0,1-1 0,0 0 0,0 0 0,0 0 0,0 0 0,0 0 0,-1 0 0,1 0 0,0 0 0,0 0 0,0-1 0,0 1 0,0 0 0,0-1 0,0 1 0,0-1 0,0 1 0,0-1 0,0 1 0,0-1 0,0 0 0,0 0 0,0 1 0,0-1 0,1 0 0,-1 0 0,0 0 0,1 0 0,-1 0 0,0-1 0,-3-24-1365,6-4-5461</inkml:trace>
  <inkml:trace contextRef="#ctx0" brushRef="#br0" timeOffset="5">810 1519 24575,'0'1'0,"0"5"0,0 8 0,0 9 0,0 7 0,5 9 0,1 6 0,5 1 0,0-3 0,1-6 0,-2-8 0,-2-8-8191</inkml:trace>
  <inkml:trace contextRef="#ctx0" brushRef="#br0" timeOffset="6">803 1758 24575,'13'0'0,"0"-2"0,0 1 0,0-2 0,0 1 0,0-2 0,-1 0 0,0 0 0,1-1 0,-1-1 0,-1 0 0,12-8 0,-19 11 0,-1 0 0,0-1 0,0 1 0,0-1 0,0 0 0,-1 1 0,1-1 0,2-8 0,-4 11 0,-1 0 0,1 0 0,-1 1 0,1-1 0,-1 0 0,0 0 0,1 0 0,-1 0 0,0 0 0,0 0 0,0 0 0,0 0 0,0 0 0,0 0 0,0 0 0,0 0 0,0 0 0,0 0 0,-1 0 0,1 0 0,0 0 0,-1 0 0,1 0 0,0 1 0,-1-1 0,1 0 0,-1 0 0,0 0 0,1 1 0,-1-1 0,1 0 0,-1 0 0,0 1 0,0-1 0,0 1 0,1-1 0,-1 1 0,0-1 0,0 1 0,0-1 0,0 1 0,0 0 0,0-1 0,0 1 0,0 0 0,-1 0 0,0 0 0,0 0 0,1 0 0,-1 1 0,0-1 0,0 1 0,0 0 0,1-1 0,-1 1 0,0 0 0,1 0 0,-1 0 0,1 0 0,-1 0 0,1 0 0,-1 1 0,1-1 0,0 0 0,-1 1 0,1-1 0,0 1 0,0-1 0,0 1 0,0 0 0,0 1 0,-4 6 0,0 0 0,-6 19 0,10-26 0,1 0 0,-1 0 0,0 0 0,1 1 0,0-1 0,0 0 0,-1 0 0,1 0 0,0 0 0,0 0 0,1 0 0,-1 0 0,0 0 0,1 1 0,0-1 0,-1 0 0,1 0 0,0-1 0,0 1 0,0 0 0,0 0 0,0 0 0,0 0 0,3 2 0,-2-3 0,-1 0 0,0 0 0,1-1 0,-1 1 0,1 0 0,-1-1 0,1 1 0,-1-1 0,1 0 0,-1 1 0,1-1 0,-1 0 0,1 0 0,0 0 0,-1 0 0,1 0 0,-1 0 0,1-1 0,-1 1 0,1 0 0,-1-1 0,1 0 0,-1 1 0,1-1 0,-1 0 0,1 1 0,-1-1 0,0 0 0,0 0 0,1 0 0,-1 0 0,0 0 0,1-2 0,1 0 0,0-1 0,-1 1 0,0-1 0,1 0 0,-1 0 0,1-5 0,-3 8 0,1 0 0,-1 1 0,0-1 0,0 0 0,0 1 0,0-1 0,1 0 0,-1 0 0,0 1 0,1-1 0,-1 0 0,1 1 0,-1-1 0,0 1 0,1-1 0,-1 1 0,1-1 0,0 1 0,-1-1 0,1 1 0,-1-1 0,1 1 0,0-1 0,1 3 0,-1-1 0,0 0 0,0 1 0,1-1 0,-1 0 0,1 0 0,-1 0 0,1 0 0,-1 0 0,1 0 0,0 0 0,-1-1 0,1 1 0,0 0 0,0-1 0,-1 0 0,1 1 0,0-1 0,0 0 0,0 0 0,0 0 0,0 0 0,-1 0 0,1 0 0,0-1 0,0 1 0,0 0 0,-1-1 0,1 0 0,0 1 0,-1-1 0,4-2 0,-2 1 0,0-1 0,0 1 0,0-1 0,0 0 0,-1 1 0,1-1 0,-1-1 0,0 1 0,0 0 0,0 0 0,0-1 0,-1 1 0,1-1 0,-1 0 0,1-3 0,0-9 0,0 1 0,-2-1 0,0 1 0,0-1 0,-2 1 0,0-1 0,-1 1 0,0 0 0,-1 0 0,-9-22 0,12 36 0,1-1 0,-1 1 0,0 0 0,0-1 0,1 1 0,-1 0 0,0-1 0,0 1 0,0 0 0,0 0 0,-1 0 0,1 0 0,-2-2 0,-4 6 0,5 11 0,3 1 0,0 2 0,2-1 0,0 1 0,5 15 0,-5-21 0,1 0 0,0-1 0,0 0 0,1 0 0,1 0 0,-1 0 0,8 9 0,-12-19 0,-1 1 0,1 0 0,-1-1 0,0 1 0,1 0 0,-1-1 0,1 1 0,-1-1 0,1 1 0,-1-1 0,1 1 0,0-1 0,-1 1 0,1-1 0,0 0 0,-1 1 0,1-1 0,0 0 0,-1 1 0,1-1 0,0 0 0,0 0 0,-1 0 0,1 0 0,0 0 0,0 0 0,-1 0 0,1 0 0,0 0 0,0 0 0,-1 0 0,1 0 0,0 0 0,0-1 0,0 1 0,1-3 0,1 1 0,-1 0 0,-1-1 0,1 1 0,0-1 0,-1 1 0,3-6 0,-3 5 0,0 1 0,0-1 0,0 1 0,1-1 0,-1 1 0,1 0 0,0 0 0,-1 0 0,1 0 0,0 0 0,0 0 0,1 0 0,-1 0 0,2-1 0,27 0 0,-28 3 0,1 0 0,-1 0 0,0 0 0,0-1 0,0 1 0,0-1 0,3-1 0,-4 2 0,-1-1 0,0 0 0,1 0 0,-1 0 0,0 1 0,0-1 0,0-1 0,0 1 0,0 0 0,0 0 0,0 0 0,0 0 0,-1-1 0,1 1 0,0 0 0,-1-1 0,1 1 0,-1-1 0,1-1 0,2-18 0,-3 21 0,0-1 0,0 1 0,0 0 0,0-1 0,0 1 0,0-1 0,0 1 0,0-1 0,0 1 0,0-1 0,0 1 0,0 0 0,0-1 0,0 1 0,0-1 0,0 1 0,0-1 0,-1 1 0,1 0 0,0-1 0,0 1 0,0-1 0,-1 1 0,1 0 0,0-1 0,-1 1 0,1 0 0,0-1 0,-1 1 0,1 0 0,0 0 0,-1-1 0,1 1 0,-1 0 0,1 0 0,0 0 0,-1-1 0,1 1 0,-2 0 0,1 1 0,1-1 0,-1 1 0,0 0 0,0-1 0,1 1 0,-1 0 0,0 0 0,1 0 0,-1 0 0,1 0 0,-1 0 0,1-1 0,-1 1 0,1 0 0,0 0 0,0 0 0,-1 0 0,1 1 0,0-1 0,0 1 0,-2 25 0,2-25 0,-1 0 0,1 0 0,0 0 0,0 0 0,0 0 0,0 0 0,1 0 0,-1 0 0,1 0 0,-1 0 0,1 0 0,-1 0 0,1 0 0,0 0 0,0-1 0,0 1 0,0 0 0,0 0 0,1-1 0,-1 1 0,1-1 0,-1 1 0,1-1 0,-1 0 0,1 1 0,-1-1 0,1 0 0,0 0 0,2 1 0,-1-1 0,-1-1 0,1 1 0,-1-1 0,1 0 0,-1 0 0,1 0 0,0 0 0,-1 0 0,1 0 0,-1-1 0,1 1 0,0-1 0,-1 0 0,0 0 0,1 0 0,-1 0 0,1 0 0,-1 0 0,0 0 0,0-1 0,0 0 0,2-1 0,-1 1-97,-1 0-1,0 0 1,0-1-1,0 1 1,0-1-1,-1 1 1,1-1-1,-1 1 1,1-1-1,-1 0 1,0 0-1,0 0 0,1-5 1,-1-3-6729</inkml:trace>
  <inkml:trace contextRef="#ctx0" brushRef="#br0" timeOffset="7">1042 1547 24575,'4'-3'0,"6"0"0,7-6 0,9-3 0,6-4 0,3 1 0,-2 1 0,-4 3 0,-8 2-8191</inkml:trace>
  <inkml:trace contextRef="#ctx0" brushRef="#br0" timeOffset="8">923 1813 24575,'0'5'0,"1"0"0,0 0 0,1 0 0,-1-1 0,1 1 0,2 4 0,5 15 0,12 43 0,-4 2 0,-3 0 0,7 85 0,-21-152 0,0 0 0,1 0 0,-1 0 0,0 0 0,0 0 0,-1 0 0,1 0 0,0-1 0,-1 1 0,1 0 0,-1 0 0,0 0 0,1 0 0,-1 0 0,0 0 0,0-1 0,-2 3 0,2-4 0,0 1 0,0-1 0,0 1 0,0-1 0,0 0 0,0 0 0,0 0 0,-1 1 0,1-1 0,0 0 0,0 0 0,0 0 0,0-1 0,-1 1 0,1 0 0,0 0 0,0-1 0,0 1 0,0 0 0,0-1 0,0 1 0,0-1 0,0 0 0,0 1 0,0-1 0,0 0 0,0 0 0,0 1 0,-1-2 0,-5-5 0,0 1 0,0-2 0,0 1 0,0 0 0,1-1 0,1-1 0,-7-10 0,12 19 0,0 0 0,0 0 0,-1 0 0,1-1 0,0 1 0,0 0 0,-1 0 0,1-1 0,0 1 0,0 0 0,0-1 0,0 1 0,0 0 0,0-1 0,-1 1 0,1 0 0,0-1 0,0 1 0,0 0 0,0-1 0,0 1 0,0 0 0,0-1 0,0 1 0,0 0 0,0 0 0,1-1 0,-1 1 0,0 0 0,0-1 0,0 1 0,0 0 0,0-1 0,1 1 0,-1 0 0,0 0 0,0-1 0,0 1 0,1 0 0,-1 0 0,0-1 0,0 1 0,1 0 0,-1 0 0,0 0 0,1 0 0,-1-1 0,0 1 0,0 0 0,1 0 0,-1 0 0,0 0 0,1 0 0,-1 0 0,0 0 0,1 0 0,-1 0 0,27 3 0,-13-1 0,-5-3 0,-1 0 0,1 0 0,-1 0 0,1-1 0,-1-1 0,0 1 0,0-1 0,0-1 0,0 1 0,0-1 0,9-7 0,-12 8 0,0 0 0,0 0 0,-1-1 0,1 0 0,-1 0 0,0-1 0,0 1 0,0-1 0,-1 0 0,1 0 0,-1 0 0,0 0 0,-1-1 0,1 1 0,-1-1 0,3-11 0,-6 10 342,-3 8-2049,-1 5-5119</inkml:trace>
  <inkml:trace contextRef="#ctx0" brushRef="#br0" timeOffset="9">1007 2417 24575,'-1'-2'0,"1"1"0,-1-1 0,0 0 0,-1 1 0,1-1 0,0 1 0,0 0 0,-1-1 0,1 1 0,-1 0 0,1 0 0,-1-1 0,1 1 0,-1 1 0,0-1 0,0 0 0,1 0 0,-1 1 0,0-1 0,0 1 0,0-1 0,0 1 0,0 0 0,0 0 0,1-1 0,-1 1 0,0 1 0,0-1 0,-2 0 0,1 2 0,1-1 0,-1 0 0,0 1 0,1-1 0,-1 1 0,1 0 0,0 0 0,0 0 0,-1 0 0,1 0 0,1 0 0,-1 1 0,0-1 0,0 1 0,1-1 0,0 1 0,-3 5 0,-1 5 0,0 1 0,1-2 0,-3 24 0,6-29 0,0 0 0,0 1 0,1-1 0,0 0 0,0 1 0,1-1 0,0 1 0,4 11 0,-5-17 0,1 1 0,0-1 0,0 1 0,1-1 0,-1 0 0,0 0 0,1 1 0,-1-1 0,1 0 0,0 0 0,0 0 0,0-1 0,0 1 0,0 0 0,0-1 0,0 1 0,0-1 0,5 2 0,-4-2 0,1 0 0,0 0 0,-1 0 0,1-1 0,0 0 0,0 1 0,0-1 0,0-1 0,-1 1 0,1 0 0,6-2 0,-2 0 0,-1-1 0,0 1 0,0-1 0,0 0 0,0-1 0,-1 1 0,1-1 0,-1-1 0,0 1 0,0-1 0,-1 0 0,8-9 0,-6 2 0,0 0 0,-1-1 0,-1 0 0,0 0 0,4-17 0,-4 78 243,-4-35-511,1 1 0,0-1 0,0 0 0,1 0 0,8 20 0,-6-23-6558</inkml:trace>
  <inkml:trace contextRef="#ctx0" brushRef="#br0" timeOffset="10">1134 2360 24575,'0'5'0,"0"0"0,1-1 0,0 1 0,-1-1 0,2 1 0,2 8 0,-4-12 0,0-1 0,1 1 0,-1 0 0,0 0 0,1 0 0,-1-1 0,1 1 0,-1 0 0,1-1 0,0 1 0,-1 0 0,1-1 0,-1 1 0,1-1 0,0 1 0,0-1 0,-1 1 0,1-1 0,0 1 0,0-1 0,-1 0 0,1 1 0,0-1 0,0 0 0,0 0 0,0 0 0,0 0 0,-1 0 0,1 0 0,0 0 0,0 0 0,0 0 0,0 0 0,0 0 0,-1 0 0,1 0 0,0-1 0,0 1 0,0 0 0,0-1 0,-1 1 0,1-1 0,0 1 0,1-2 0,-1 1 0,0 0 0,1 0 0,-1-1 0,0 1 0,0-1 0,0 1 0,0 0 0,0-1 0,0 0 0,-1 1 0,1-1 0,0 0 0,-1 1 0,1-1 0,-1 0 0,0 1 0,1-1 0,-1 0 0,0 0 0,0 0 0,0 1 0,-1-1 0,1 0 0,0 0 0,0 1 0,-1-1 0,0 0 0,1 1 0,-1-1 0,0 0 0,-1-1 0,2 1 0,-1 0 0,0 0 0,0 0 0,0 0 0,-1 0 0,1 0 0,0 0 0,-1 1 0,1-1 0,-1 1 0,0-1 0,1 1 0,-1-1 0,0 1 0,0 0 0,0 0 0,0 0 0,0 0 0,0 0 0,0 0 0,0 1 0,0-1 0,0 1 0,-1-1 0,-2 1 0,5 0 0,-1 0 0,0 0 0,1 0 0,-1 0 0,0 0 0,0 1 0,1-1 0,-1 0 0,0 0 0,1 1 0,-1-1 0,0 0 0,1 1 0,-1-1 0,0 0 0,1 1 0,-1-1 0,1 1 0,-1-1 0,1 1 0,-1 0 0,1-1 0,-1 1 0,1-1 0,0 1 0,-1 0 0,1-1 0,0 1 0,0 0 0,-1-1 0,1 1 0,0 0 0,0 0 0,0-1 0,0 1 0,0 0 0,0-1 0,0 1 0,0 0 0,0 0 0,0-1 0,0 1 0,1 0 0,-1 0 0,0-1 0,1 2 0,-1-1 0,1 0 0,-1 0 0,1 0 0,0-1 0,-1 1 0,1 0 0,0 0 0,0 0 0,-1-1 0,1 1 0,0 0 0,0-1 0,0 1 0,0-1 0,0 1 0,0-1 0,0 1 0,0-1 0,0 0 0,0 1 0,0-1 0,0 0 0,0 0 0,0 0 0,0 0 0,0 0 0,1 0 0,-1 0 0,0 0 0,0 0 0,0-1 0,0 1 0,0 0 0,0-1 0,1 0 0,1 0 0,0-1 0,0 0 0,0-1 0,0 1 0,-1 0 0,1-1 0,-1 0 0,1 1 0,-1-1 0,0 0 0,0 0 0,0 0 0,2-6 0,-3 7 0,0 0 0,0 1 0,-1-1 0,1 0 0,0 0 0,-1 0 0,1 0 0,-1 0 0,0 0 0,0 0 0,0 0 0,0 0 0,0 0 0,0 0 0,0 0 0,-1 0 0,1 0 0,-1 0 0,1 1 0,-1-1 0,0 0 0,0 0 0,1 0 0,-1 1 0,-1-1 0,0-1 0,2 2 0,-1 1 0,1 0 0,0 0 0,0 0 0,-1 0 0,1 0 0,0 0 0,-1 0 0,1 0 0,0 0 0,0 1 0,-1-1 0,1 0 0,0 0 0,0 0 0,-1 0 0,1 0 0,0 0 0,0 0 0,-1 1 0,1-1 0,0 0 0,0 0 0,0 0 0,-1 1 0,1-1 0,0 0 0,0 0 0,0 0 0,0 1 0,0-1 0,0 0 0,-1 0 0,1 1 0,0-1 0,0 0 0,0 0 0,0 1 0,0-1 0,0 0 0,0 1 0,0-1 0,0 0 0,0 0 0,0 1 0,0-1 0,0 0 0,0 1 0,-2 16 0,3 3 0,0 1 0,2-1 0,0 0 0,2 0 0,0 0 0,11 25 0,-1 3 0,-14-47 0,-1-1 0,1 1 0,-1 0 0,0 0 0,1 0 0,-1 0 0,0 0 0,0-1 0,0 1 0,0 0 0,1 0 0,-1 0 0,0 0 0,-1 0 0,1 0 0,0 0 0,0 0 0,0-1 0,0 1 0,-1 0 0,1 0 0,0 0 0,-1 0 0,1-1 0,-2 2 0,1-1 0,0-1 0,0 0 0,0 0 0,0 0 0,0 0 0,0 0 0,0 0 0,0 0 0,0 0 0,1 0 0,-1 0 0,0 0 0,0-1 0,0 1 0,0 0 0,0-1 0,0 1 0,-1-1 0,-8-5 0,1 0 0,-16-12 0,23 17 0,1 0 0,0 0 0,-1 0 0,1-1 0,0 1 0,0 0 0,0 0 0,0-1 0,0 1 0,0-1 0,0 1 0,0-1 0,0-1 0,1 2 0,0 0 0,0 0 0,1 1 0,-1-1 0,0 0 0,0 1 0,1 0 0,-1-1 0,1 1 0,-1-1 0,0 0 0,1 1 0,-1-1 0,1 1 0,-1-1 0,1 1 0,0-1 0,-1 1 0,1-1 0,0 1 0,-1 0 0,1-1 0,0 1 0,-1 0 0,1-1 0,0 1 0,-1 0 0,1 0 0,0 0 0,1 0 0,4-2 0,0 0 0,1 0 0,-1-1 0,-1 0 0,1 0 0,0 0 0,-1-1 0,1 0 0,-1 0 0,0 0 0,0-1 0,-1 1 0,1-1 0,-1 0 0,0 0 0,-1-1 0,1 1 0,-1-1 0,0 0 0,0 0 0,-1 0 0,0 0 0,0-1 0,0 1 0,-1 0 0,0-1 0,0 1 0,0-9 0,-2 25 0,-1-4 0,2 1 0,-1-1 0,1 0 0,0 0 0,0 1 0,2 8 0,-2-13 0,1 0 0,-1 0 0,1-1 0,0 1 0,-1 0 0,1-1 0,0 1 0,0-1 0,0 1 0,0-1 0,0 1 0,1-1 0,-1 0 0,0 1 0,1-1 0,-1 0 0,1 0 0,-1 0 0,1 0 0,-1 0 0,1-1 0,0 1 0,-1 0 0,1-1 0,0 1 0,0-1 0,-1 0 0,1 1 0,0-1 0,0 0 0,0 0 0,2 0 0,-3-1 0,1 1 0,0 0 0,0 0 0,0-1 0,0 1 0,-1-1 0,1 1 0,0-1 0,-1 0 0,1 0 0,0 0 0,-1 0 0,1 0 0,-1 0 0,0 0 0,1 0 0,-1-1 0,0 1 0,0 0 0,1-1 0,-1 1 0,0-1 0,0 0 0,-1 1 0,1-1 0,0 0 0,-1 1 0,2-4 0,-1-1 0,1 0 0,-1 0 0,0-1 0,0 1 0,-1-1 0,0-9 0,-2 9 0,0 15 0,0 15 0,5-4 0,1 0 0,0 0 0,1 0 0,2-1 0,-1 0 0,12 20 0,5 15 0,-22-51 0,0 0 0,0 0 0,-1 0 0,1 0 0,-1 0 0,1 0 0,-1 0 0,0 1 0,1-1 0,-1 0 0,0 0 0,0 0 0,-1 1 0,1-1 0,0 0 0,-2 3 0,1-4 0,0 0 0,0 1 0,0-1 0,0 0 0,0 0 0,0 0 0,0 0 0,-1-1 0,1 1 0,0 0 0,-1 0 0,1-1 0,-1 1 0,1-1 0,-1 1 0,1-1 0,-1 0 0,1 1 0,-1-1 0,1 0 0,-1 0 0,1 0 0,-3-1 0,-31 0-1365,20-1-5461</inkml:trace>
  <inkml:trace contextRef="#ctx0" brushRef="#br0" timeOffset="11">188 342 24575,'0'-23'0,"0"0"0,2 1 0,0-1 0,2 1 0,8-30 0,-9 44 0,0 1 0,0-1 0,1 1 0,0-1 0,0 1 0,1 0 0,0 0 0,0 1 0,1 0 0,0 0 0,0 0 0,0 0 0,0 1 0,1 0 0,0 0 0,0 1 0,14-6 0,-11 6 0,0 0 0,0 1 0,0 1 0,0 0 0,0 0 0,0 1 0,1 0 0,-1 0 0,0 2 0,1-1 0,-1 1 0,0 1 0,1-1 0,-1 2 0,0 0 0,0 0 0,-1 0 0,1 1 0,-1 1 0,0 0 0,0 0 0,0 1 0,-1 0 0,0 0 0,0 1 0,0 0 0,-1 0 0,0 1 0,9 12 0,-9-9 0,14 15 0,-20-25 0,0 0 0,0 0 0,0-1 0,1 1 0,-1 0 0,0-1 0,0 1 0,1-1 0,-1 1 0,1-1 0,-1 1 0,0-1 0,1 0 0,-1 0 0,1 0 0,-1 0 0,1 0 0,-1 0 0,1 0 0,-1 0 0,2-1 0,7-3 0,0 0 0,-1-1 0,1 1 0,-1-1 0,-1-1 0,1 0 0,8-8 0,18-11 0,-8 8 0,1 0 0,0 2 0,2 2 0,42-15 0,-56 22 0,1 2 0,0 0 0,-1 1 0,1 0 0,0 2 0,0 0 0,1 1 0,-1 0 0,0 2 0,18 3 0,-29-4 0,0 1 0,0-1 0,-1 2 0,1-1 0,0 0 0,-1 1 0,1 0 0,-1 1 0,0-1 0,0 1 0,0 0 0,-1 0 0,1 0 0,-1 1 0,7 9 0,-7-7 0,-1 0 0,1 0 0,-1 0 0,-1 0 0,1 1 0,-1-1 0,0 1 0,-1-1 0,0 1 0,0 0 0,-1-1 0,0 10 0,-1-10 0,1-4 0,0 0 0,0 1 0,0-1 0,0 0 0,0 0 0,2 5 0,-2-6 0,1-1 0,-1 0 0,1 0 0,-1-1 0,1 1 0,0 0 0,0 0 0,-1 0 0,1 0 0,0-1 0,0 1 0,0 0 0,0 0 0,0-1 0,0 1 0,0-1 0,0 1 0,0-1 0,0 0 0,0 1 0,0-1 0,2 1 0,8 1 0,0 2 0,-1-1 0,0 1 0,1 1 0,-2 0 0,1 1 0,-1-1 0,1 2 0,-2-1 0,1 1 0,-1 1 0,0-1 0,0 2 0,-1-1 0,0 1 0,-1 0 0,9 16 0,-10-17 0,-1 0 0,-1 0 0,1 1 0,-2 0 0,1 0 0,-1 0 0,0 0 0,-1 0 0,0 0 0,-1 0 0,1 1 0,-2-1 0,1 0 0,-1 0 0,-1 0 0,0-1 0,0 1 0,-1 0 0,0 0 0,0-1 0,-7 13 0,2-8 0,-1-1 0,0 0 0,0-1 0,-1 0 0,-1 0 0,0-1 0,0-1 0,-24 16 0,25-18 0,-1-1 0,0 0 0,0-1 0,0 0 0,-1-1 0,0-1 0,0 1 0,0-2 0,0 0 0,0 0 0,-14 0 0,28-2 0,-1 1 0,0 0 0,1 0 0,-1 0 0,1 0 0,-1 0 0,0 1 0,0-1 0,0 0 0,0 0 0,0 1 0,0-1 0,0 1 0,0-1 0,0 1 0,-1-1 0,1 1 0,0 1 0,0 0 0,1 0 0,-1 0 0,0 0 0,-1 0 0,1 1 0,0-1 0,-1 0 0,0 0 0,0 0 0,0 7 0,-2-5 0,0 1 0,0-1 0,0 1 0,-1-1 0,0 0 0,0 0 0,0-1 0,-1 0 0,0 1 0,0-1 0,0 0 0,0 0 0,-1 0 0,1 0 0,-1-1 0,0 0 0,0 0 0,-9 4 0,-8 2 0,-1-1 0,0-1 0,-29 6 0,20-6 0,26-5 0,0-1 0,0 2 0,0-1 0,0 0 0,1 1 0,-1 0 0,1 1 0,0-1 0,0 1 0,0 0 0,0 0 0,-5 6 0,2-3 0,0-1 0,0 0 0,-1 0 0,1-1 0,-1 0 0,0-1 0,-1 0 0,-16 5 0,-84 16 0,101-24 0,-131 18 0,119-18 0,0-1 0,0 0 0,1-2 0,-38-7 0,55 9 0,1-1 0,-1 1 0,1-1 0,-1 0 0,1 0 0,-1 0 0,1 0 0,0 0 0,-1 0 0,1-1 0,0 1 0,0-1 0,0 0 0,0 1 0,0-1 0,0 0 0,1 0 0,-1 0 0,-2-4 0,3 5 0,0 1 0,0 0 0,0 0 0,0 0 0,0-1 0,-1 1 0,1 0 0,0 1 0,0-1 0,0 0 0,0 0 0,0 0 0,-1 1 0,1-1 0,0 0 0,0 1 0,0-1 0,0 1 0,0-1 0,-2 2 0,-3 1 0,1-1 0,1-1 0,-1 0 0,0 0 0,0 0 0,0 0 0,0-1 0,0 0 0,0 0 0,0 0 0,0-1 0,0 1 0,1-1 0,-1 0 0,-9-4 0,8 2 0,-1 0 0,1-1 0,0 0 0,1 0 0,-1-1 0,1 1 0,0-1 0,0 0 0,-9-12 0,0-4 0,1-1 0,1-1 0,1 0 0,0 0 0,-6-27 0,-18-38 0,33 84 0,-10-18 0,12 21 0,-1 1 0,1-1 0,-1 0 0,1 1 0,-1-1 0,0 1 0,1-1 0,-1 1 0,1 0 0,-1-1 0,0 1 0,1 0 0,-1-1 0,0 1 0,1 0 0,-1 0 0,0 0 0,0-1 0,1 1 0,-1 0 0,0 0 0,0 0 0,1 0 0,-1 0 0,0 0 0,1 0 0,-1 1 0,-1-1 0,1 0 0,0 0 0,1 0 0,-1 0 0,0 0 0,0 0 0,0-1 0,0 1 0,0 0 0,0 0 0,0-1 0,1 1 0,-1-1 0,0 1 0,0-1 0,0 1 0,1-1 0,-1 1 0,0-1 0,1 0 0,-1 1 0,1-1 0,-1 0 0,0 0 0,1 1 0,0-1 0,-1-1 0,-14-25 0,14 25 0,-5-11 0,1-1 0,0 0 0,1 0 0,1-1 0,0 1 0,1-1 0,0 1 0,1-1 0,1 0 0,3-26 0,-3 33 0,2 0 0,-1 0 0,1 0 0,0 1 0,1-1 0,0 1 0,0-1 0,1 1 0,0 0 0,0 0 0,0 1 0,1-1 0,0 1 0,0 0 0,1 0 0,0 1 0,0-1 0,0 1 0,0 1 0,1-1 0,10-4 0,-8 5 38,0 0 0,1 1 0,-1 0 0,1 1 0,0 0 0,0 1 0,-1-1 0,16 2 0,-22 0-92,0 0 1,0 0 0,0 0-1,0 0 1,0 1 0,0 0-1,0-1 1,0 1 0,0 0-1,-1 0 1,1 1 0,0-1-1,-1 1 1,1-1 0,-1 1-1,1 0 1,-1 0 0,0 0-1,1 0 1,-1 0 0,-1 0-1,1 1 1,0-1 0,0 1-1,-1-1 1,1 1 0,-1 0-1,0-1 1,0 1 0,0 0-1,1 4 1,0 11-6773</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402"/>
    </inkml:context>
    <inkml:brush xml:id="br0">
      <inkml:brushProperty name="width" value="0.025" units="cm"/>
      <inkml:brushProperty name="height" value="0.025" units="cm"/>
    </inkml:brush>
  </inkml:definitions>
  <inkml:trace contextRef="#ctx0" brushRef="#br0">18 205 24575,'0'-1'0,"0"1"0,-1-1 0,1 0 0,-1 1 0,1-1 0,-1 1 0,1-1 0,-1 1 0,1 0 0,-1-1 0,1 1 0,-1-1 0,0 1 0,1 0 0,-1 0 0,1-1 0,-1 1 0,0 0 0,1 0 0,-1 0 0,0 0 0,1 0 0,-1 0 0,-1 0 0,-1 3 0,10 4 0,-2-4 0,0-1 0,0 1 0,1-1 0,-1 0 0,1-1 0,-1 1 0,1-1 0,0 0 0,6 0 0,59-2 0,-60 1 0,284-27 0,-73 5 0,-207 21 0,282-12 0,-271 15 0,-20 0 171,-14 0 0,-15 0-1878,7-2-5119</inkml:trace>
  <inkml:trace contextRef="#ctx0" brushRef="#br0" timeOffset="1">879 99 24575,'0'-1'0,"1"1"0,-1-1 0,0 0 0,0 1 0,1-1 0,-1 0 0,1 0 0,-1 1 0,0-1 0,1 1 0,-1-1 0,1 1 0,-1-1 0,1 0 0,0 1 0,-1 0 0,1-1 0,-1 1 0,1-1 0,0 1 0,0 0 0,-1-1 0,1 1 0,0 0 0,-1 0 0,1 0 0,0-1 0,0 1 0,-1 0 0,1 0 0,0 0 0,0 0 0,-1 0 0,1 1 0,0-1 0,0 0 0,1 0 0,29 7 0,-27-6 0,-1 1 0,1-1 0,-1 1 0,1 0 0,-1 0 0,0 0 0,1 0 0,-1 0 0,-1 1 0,1 0 0,0-1 0,0 1 0,-1 0 0,0 0 0,0 1 0,1-1 0,-2 0 0,1 1 0,0-1 0,-1 1 0,0 0 0,1-1 0,-2 1 0,1 0 0,0 0 0,0 4 0,-1-1 0,0-1 0,-1 0 0,0 0 0,0 1 0,0-1 0,0 0 0,-1 0 0,0 0 0,-1 0 0,1-1 0,-1 1 0,0-1 0,0 1 0,-1-1 0,-6 7 0,4-3-1365,10-12-5461</inkml:trace>
  <inkml:trace contextRef="#ctx0" brushRef="#br0" timeOffset="2">1613 113 24575,'-4'-5'0,"0"0"0,0 1 0,0-1 0,0 1 0,-1 0 0,0 0 0,0 0 0,0 1 0,0-1 0,-10-3 0,14 6 0,-1 0 0,0 1 0,1-1 0,-1 0 0,1 1 0,-1 0 0,0-1 0,0 1 0,1 0 0,-1 0 0,0 0 0,1 0 0,-1 0 0,0 0 0,1 1 0,-1-1 0,0 0 0,1 1 0,-1 0 0,0-1 0,1 1 0,-1 0 0,1 0 0,-1-1 0,1 1 0,0 1 0,-1-1 0,1 0 0,0 0 0,0 0 0,0 1 0,0-1 0,0 0 0,0 1 0,0-1 0,0 1 0,0-1 0,1 1 0,-1 0 0,1-1 0,-2 4 0,2-3 0,-1 1 0,0-1 0,1 1 0,-1-1 0,1 1 0,-1-1 0,1 1 0,0-1 0,0 1 0,1-1 0,-1 1 0,0-1 0,1 1 0,-1-1 0,1 0 0,0 1 0,0-1 0,0 0 0,0 1 0,0-1 0,1 0 0,2 3 0,1 1 0,1-1 0,1 0 0,-1 0 0,0 0 0,13 6 0,-13-9 0,0 1 0,-1 1 0,1-1 0,-1 1 0,0 0 0,-1 0 0,1 0 0,0 1 0,6 8 0,-11-12 0,1 0 0,0 0 0,-1 1 0,0-1 0,1 0 0,-1 0 0,0 0 0,1 0 0,-1 1 0,0-1 0,0 0 0,0 0 0,0 1 0,0-1 0,0 0 0,0 0 0,-1 0 0,1 1 0,0-1 0,-1 0 0,1 0 0,-2 2 0,1-1 0,-1 1 0,0-1 0,0 0 0,0 1 0,0-1 0,0 0 0,0-1 0,-1 1 0,-2 2 0,-5 1 0,1 0 0,-1-1 0,0 0 0,-13 3 0,21-6 0,-32 5 0,33-6 0,1 0 0,-1 1 0,0-1 0,0 0 0,0-1 0,0 1 0,1 0 0,-1 0 0,0 0 0,0 0 0,1-1 0,-1 1 0,0 0 0,0-1 0,1 1 0,-1 0 0,0-1 0,1 1 0,-1-1 0,0 1 0,1-1 0,-1 0 0,1 1 0,-1-1 0,1 0 0,-1 1 0,1-1 0,-1 0 0,1 1 0,0-1 0,-1 0 0,1 0 0,0 1 0,0-1 0,0 0 0,-1-1 0,3-19-1365,4-3-5461</inkml:trace>
  <inkml:trace contextRef="#ctx0" brushRef="#br0" timeOffset="3">1726 0 24575,'-1'1'0,"0"-1"0,1 0 0,-1 1 0,0-1 0,1 1 0,-1-1 0,1 1 0,-1-1 0,1 1 0,-1-1 0,1 1 0,-1-1 0,1 1 0,-1 0 0,1-1 0,0 1 0,-1 0 0,1-1 0,0 1 0,0 0 0,0 0 0,-1-1 0,1 1 0,0 1 0,-4 21 0,4-20 0,-4 27 0,1 0 0,1 0 0,2 1 0,1-1 0,1 0 0,7 31 0,-7-53 0,0-1 0,1 1 0,0 0 0,1-1 0,0 0 0,5 8 0,-8-13 0,1-1 0,-1 1 0,0-1 0,1 1 0,-1-1 0,1 1 0,-1-1 0,1 0 0,0 0 0,0 0 0,-1 0 0,1 0 0,2 1 0,-3-2 0,1 0 0,-1 0 0,0 0 0,1 0 0,-1 0 0,0 0 0,0 0 0,1 0 0,-1-1 0,0 1 0,0 0 0,0-1 0,1 1 0,-1-1 0,0 0 0,0 1 0,0-1 0,0 0 0,0 1 0,0-1 0,0 0 0,0 0 0,1-1 0,2-4 0,-1 1 0,0-1 0,1 0 0,-2 0 0,1 0 0,-1 0 0,0-1 0,2-7 0,5-34 0,-10 55 0,0 3 0,-1 0 0,2 1 0,-1 0 0,1-1 0,1 1 0,0-1 0,3 15 0,0-17-1365,0-6-5461</inkml:trace>
  <inkml:trace contextRef="#ctx0" brushRef="#br0" timeOffset="4">1839 113 24575,'0'3'0,"0"2"0,1 4 0,1-1-8191</inkml:trace>
  <inkml:trace contextRef="#ctx0" brushRef="#br0" timeOffset="5">1994 198 24575,'-1'-1'0,"0"0"0,0 0 0,0 0 0,-1 1 0,1-1 0,0 0 0,-1 1 0,1-1 0,0 1 0,-1-1 0,1 1 0,0-1 0,-1 1 0,1 0 0,-1 0 0,1 0 0,-1 0 0,1 0 0,-1 0 0,1 0 0,0 1 0,-1-1 0,1 0 0,-2 1 0,1 0 0,0 1 0,0-1 0,0 1 0,0-1 0,1 1 0,-1 0 0,0-1 0,1 1 0,-1 0 0,1 0 0,0 0 0,0 0 0,-2 4 0,1-1 0,0 0 0,0 1 0,0-1 0,1 1 0,0-1 0,0 1 0,1-1 0,-1 1 0,1 0 0,0 0 0,2 10 0,-1-13 0,1 0 0,-1 0 0,1 0 0,-1 0 0,1 0 0,0-1 0,0 1 0,0-1 0,0 1 0,1-1 0,-1 0 0,1 0 0,-1 0 0,1 0 0,0 0 0,0-1 0,0 1 0,0-1 0,0 0 0,0 0 0,0 0 0,0 0 0,0 0 0,1-1 0,-1 1 0,4-1 0,-3 0 0,0 0 0,1 0 0,-1 0 0,0 0 0,0-1 0,0 1 0,0-1 0,0 0 0,0-1 0,0 1 0,-1-1 0,1 1 0,0-1 0,-1 0 0,1 0 0,-1-1 0,1 1 0,-1-1 0,0 0 0,3-4 0,-3 2 0,0 1 0,0-1 0,-1 0 0,0 0 0,0 0 0,0 0 0,-1-1 0,0 1 0,0 0 0,0-1 0,0-9 0,-1 15 0,0-1 0,0 1 0,0-1 0,0 1 0,0-1 0,0 0 0,0 1 0,1-1 0,-1 1 0,0-1 0,0 1 0,1-1 0,-1 1 0,0-1 0,0 1 0,1 0 0,-1-1 0,1 1 0,-1-1 0,0 1 0,1 0 0,-1-1 0,1 1 0,-1 0 0,1-1 0,-1 1 0,1 0 0,-1 0 0,1-1 0,20-1 0,-19 2 0,-1 0 0,1 0 0,0 0 0,0 0 0,0 0 0,0 0 0,0-1 0,0 1 0,0-1 0,0 0 0,-1 1 0,4-2 0,-4 1 0,0 0 0,0 0 0,-1 0 0,1 0 0,0 0 0,0 0 0,0 0 0,-1 0 0,1 0 0,-1 0 0,1 0 0,-1 0 0,1 0 0,-1-1 0,1 1 0,-1 0 0,0 0 0,0-1 0,0 1 0,0 0 0,0 0 0,0-1 0,0 1 0,0 0 0,0 0 0,-1 0 0,1-1 0,0 1 0,-1 0 0,1 0 0,-1 0 0,1 0 0,-1-1 0,0 0 0,0 1 0,0 1 0,0-1 0,1 0 0,-1 1 0,0-1 0,0 1 0,0-1 0,1 1 0,-1 0 0,0-1 0,0 1 0,0 0 0,0-1 0,0 1 0,0 0 0,0 0 0,0 0 0,0 0 0,0 0 0,0 0 0,0 0 0,0 0 0,0 0 0,0 0 0,0 1 0,1-1 0,-1 0 0,0 1 0,0-1 0,0 1 0,0-1 0,0 1 0,1-1 0,-1 1 0,0-1 0,0 1 0,1 0 0,-1 0 0,0-1 0,1 1 0,-1 0 0,1 0 0,-1 1 0,-1 1 0,0-1 0,0 1 0,1 0 0,-1 0 0,1 0 0,0 0 0,0 0 0,0 0 0,0 0 0,0 0 0,1 1 0,-1-1 0,1 0 0,0 0 0,0 1 0,0-1 0,1 0 0,-1 0 0,1 1 0,1 4 0,-1-6 0,0 0 0,0 0 0,0-1 0,0 1 0,0 0 0,0-1 0,1 1 0,-1-1 0,0 1 0,1-1 0,-1 0 0,1 1 0,0-1 0,-1 0 0,1 0 0,0 0 0,0 0 0,0-1 0,0 1 0,0 0 0,0-1 0,-1 1 0,1-1 0,0 0 0,0 0 0,1 0 0,-1 0 0,0 0 0,0 0 0,0 0 0,0 0 0,0-1 0,-1 1 0,4-2 0,2-1 0,-1 0 0,0 0 0,-1 0 0,1-1 0,-1 0 0,1 0 0,-1 0 0,0-1 0,-1 0 0,1 0 0,-1 0 0,0 0 0,5-9 0,-4 7 0,0 0 0,1 0 0,0 0 0,0 0 0,1 1 0,10-8 0,-16 14 0,0-1 0,0 0 0,0 1 0,0-1 0,0 1 0,1-1 0,-1 1 0,0 0 0,0-1 0,0 1 0,1 0 0,-1 0 0,0 0 0,0 0 0,1 0 0,-1 0 0,0 0 0,0 1 0,1-1 0,-1 0 0,0 1 0,0-1 0,2 1 0,0 1 0,-1 0 0,1 0 0,-1 0 0,0 0 0,0 0 0,0 0 0,0 0 0,0 1 0,2 4 0,2 3 0,-1 1 0,0 0 0,6 23 0,-10-29 0,0 0 0,-1 0 0,1 0 0,-1 0 0,-2 10 0,2-13 0,0-1 0,0 1 0,-1-1 0,1 0 0,0 1 0,-1-1 0,1 0 0,-1 1 0,0-1 0,0 0 0,-1 2 0,1-2 0,1-1 0,-1 1 0,1-1 0,-1 0 0,1 1 0,-1-1 0,1 0 0,-1 0 0,1 0 0,-1 1 0,0-1 0,1 0 0,-1 0 0,0 0 0,1 0 0,-1 0 0,1 0 0,-1 0 0,0 0 0,1 0 0,-1 0 0,1-1 0,-1 1 0,0 0 0,1 0 0,-1 0 0,0-1 0,-1 0 0,1 0 0,-1 0 0,1 0 0,-1-1 0,1 1 0,0 0 0,0-1 0,0 1 0,0 0 0,0-1 0,0 1 0,0-1 0,0 0 0,0 1 0,1-1 0,-1 0 0,1 1 0,-1-1 0,1 0 0,0 0 0,0 1 0,-1-1 0,1-2 0,0-4 0,1 0 0,-1 0 0,1 0 0,2-7 0,0 3 0,0 0 0,0 1 0,1 0 0,1 0 0,-1 0 0,2 0 0,0 1 0,0-1 0,1 2 0,0-1 0,11-11 0,1 9 342,-19 12-381,1 0 0,-1-1 0,1 1 0,-1 0 1,0 0-1,1 0 0,-1 0 0,1 0 1,-1-1-1,1 1 0,-1 0 0,0 0 0,1 0 1,-1 0-1,1 0 0,-1 0 0,1 1 0,-1-1 1,1 0-1,-1 0 0,0 0 0,1 0 1,-1 0-1,1 1 0,-1-1 0,0 0 0,1 0 1,-1 1-1,0-1 0,1 0 0,-1 1 0,0-1 1,1 0-1,-1 1 0,0-1 0,0 0 0,1 1 1,-1-1-1,0 1 0,0-1 0,0 0 1,0 1-1,1 0 0,-1 9-6787</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08"/>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0 169,'0'-1,"0"0,0 0,1 0,-1 0,0 0,0 0,1 0,-1 0,1 0,-1 0,1 0,-1 0,1 0,0 0,-1 1,1-1,0 0,0 0,-1 1,1-1,0 0,0 1,0-1,0 1,0-1,0 1,0 0,0-1,0 1,0 0,0 0,0-1,0 1,0 0,1 0,-1 0,1 1,8-1,0 1,0 0,12 3,-6-1,81 9,1-3,134-7,-269-5,-53-10,7 0,54 9,8 0,1 2,-1 0,1 1,-1 1,-31 4,48-3,0 0,-1 1,1-1,0 1,0 0,0 1,0-1,0 1,1 0,-1 0,1 0,0 0,-1 0,2 1,-1-1,0 1,1 0,-1 0,-2 8,2-6,1-1,0 1,1-1,-1 1,1 0,1-1,-1 1,1 0,-1 0,2 0,-1-1,1 1,0 0,0 0,2 6,-2-9,0-1,1 0,-1 0,0 0,1 0,-1 0,1 0,-1 0,1 0,0 0,0-1,0 1,0-1,0 0,0 1,0-1,0 0,1 0,-1 0,0-1,1 1,-1 0,1-1,-1 0,0 1,1-1,-1 0,5-1,6 0,0-1,0 0,0-1,15-6,248-100,-107 38,208-56,-335 114,-81 19,-62 1,70-6,-88 4,-160 13,248-13,-1 1,1 1,1 1,-1 2,2 2,-47 23,59-25,1 0,-19 16,30-22,0 0,0 1,1 0,0 0,0 0,0 0,0 1,1-1,0 1,-3 7,5-11,1-1,-1 1,1-1,0 1,-1-1,1 1,0-1,0 1,0-1,0 1,0-1,0 1,1-1,-1 1,0-1,1 1,-1-1,1 1,0-1,-1 1,1-1,2 3,-1-2,0 0,0 0,1-1,-1 1,0 0,1-1,0 0,-1 0,1 1,0-2,4 2,6 1,1-1,0 0,0-2,14 0,17-2,1-3,-1-1,81-23,-48 4,93-42,-156 60,0 0,0 0,-1-1,23-18,-37 26,0 0,0 0,1 0,-1 0,0 0,0 0,0 0,0 0,0 0,0 0,0 0,0 0,0 0,0 0,1 0,-1 0,0 0,0 0,0 0,0-1,0 1,0 0,0 0,0 0,0 0,0 0,0 0,0 0,0 0,0 0,0 0,0 0,0-1,0 1,0 0,0 0,0 0,0 0,0 0,0 0,0 0,0 0,0 0,0-1,0 1,0 0,0 0,0 0,0 0,0 0,0 0,0 0,0 0,0 0,0 0,0 0,0-1,0 1,0 0,0 0,-1 0,1 0,0 0,0 0,0 0,0 0,0 0,0 0,0 0,-11 1,-17 6,-145 40,-80 24,228-64,0 1,1 1,1 1,-1 1,2 1,-32 22,53-33,-1 0,0 1,1-1,-1 1,1-1,-1 1,1-1,0 1,-1 0,1 0,0 0,0 0,1-1,-2 5,2-5,0 0,0 0,0 0,1 0,-1 0,0 0,1 0,-1 0,1 0,-1 0,1 0,-1 0,1-1,0 1,-1 0,1 0,0-1,0 1,-1 0,1-1,0 1,0-1,0 1,0-1,0 1,0-1,0 0,0 1,0-1,0 0,2 0,8 3,0-2,0 1,1-1,-1-1,1 0,-1 0,18-4,82-20,-106 22,139-40,172-76,-316 118,23-10,44-24,-56 23,-11 11,0 0,0 0,0-1,1 1,-1 0,0 0,0 0,0-1,0 1,0 0,0 0,0-1,0 1,0 0,0 0,0 0,0-1,0 1,0 0,-1 0,1 0,0-1,0 1,0 0,0 0,0 0,0 0,0-1,-1 1,1 0,0 0,0 0,0 0,-1 0,0-1,-1 0,0 0,0 1,0-1,0 1,0 0,0 0,0-1,0 1,-3 1,-19 1,0 1,1 1,-1 2,1 0,-33 14,13-2,-74 45,93-49,2 1,0 1,-24 23,45-37,4-4,14-11,25-23,39-45,-45 42</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09"/>
    </inkml:context>
    <inkml:brush xml:id="br0">
      <inkml:brushProperty name="width" value="0.2" units="cm"/>
      <inkml:brushProperty name="height" value="0.4" units="cm"/>
      <inkml:brushProperty name="color" value="#FFFC00"/>
      <inkml:brushProperty name="tip" value="rectangle"/>
      <inkml:brushProperty name="rasterOp" value="maskPen"/>
      <inkml:brushProperty name="ignorePressure" value="1"/>
    </inkml:brush>
  </inkml:definitions>
  <inkml:trace contextRef="#ctx0" brushRef="#br0">146 51,'-11'6,"11"-6,0 0,0 0,0 0,0 0,1 0,-1 0,0 0,0 0,0 0,0 0,0 0,1 0,-1 0,0 0,0 0,0 0,0 0,0 0,1 0,-1 1,0-1,0 0,0 0,0 0,0 0,0 0,0 0,0 1,0-1,1 0,-1 0,0 0,0 0,0 1,0-1,0 0,0 0,0 0,0 0,0 1,0-1,0 0,0 0,0 0,0 0,0 0,0 1,-1-1,1 0,0 0,0 0,0 0,0 0,0 1,0-1,0 0,0 0,0 0,-1 0,1 0,0 0,0 0,0 0,0 1,0-1,-1 0,29 2,1 0,39-3,-29-1,349-12,-426 11,0-1,-61-14,-15-2,92 17,0 2,0 0,0 1,-1 1,1 1,0 1,0 1,-29 10,40-10,1 0,0 0,0 1,0 1,1 0,-1 0,1 1,1 0,0 0,0 1,0 0,1 1,0-1,0 1,1 1,1-1,-1 1,-5 17,9-22,0 0,0 0,1 1,0-1,0 1,0-1,1 1,0 9,0-13,0 0,1 0,-1 1,1-1,0 0,0 0,-1 0,2 0,-1 0,0 0,0 0,0-1,1 1,-1 0,1-1,0 1,-1-1,1 1,0-1,0 0,0 0,0 0,0 0,3 1,7 3,1-2,0 0,0 0,0-1,22 0,72-4,-70 0,95-4,177-4,-264 10,-44 0,0 0,0 0,0 0,0 0,0 0,0 0,0 0,0 0,0 1,-1-1,1 0,0 1,0-1,0 0,0 1,-1-1,2 2,-2-2,0 0,0 1,-1-1,1 1,0-1,0 0,-1 1,1-1,0 1,0-1,-1 0,1 1,0-1,-1 0,1 0,-1 1,1-1,0 0,-1 0,1 0,-1 1,0-1,-37 13,-168 28,130-30,-94 28,149-32,0 0,0 1,1 2,0 0,1 0,0 2,0 1,-31 28,46-37,0 0,0 0,0 1,1-1,-6 11,9-14,-1-1,1 1,-1 0,1 0,-1 0,1 0,0 0,0 0,0 0,-1 0,1 0,0 1,0-1,0 0,1 0,-1 0,0 0,0 0,0 0,1 0,-1 0,1 0,-1 0,1 0,-1-1,1 1,-1 0,1 0,0 0,-1-1,1 1,0 0,0 0,0-1,-1 1,1-1,0 1,2 0,4 1,0 0,0-1,0 0,0 0,0-1,1 1,-1-2,0 1,0-1,0 0,11-3,38-8,88-31,54-34,-108 41,-35 15,-9 4,51-27,-83 33,-14 11,0 0,0 0,0 0,0-1,0 1,0 0,0 0,0 0,0 0,-1-1,1 1,0 0,0 0,0 0,0 0,0-1,0 1,0 0,0 0,0 0,-1 0,1 0,0-1,0 1,0 0,0 0,0 0,-1 0,1 0,0 0,0 0,0 0,0 0,-1 0,1 0,0 0,0 0,0 0,-1-1,1 2,0-1,0 0,-33 0,-14 6,-1 3,1 1,-54 20,73-20,2 1,-1 1,2 2,-1 0,2 2,-37 30,53-39,0 0,1 0,1 0,-1 1,1 0,0 0,1 0,-5 11,9-18,1 1,-1-1,1 0,-1 1,1-1,-1 0,1 1,0-1,0 1,0-1,0 1,0-1,0 0,0 1,0-1,0 1,1-1,-1 1,1-1,-1 0,1 1,-1-1,1 0,0 0,0 1,0-1,-1 0,1 0,0 0,0 0,1 0,-1 0,2 1,2 1,0-1,1 0,-1 0,0-1,1 1,-1-1,11 1,14 0,-1-2,0-1,0-1,48-10,113-38,-24-10,-141 49,0-1,0-1,-2-1,29-21,-51 34,0 0,1 0,-1 0,0 0,0 0,1 0,-1 0,0 0,0 0,0-1,0 1,-1 0,1-1,0 1,0-1,-1 1,1-1,-1 1,0-1,1 1,-1-1,0-1,0 2,-1 0,0-1,0 1,0 0,0 0,0 0,0 0,0 0,-1 1,1-1,0 0,0 0,-1 1,1-1,0 1,-1-1,1 1,-1 0,1-1,-1 1,1 0,0 0,-3 0,-16-1,0 0,0 1,0 1,0 1,0 1,-28 7,17-1,-1 2,1 1,-34 18,40-17,1 1,-31 25,46-32,0 1,0 0,1 0,0 1,0 0,1 0,0 1,-6 12,12-20,1 0,-1 0,0-1,0 1,1 0,-1 0,1 0,0 0,-1 0,1 0,0-1,0 1,0 0,0 0,2 4,-2-5,1 0,-1 1,1-1,0 0,0 0,-1 0,1 0,0 0,0 0,0 0,0 0,1 0,-1 0,0-1,0 1,0 0,2 0,3 1,0 0,1-1,-1 0,0 0,0-1,1 1,-1-1,10-2,12-2,0-1,44-14,-11-1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410"/>
    </inkml:context>
    <inkml:brush xml:id="br0">
      <inkml:brushProperty name="width" value="0.025" units="cm"/>
      <inkml:brushProperty name="height" value="0.025" units="cm"/>
    </inkml:brush>
  </inkml:definitions>
  <inkml:trace contextRef="#ctx0" brushRef="#br0">1 1 24575,'1'0'0,"8"4"0,15 12 0,20 15 0,1 2-8191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411"/>
    </inkml:context>
    <inkml:brush xml:id="br0">
      <inkml:brushProperty name="width" value="0.025" units="cm"/>
      <inkml:brushProperty name="height" value="0.025" units="cm"/>
    </inkml:brush>
  </inkml:definitions>
  <inkml:trace contextRef="#ctx0" brushRef="#br0">0 89 24575,'25'-2'0,"-1"-1"0,1-2 0,-1 0 0,0-2 0,45-18 0,-32 12 0,50-13 0,-83 25 0,-1 0 0,1 1 0,0 0 0,0-1 0,-1 1 0,1 0 0,0 1 0,0-1 0,0 1 0,-1-1 0,6 3 0,-6-2 0,-1 0 0,0 0 0,0 1 0,0-1 0,0 1 0,0-1 0,0 1 0,-1 0 0,1-1 0,0 1 0,-1 0 0,1 0 0,-1 1 0,0-1 0,0 0 0,0 0 0,0 0 0,1 5 0,3 12 0,-2 0 0,0 0 0,-2 1 0,0-1 0,-1 0 0,-4 36 0,1-15 0,-1 43 0,8 103 0,0-145 0,2 0 0,1 0 0,2-1 0,23 62 0,-30-98 0,0 0 0,0 1 0,-1-1 0,0 0 0,0 1 0,0-1 0,0 8 0,-1-11 0,-1 0 0,1 0 0,0 0 0,-1 1 0,1-1 0,-1 0 0,1 0 0,-1 0 0,0 0 0,1 0 0,-1 0 0,0 0 0,0 0 0,0-1 0,0 1 0,0 0 0,0 0 0,0-1 0,0 1 0,0 0 0,0-1 0,0 1 0,0-1 0,0 0 0,0 1 0,-1-1 0,1 0 0,0 0 0,0 1 0,0-1 0,-1 0 0,-1-1 0,-5 2 0,-1-1 0,0 0 0,1-1 0,-1 0 0,1 0 0,-1-1 0,1 0 0,-15-6 0,7 1 0,0 0 0,0-1 0,-18-14 0,19 11-1365,7 2-5461</inkml:trace>
  <inkml:trace contextRef="#ctx0" brushRef="#br0" timeOffset="1">600 534 24575,'11'-1'0,"0"-1"0,1 0 0,-1 0 0,0-1 0,0-1 0,18-8 0,14-4 0,0 6 0,-9 2 0,-29 6 0,-13 2 0,-2 1 0,-29 2 0,37-3 0,0 0 0,0 0 0,0 0 0,0 0 0,0-1 0,0 1 0,0-1 0,0 1 0,0-1 0,0 0 0,0 1 0,1-1 0,-1 0 0,-2-2 0,3 3 0,1 0 0,0-1 0,0 1 0,0 0 0,-1 0 0,1 0 0,0-1 0,0 1 0,0 0 0,0 0 0,0-1 0,-1 1 0,1 0 0,0 0 0,0-1 0,0 1 0,0 0 0,0 0 0,0-1 0,0 1 0,0 0 0,0 0 0,0-1 0,0 1 0,0 0 0,0-1 0,0 1 0,0 0 0,0 0 0,0-1 0,0 1 0,0 0 0,1 0 0,-1-1 0,0 1 0,0 0 0,0-1 0,13-6 0,14 2 0,-25 5 0,0 0 0,-1 0 0,1 0 0,0 1 0,0-1 0,0 1 0,-1-1 0,1 1 0,0 0 0,0 0 0,-1 0 0,1 0 0,-1 0 0,1 0 0,-1 0 0,1 0 0,-1 0 0,0 1 0,2 1 0,-1 0 0,0 0 0,-1 0 0,1 1 0,-1-1 0,1 0 0,-1 1 0,0 0 0,0-1 0,0 5 0,0 6 0,0-1 0,-2 1 0,1-1 0,-4 17 0,-4 5-1365,4-23-5461</inkml:trace>
  <inkml:trace contextRef="#ctx0" brushRef="#br0" timeOffset="2">1235 372 24575,'0'-1'0,"-1"1"0,1 0 0,0 0 0,0 0 0,0-1 0,-1 1 0,1 0 0,0 0 0,0 0 0,-1 0 0,1 0 0,0 0 0,-1 0 0,1-1 0,0 1 0,0 0 0,-1 0 0,1 0 0,0 0 0,-1 0 0,1 0 0,0 0 0,0 1 0,-1-1 0,1 0 0,0 0 0,0 0 0,-1 0 0,1 0 0,0 0 0,0 0 0,-1 1 0,1-1 0,0 0 0,0 0 0,-1 1 0,-3 11 0,5 18 0,2 8 0,2-1 0,2 1 0,21 66 0,-28-103 0,0-1 0,0 0 0,0 0 0,0 1 0,0-1 0,0 0 0,0 1 0,0-1 0,0 0 0,0 0 0,0 1 0,0-1 0,0 0 0,0 0 0,1 1 0,-1-1 0,0 0 0,0 0 0,0 1 0,0-1 0,1 0 0,-1 0 0,0 0 0,0 1 0,0-1 0,1 0 0,-1 0 0,0 0 0,0 0 0,1 1 0,-1-1 0,0 0 0,0 0 0,1 0 0,-1 0 0,0 0 0,1 0 0,-1 0 0,0 0 0,1 0 0,3-13 0,-2-23 0,-3-9 0,-2 0 0,-2 0 0,-18-71 0,16 92 0,3 21 0,4 12 0,3 12 0,0-14 0,1 1 0,-1-1 0,1 0 0,1 1 0,10 11 0,-13-16 0,0-1 0,0 0 0,0 1 0,1-1 0,-1-1 0,1 1 0,0 0 0,4 2 0,-6-4 0,1 1 0,-1-1 0,0 0 0,1 1 0,-1-1 0,0 0 0,0 0 0,1 0 0,-1 0 0,0 0 0,1 0 0,-1 0 0,0 0 0,1-1 0,-1 1 0,0-1 0,0 1 0,1-1 0,-1 1 0,2-2 0,-1 0 0,0 1 0,0-1 0,-1 0 0,1 0 0,-1 0 0,0 0 0,1 0 0,-1 0 0,0 0 0,0 0 0,0 0 0,0 0 0,-1-1 0,1 1 0,0 0 0,-1-1 0,1-3 0,-1-44 0,-1 41 0,1-16 0,4 40 0,2 9 0,-2-11 69,1 1-1,0-1 0,0-1 0,10 17 1,-12-23-225,1-1 1,0 1 0,0-1 0,1 0 0,0 0 0,-1 0 0,2-1-1,-1 0 1,0 0 0,12 6 0,1-2-6671</inkml:trace>
  <inkml:trace contextRef="#ctx0" brushRef="#br0" timeOffset="3">1531 357 24575,'0'-1'0,"-1"0"0,1 1 0,0-1 0,0 0 0,-1 0 0,1 0 0,-1 1 0,1-1 0,-1 0 0,1 0 0,-1 1 0,1-1 0,-1 0 0,0 1 0,1-1 0,-1 1 0,0-1 0,0 1 0,1-1 0,-1 1 0,0 0 0,0-1 0,0 1 0,1 0 0,-1-1 0,0 1 0,0 0 0,0 0 0,0 0 0,0 0 0,0 0 0,1 0 0,-1 0 0,0 0 0,0 0 0,0 0 0,0 1 0,0-1 0,1 0 0,-1 1 0,0-1 0,0 0 0,-1 2 0,-2 0 0,1 0 0,0 0 0,-1 0 0,1 1 0,0-1 0,0 1 0,0 0 0,-3 4 0,2-1 0,0 1 0,1-1 0,0 1 0,0-1 0,1 1 0,-1 0 0,-1 11 0,4-16 0,-1 0 0,1 0 0,0 0 0,0 0 0,0 0 0,0 0 0,0 0 0,1-1 0,-1 1 0,1 0 0,-1 0 0,1 0 0,-1 0 0,2 2 0,-1-3 0,0 0 0,0 0 0,0 0 0,0-1 0,0 1 0,0 0 0,0 0 0,1-1 0,-1 1 0,0 0 0,0-1 0,0 1 0,1-1 0,-1 0 0,0 1 0,1-1 0,-1 0 0,0 0 0,1 0 0,-1 0 0,0 0 0,1 0 0,1 0 0,-1-1 0,0 1 0,1-1 0,-1 1 0,0-1 0,0 0 0,1 0 0,-1 0 0,0 0 0,0 0 0,0 0 0,0-1 0,0 1 0,0-1 0,0 1 0,-1-1 0,1 0 0,-1 0 0,1 1 0,-1-1 0,1 0 0,-1 0 0,0-1 0,1-2 0,0 0 0,0 0 0,0 1 0,-1-2 0,0 1 0,0 0 0,0 0 0,-1 0 0,0 0 0,0-9 0,0 12 0,1 2 0,-1 1 0,1-1 0,-1 1 0,1 0 0,-1-1 0,1 1 0,0-1 0,-1 1 0,1-1 0,0 1 0,-1-1 0,1 0 0,0 1 0,-1-1 0,1 0 0,0 1 0,0-1 0,-1 0 0,1 0 0,1 0 0,0 0 0,0 0 0,0 0 0,0 0 0,0 0 0,0 0 0,0-1 0,0 1 0,0-1 0,0 1 0,0-1 0,0 0 0,-1 0 0,1 0 0,0 0 0,-1 0 0,1 0 0,0 0 0,-1 0 0,0-1 0,1 1 0,-1-1 0,0 1 0,1-1 0,-1 0 0,0 1 0,0-1 0,0 0 0,-1 0 0,2-3 0,1-3 0,-1-1 0,-1 1 0,0-1 0,0 0 0,0-10 0,0 6 0,-1 31 0,2 0 0,0 0 0,1-1 0,1 1 0,10 25 0,-7-18 0,62 207 0,-87-296 0,3 0 0,-13-124 0,28 184 0,-1-8 0,0 1 0,3-20 0,-2 29 0,0 0 0,0 1 0,0-1 0,1 0 0,-1 0 0,0 1 0,1-1 0,0 0 0,-1 1 0,1-1 0,0 1 0,0-1 0,0 1 0,0-1 0,0 1 0,0-1 0,0 1 0,0 0 0,1-1 0,-1 1 0,0 0 0,1 0 0,-1 0 0,1 0 0,2-1 0,-3 2 0,0 0 0,1 0 0,-1 0 0,1 1 0,-1-1 0,0 0 0,1 0 0,-1 1 0,0-1 0,1 1 0,-1-1 0,0 1 0,1 0 0,-1-1 0,0 1 0,0 0 0,0 0 0,0 0 0,0 0 0,0 0 0,0 0 0,0 0 0,0 0 0,0 0 0,-1 0 0,1 1 0,0-1 0,-1 0 0,1 0 0,-1 1 0,1-1 0,-1 3 0,3 3 0,-1 1 0,0 0 0,0 0 0,0 11 0,-2-14 0,0 0 0,0 0 0,-1 0 0,0 0 0,0 0 0,0 0 0,0 0 0,-1 0 0,-2 6 0,3-9 0,0 1 0,-1-1 0,1 1 0,-1-1 0,1 0 0,-1 1 0,0-1 0,0 0 0,0 0 0,0 0 0,0 0 0,-1-1 0,1 1 0,0 0 0,-1-1 0,1 0 0,-6 2 0,-4-3-1365,3-4-5461</inkml:trace>
  <inkml:trace contextRef="#ctx0" brushRef="#br0" timeOffset="4">1933 280 24575,'0'-1'0,"0"0"0,0 1 0,0-1 0,0 1 0,0-1 0,0 1 0,0-1 0,0 1 0,0-1 0,0 1 0,0-1 0,0 1 0,-1-1 0,1 1 0,0 0 0,0-1 0,-1 1 0,1-1 0,0 1 0,0-1 0,-1 1 0,1 0 0,-1-1 0,1 1 0,0 0 0,-1-1 0,1 1 0,-1 0 0,1 0 0,-1-1 0,1 1 0,-1 0 0,1 0 0,-1 0 0,1 0 0,-1 0 0,1-1 0,-1 1 0,1 0 0,-1 0 0,1 0 0,-1 0 0,1 1 0,-2-1 0,1 0 0,-1 1 0,1-1 0,-1 1 0,1-1 0,0 1 0,-1-1 0,1 1 0,0 0 0,-1 0 0,1 0 0,0 0 0,0 0 0,0 0 0,-2 2 0,0 1 0,0 1 0,1-1 0,0 1 0,-1 0 0,2 0 0,-1 0 0,0 0 0,1 0 0,0 1 0,0-1 0,1 0 0,-1 0 0,1 1 0,0-1 0,1 0 0,-1 1 0,1-1 0,0 0 0,1 0 0,1 7 0,-1-9 0,-1 0 0,1 0 0,-1 0 0,1 0 0,0 0 0,0 0 0,0 0 0,1-1 0,-1 1 0,1-1 0,-1 1 0,1-1 0,0 0 0,0 0 0,0-1 0,0 1 0,0 0 0,0-1 0,1 0 0,-1 0 0,0 0 0,1 0 0,-1 0 0,1-1 0,-1 1 0,1-1 0,-1 0 0,1 0 0,-1 0 0,1-1 0,4 0 0,-5 0 0,1 0 0,-1 1 0,0-1 0,1-1 0,-1 1 0,0 0 0,0-1 0,0 1 0,0-1 0,0 0 0,0 0 0,-1-1 0,1 1 0,0 0 0,-1-1 0,4-4 0,-3 2 0,-1 1 0,1-1 0,-1 0 0,0-1 0,0 1 0,0 0 0,-1 0 0,0-1 0,1-8 0,-1-6 0,-2 1 0,0-1 0,0 1 0,-9-35 0,0 23 0,4 19 0,6 12 0,-1 0 0,1 0 0,0 0 0,0 0 0,0 0 0,0 0 0,-1 0 0,1 0 0,0 0 0,0 0 0,0 0 0,0 0 0,-1 0 0,1 0 0,0 0 0,0 0 0,0 0 0,0 0 0,-1 0 0,1 0 0,0 0 0,0 0 0,0 0 0,0 0 0,-1 0 0,1 1 0,0-1 0,0 0 0,0 0 0,0 0 0,0 0 0,0 0 0,-1 0 0,1 1 0,0-1 0,0 0 0,0 0 0,0 0 0,0 0 0,0 1 0,0-1 0,0 0 0,0 0 0,0 0 0,0 0 0,0 1 0,0-1 0,0 0 0,0 0 0,0 0 0,0 0 0,0 1 0,0-1 0,-4 20 0,1 0 0,2 0 0,0 0 0,0 0 0,6 35 0,-5-48 0,0 0 0,1 0 0,0 0 0,0 0 0,1 0 0,-1 0 0,2-1 0,-1 1 0,1-1 0,0 1 0,7 10 0,-10-16 0,1-1 0,-1 1 0,0-1 0,1 1 0,-1-1 0,1 0 0,-1 1 0,1-1 0,-1 0 0,1 1 0,-1-1 0,1 0 0,-1 1 0,1-1 0,-1 0 0,1 0 0,0 0 0,-1 1 0,1-1 0,-1 0 0,1 0 0,0 0 0,-1 0 0,1 0 0,-1 0 0,1 0 0,0 0 0,-1-1 0,1 1 0,-1 0 0,1 0 0,0 0 0,-1-1 0,1 1 0,-1 0 0,1 0 0,-1-1 0,1 1 0,-1-1 0,1 1 0,-1 0 0,0-1 0,1 1 0,-1-1 0,1 1 0,-1-1 0,0 1 0,1-1 0,-1 0 0,13-31 0,-12 30 0,3-11 0,-3 8 0,0 0 0,0 1 0,1-1 0,0 0 0,0 1 0,0 0 0,0-1 0,6-6 0,-8 11 0,0 0 0,1-1 0,-1 1 0,0 0 0,1 0 0,-1 0 0,0 0 0,1-1 0,-1 1 0,1 0 0,-1 0 0,0 0 0,1 0 0,-1 0 0,0 0 0,1 0 0,-1 0 0,1 0 0,-1 0 0,0 0 0,1 0 0,-1 0 0,1 0 0,-1 0 0,0 0 0,1 1 0,-1-1 0,0 0 0,1 0 0,-1 0 0,0 0 0,1 1 0,-1-1 0,0 0 0,1 1 0,-1-1 0,0 0 0,0 0 0,1 1 0,-1-1 0,0 0 0,0 1 0,0-1 0,1 1 0,8 19 0,-8-19 0,11 37 0,-10-30 0,0 0 0,0 0 0,1 0 0,0 0 0,1 0 0,0-1 0,0 1 0,9 11 0,-3-13-1365,0-3-5461</inkml:trace>
  <inkml:trace contextRef="#ctx0" brushRef="#br0" timeOffset="5">2293 343 24575,'0'-2'0,"0"-1"0,-1 0 0,1 1 0,0-1 0,-1 1 0,0-1 0,1 1 0,-1 0 0,0-1 0,0 1 0,-1 0 0,1 0 0,0-1 0,-1 1 0,1 0 0,-1 0 0,0 0 0,-3-2 0,4 3 0,0 1 0,0-1 0,1 1 0,-1-1 0,0 1 0,0-1 0,0 1 0,0 0 0,0 0 0,0-1 0,0 1 0,0 0 0,0 0 0,0 0 0,0 0 0,0 0 0,0 0 0,0 0 0,-1 1 0,0-1 0,1 1 0,-1 0 0,1 0 0,-1 0 0,1 0 0,0 0 0,-1 0 0,1 0 0,0 0 0,0 0 0,0 0 0,0 1 0,0-1 0,0 0 0,-1 3 0,-2 4 0,0 0 0,1 0 0,0 1 0,1-1 0,-3 11 0,4-15 0,1 1 0,-1-1 0,1 0 0,-1 1 0,1 0 0,0-1 0,1 1 0,-1-1 0,1 0 0,0 1 0,3 8 0,-4-12 0,1-1 0,-1 1 0,0 0 0,1 0 0,-1 0 0,1 0 0,-1-1 0,1 1 0,0 0 0,-1-1 0,1 1 0,0 0 0,-1-1 0,1 1 0,0-1 0,0 1 0,0-1 0,-1 1 0,1-1 0,0 1 0,0-1 0,0 0 0,0 0 0,0 1 0,0-1 0,0 0 0,0 0 0,0 0 0,0 0 0,0 0 0,-1 0 0,1 0 0,2-1 0,-2 0 0,1 1 0,-1-1 0,1 0 0,-1 0 0,0 0 0,0 0 0,1 0 0,-1 0 0,0 0 0,0-1 0,0 1 0,0 0 0,0-1 0,-1 1 0,1 0 0,0-1 0,0 1 0,-1-1 0,1-2 0,4-54 0,-5 51 0,1 9 0,-1 5 57,1 1 0,1-1 0,-1 0 0,1 0 0,5 13 0,-6-18-88,0 0 0,0 0-1,0 0 1,0-1 0,1 1 0,-1 0 0,1 0 0,-1-1 0,1 1 0,2 2 0,-3-4-26,0 1 0,0-1 1,0 1-1,0-1 0,0 0 0,0 1 0,0-1 0,0 0 0,0 0 0,0 0 0,0 0 1,0 0-1,0 0 0,0 0 0,1 0 0,-1 0 0,0 0 0,0-1 0,0 1 1,0 0-1,0-1 0,-1 1 0,3-1 0,7-6-6769</inkml:trace>
  <inkml:trace contextRef="#ctx0" brushRef="#br0" timeOffset="6">2342 336 24575,'0'-10'0,"0"5"0,0 1 0,0-1 0,0 0 0,0 1 0,1-1 0,-1 1 0,1 0 0,0-1 0,1 1 0,1-6 0,-2 10 0,-1-1 0,0 1 0,1 0 0,-1-1 0,1 1 0,-1 0 0,0-1 0,1 1 0,-1 0 0,1 0 0,-1-1 0,1 1 0,-1 0 0,1 0 0,-1 0 0,1 0 0,-1 0 0,1 0 0,-1 0 0,1 0 0,-1 0 0,1 0 0,0 0 0,-1 0 0,1 0 0,-1 0 0,1 0 0,-1 0 0,1 1 0,-1-1 0,0 0 0,1 0 0,-1 1 0,1-1 0,-1 0 0,1 1 0,-1-1 0,0 0 0,1 1 0,-1-1 0,0 0 0,1 2 0,18 19 0,-17-18 0,6 7 0,0 0 0,-1 0 0,-1 1 0,1 0 0,-2 0 0,0 1 0,6 17 0,-11-18 0,-4-10 0,3-2 0,1 0 0,-1 0 0,0 0 0,0 0 0,0 0 0,1 0 0,-1 0 0,0 0 0,1 0 0,-1-1 0,1 1 0,-1-2 0,-1-3 0,1 1 0,0 0 0,0-1 0,1 1 0,-1-1 0,1 1 0,0-1 0,1 1 0,-1-1 0,1 1 0,0-1 0,4-7 0,-2 5 0,0 1 0,1 0 0,1 0 0,-1 1 0,1 0 0,0-1 0,0 1 0,8-6 0,-8 8 0,0 0 0,-1-1 0,1 0 0,-1 0 0,0 0 0,0 0 0,-1 0 0,0-1 0,0 0 0,0 1 0,0-1 0,-1 0 0,0-1 0,-1 1 0,1 0 0,-1 0 0,0-1 0,0 1 0,-1-1 0,0 1 0,-1-7 0,0 73 0,6-4 0,4-1 0,21 77 0,-26-119-1365,-1-7-5461</inkml:trace>
  <inkml:trace contextRef="#ctx0" brushRef="#br0" timeOffset="7">2554 336 24575,'2'-2'0,"8"-5"0,7-3 0,7-5 0,4-3 0,0-1 0,-5 0 0,-6 3-8191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419"/>
    </inkml:context>
    <inkml:brush xml:id="br0">
      <inkml:brushProperty name="width" value="0.025" units="cm"/>
      <inkml:brushProperty name="height" value="0.025" units="cm"/>
    </inkml:brush>
  </inkml:definitions>
  <inkml:trace contextRef="#ctx0" brushRef="#br0">1 248 24575,'27'-6'0,"-2"-1"0,224-7 0,-168 11 0,593-10-1226,-183 6 461,-396 5 736,1219-51-682,-1261 50 711,-16 2 0,0-3 0,0 0 0,41-12 0,-75 15 29,0 0 0,0 0 0,0 0 0,-1 0 0,1-1 1,0 1-1,0-1 0,-1 0 0,1 0 0,2-2 0,-5 3 7,1 1 0,-1 0 0,0-1 0,1 1 0,-1-1 0,0 1 0,0-1 0,1 1 0,-1 0-1,0-1 1,0 1 0,0-1 0,0 1 0,0-1 0,1 1 0,-1-1 0,0 1 0,0-1 0,0 1 0,-1-1 0,1 1 0,0-1 0,0 0 0,-1 0 18,1 0 0,-1 0 0,0 0 0,1 0 0,-1 0 0,0 1 0,0-1 0,0 0 0,0 1 0,0-1 1,0 0-1,0 1 0,0-1 0,0 1 0,-1-1 0,-7-2 5,0 1 0,0 0 0,0 1-1,-11-1 1,8 1 9,0-1 0,0 0 0,-16-5-1,26 7-61,0-1 0,-1 0-1,1 0 1,0 0-1,-1-1 1,1 1 0,0 0-1,0-1 1,0 0-1,0 1 1,0-1 0,1 0-1,-1 0 1,0 0 0,1 0-1,0 0 1,-1 0-1,1-1 1,0 1 0,-1-4-1,1 5-5,1 1 0,0 0 0,0-1 0,0 1 0,0 0 0,0-1 0,-1 1 0,1 0 0,0-1 0,0 1 0,0 0 0,0-1 0,0 1 0,0-1 0,0 1 0,0 0 0,1-1 0,-1 1 0,0 0 0,0-1 0,0 1 0,0 0 0,0-1 0,1 1 0,-1 0 0,0 0 0,0-1 0,0 1 0,1 0 0,-1-1 0,0 1 0,0 0 0,1 0 0,-1 0 0,0-1 0,1 1 0,-1 0 0,0 0 0,1 0 0,-1 0 0,0-1 0,1 1 0,-1 0 0,0 0 0,1 0 0,-1 0 0,0 0 0,1 0 0,-1 0 0,0 0 0,1 0 0,-1 0 0,1 0 0,-1 0 0,0 1 0,1-1 0,-1 0 0,0 0 0,1 0 0,-1 1 0,24 8 0,-24-9 0,4 2 0,19 8 0,-1 2 0,36 25 0,-53-34 0,-1 0 0,0 0 0,1 1 0,-1-1 0,-1 1 0,1 0 0,-1 1 0,0-1 0,1 0 0,-2 1 0,1 0 0,-1 0 0,1-1 0,-1 2 0,-1-1 0,1 0 0,-1 0 0,0 0 0,1 8 0,-2-10 23,-1 0 0,1 1 0,-1-1-1,0 0 1,1 0 0,-1 0 0,-1-1-1,1 1 1,0 0 0,-1 0 0,1-1-1,-1 1 1,0 0 0,-2 2 0,-2 0-365,1 0 1,-1 1 0,0-2-1,-10 8 1,4-5-6485</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420"/>
    </inkml:context>
    <inkml:brush xml:id="br0">
      <inkml:brushProperty name="width" value="0.025" units="cm"/>
      <inkml:brushProperty name="height" value="0.025" units="cm"/>
    </inkml:brush>
  </inkml:definitions>
  <inkml:trace contextRef="#ctx0" brushRef="#br0">64 161 24575,'0'-13'0,"0"15"0,-1 25 0,-12 70 0,-33 118 0,43-202 0,3-13 0,0 0 0,0 0 0,0 0 0,0 0 0,0 0 0,0 0 0,0 0 0,0 0 0,0 0 0,0 0 0,0 0 0,0 0 0,0 0 0,0 0 0,0 0 0,0 0 0,1 0 0,-1 0 0,0 1 0,0-1 0,0 0 0,0 0 0,0 0 0,0 0 0,0 0 0,0 0 0,7-23 0,59-282 0,-42 178 0,-14 89 0,-4 28 0,-2 12 0,0 16 0,7 141 0,-10-116 0,1-1 0,2 0 0,20 82 0,-23-118-195,1 0 0,0 0 0,1-1 0,-1 1 0,1 0 0,6 8 0,0-5-6631</inkml:trace>
  <inkml:trace contextRef="#ctx0" brushRef="#br0" timeOffset="1">43 253 24575,'-14'12'0,"14"-12"0,0 0 0,0 0 0,0 1 0,0-1 0,0 0 0,0 0 0,0 0 0,0 0 0,0 0 0,0 1 0,0-1 0,0 0 0,0 0 0,0 0 0,0 0 0,0 0 0,0 1 0,0-1 0,0 0 0,1 0 0,-1 0 0,0 0 0,0 0 0,0 1 0,0-1 0,0 0 0,0 0 0,0 0 0,0 0 0,0 0 0,1 0 0,-1 0 0,0 0 0,0 0 0,0 0 0,0 1 0,0-1 0,1 0 0,-1 0 0,0 0 0,0 0 0,0 0 0,0 0 0,0 0 0,1 0 0,-1 0 0,0 0 0,0 0 0,0 0 0,4 0 0,0-1 0,0 1 0,-1 0 0,1-1 0,0 0 0,6-2 0,48-24 0,-46 20 0,1 0 0,-1 2 0,1 0 0,24-7 0,-35 12 0,-1 0 0,0 0 0,0 0 0,1 0 0,-1 0 0,0 0 0,0 1 0,1-1 0,-1 0 0,0 1 0,0-1 0,1 1 0,-1-1 0,0 1 0,0 0 0,0-1 0,0 1 0,0 0 0,0 0 0,0 0 0,0 0 0,0 0 0,0 0 0,-1 0 0,1 0 0,0 0 0,-1 0 0,1 0 0,-1 0 0,1 0 0,-1 1 0,1-1 0,-1 0 0,0 2 0,3 7 0,-1 0 0,-1 0 0,1 15 0,-1-10 0,-1-13 0,1 3 0,-1 1 0,1 0 0,0-1 0,0 1 0,1-1 0,0 1 0,0-1 0,0 0 0,5 10 0,-6-15 0,-1 0 0,0 1 0,1-1 0,-1 0 0,0 0 0,1 1 0,-1-1 0,0 0 0,1 0 0,-1 0 0,0 1 0,1-1 0,-1 0 0,1 0 0,-1 0 0,0 0 0,1 0 0,-1 0 0,1 0 0,-1 0 0,1 0 0,-1 0 0,0 0 0,1 0 0,-1 0 0,1 0 0,-1 0 0,0 0 0,1 0 0,-1-1 0,1 1 0,-1 0 0,0 0 0,1 0 0,-1-1 0,0 1 0,1 0 0,-1 0 0,0-1 0,1 1 0,-1 0 0,0-1 0,0 1 0,1 0 0,-1-1 0,0 1 0,0-1 0,0 1 0,0 0 0,0-1 0,1 1 0,-1-1 0,0 1 0,0-1 0,8-25 0,-4-9 0,-1 0 0,-2-44 0,-1 69 0,1 0 132,2 9 56,5 13-880,-5-7-301,5 8-5833</inkml:trace>
  <inkml:trace contextRef="#ctx0" brushRef="#br0" timeOffset="2">424 260 24575,'0'0'0,"0"0"0,0 1 0,0-1 0,0 0 0,0 1 0,1-1 0,-1 0 0,0 1 0,0-1 0,0 0 0,0 0 0,1 1 0,-1-1 0,0 0 0,0 0 0,1 1 0,-1-1 0,0 0 0,0 0 0,1 0 0,-1 1 0,0-1 0,1 0 0,-1 0 0,0 0 0,0 0 0,1 0 0,-1 0 0,0 0 0,1 1 0,-1-1 0,0 0 0,1 0 0,-1 0 0,0 0 0,1-1 0,-1 1 0,0 0 0,1 0 0,-1 0 0,0 0 0,1 0 0,-1 0 0,0 0 0,1-1 0,-1 1 0,0 0 0,1-1 0,16-8 0,-13 6 0,0 0 0,0-1 0,-1 0 0,1 0 0,-1 0 0,0 0 0,5-9 0,-7 11 0,0 1 0,-1 0 0,1-1 0,-1 1 0,1 0 0,-1-1 0,1 1 0,-1 0 0,0-1 0,1 1 0,-1-1 0,0 1 0,0-1 0,0 1 0,0-1 0,0 1 0,-1-1 0,1 1 0,0 0 0,-1-1 0,1 1 0,-1-1 0,1 1 0,-1 0 0,0-1 0,1 1 0,-1 0 0,0 0 0,0 0 0,0 0 0,0 0 0,-2-2 0,2 2 0,0 1 0,0-1 0,0 1 0,0-1 0,0 1 0,0 0 0,0-1 0,0 1 0,0 0 0,0 0 0,0 0 0,0 0 0,0 0 0,0 0 0,0 0 0,0 0 0,0 0 0,0 1 0,0-1 0,0 0 0,0 0 0,0 1 0,0-1 0,0 1 0,0-1 0,0 1 0,0 0 0,0-1 0,1 1 0,-1 0 0,0-1 0,0 1 0,0 1 0,-3 2 0,1 1 0,0-1 0,0 0 0,0 1 0,-3 7 0,3-4 0,0 0 0,0 0 0,0 1 0,1-1 0,1 0 0,0 1 0,0-1 0,0 1 0,1 10 0,0-16 0,1-1 0,-1 0 0,1 1 0,-1-1 0,1 1 0,0-1 0,0 0 0,0 1 0,0-1 0,0 0 0,0 0 0,1 0 0,-1 0 0,1 0 0,-1 0 0,1 0 0,0 0 0,0-1 0,0 1 0,0-1 0,0 1 0,0-1 0,0 0 0,0 0 0,1 0 0,-1 0 0,0 0 0,1-1 0,-1 1 0,1-1 0,-1 1 0,1-1 0,-1 0 0,1 0 0,-1 0 0,3 0 0,4-1 0,0 0 0,0 0 0,0 0 0,0-1 0,0-1 0,-1 1 0,1-2 0,-1 1 0,0-1 0,0 0 0,0-1 0,-1 1 0,1-2 0,-1 1 0,0-1 0,-1 0 0,1-1 0,-1 1 0,0-1 0,-1 0 0,0-1 0,0 1 0,-1-1 0,1 0 0,-2 0 0,4-10 0,6-8 0,-13 25 0,0 1 0,1 0 0,-1-1 0,0 1 0,1 0 0,-1-1 0,0 1 0,1 0 0,-1 0 0,0 0 0,1-1 0,-1 1 0,1 0 0,-1 0 0,0 0 0,1 0 0,-1 0 0,1-1 0,-1 1 0,1 0 0,-1 0 0,1 0 0,0 1 0,0-1 0,0 1 0,-1-1 0,1 0 0,0 1 0,-1-1 0,1 1 0,0 0 0,-1-1 0,1 1 0,0-1 0,-1 1 0,1 0 0,-1 0 0,1-1 0,-1 2 0,6 9 0,-2 0 0,0 0 0,0 0 0,4 20 0,4 39 0,-10-61 0,-2-26 0,1 1 0,0 0 0,2-1 0,4-18 0,-5 29 0,-1 0 0,1 1 0,0-1 0,0 1 0,1 0 0,-1-1 0,1 1 0,0 0 0,1 1 0,-1-1 0,1 1 0,0-1 0,0 1 0,0 0 0,8-5 0,5 3-1365,-3 7-5461</inkml:trace>
  <inkml:trace contextRef="#ctx0" brushRef="#br0" timeOffset="3">946 203 24575,'-1'-1'0,"0"0"0,0 0 0,-1 0 0,1 0 0,0 0 0,-1 0 0,1 1 0,-1-1 0,1 0 0,-1 1 0,0-1 0,1 1 0,-1 0 0,1-1 0,-1 1 0,0 0 0,1 0 0,-1 0 0,0 0 0,1 0 0,-1 0 0,0 1 0,1-1 0,-1 1 0,1-1 0,-1 1 0,1-1 0,-1 1 0,1 0 0,-1 0 0,1 0 0,-1 0 0,1 0 0,0 0 0,0 0 0,0 0 0,-2 2 0,-1 1 0,1 0 0,-1 0 0,1 1 0,0-1 0,1 1 0,-1-1 0,1 1 0,0 0 0,0 0 0,0 0 0,-1 7 0,3-11 0,0 0 0,0 1 0,0-1 0,0 0 0,0 0 0,0 0 0,0 0 0,1 0 0,-1 1 0,0-1 0,1 0 0,-1 0 0,1 0 0,-1 0 0,1 0 0,-1 0 0,1 0 0,0 0 0,-1 0 0,1 0 0,0-1 0,0 1 0,0 0 0,0 0 0,0-1 0,0 1 0,0-1 0,0 1 0,0 0 0,0-1 0,0 0 0,0 1 0,0-1 0,2 1 0,-2-1 0,1 0 0,-1 0 0,1 1 0,0-1 0,-1 0 0,1 0 0,-1 0 0,1-1 0,-1 1 0,1 0 0,-1-1 0,1 1 0,-1 0 0,0-1 0,1 0 0,-1 1 0,1-1 0,-1 0 0,0 0 0,0 0 0,0 0 0,1 0 0,-1 0 0,0 0 0,0 0 0,1-2 0,0-3 0,1 0 0,-2 0 0,1-1 0,-1 1 0,0 0 0,0-1 0,-1 1 0,1-1 0,-3-12 0,2 17 0,0 6 0,0 1 0,0-1 0,0 0 0,0 0 0,1 1 0,0-1 0,-1 0 0,1 0 0,1 1 0,-1-1 0,1 0 0,-1 0 0,1 0 0,0-1 0,1 1 0,-1 0 0,1-1 0,4 5 0,-3-4 0,1-1 0,0-1 0,0 1 0,0-1 0,0 0 0,0 0 0,1 0 0,-1-1 0,0 1 0,1-1 0,-1-1 0,1 1 0,0-1 0,-1 0 0,1 0 0,-1-1 0,1 0 0,-1 0 0,1 0 0,-1 0 0,7-3 0,-9 3 0,1-1 0,-1 1 0,1-1 0,-1 1 0,0-1 0,1 0 0,-1 0 0,0-1 0,0 1 0,0-1 0,-1 1 0,1-1 0,-1 0 0,1 0 0,-1 0 0,0 0 0,0-1 0,-1 1 0,1 0 0,0-1 0,-1 0 0,0 1 0,0-1 0,0 1 0,-1-1 0,1 0 0,-1 0 0,1 0 0,-1 1 0,-1-1 0,0-6 0,1 9 0,0 0 0,0 0 0,0-1 0,0 1 0,0 0 0,0 0 0,-1 0 0,1 0 0,-1 0 0,1-1 0,0 1 0,-1 0 0,0 0 0,1 0 0,-1 0 0,0 0 0,1 1 0,-1-1 0,0 0 0,0 0 0,0 0 0,0 1 0,0-1 0,0 0 0,0 1 0,0-1 0,0 1 0,0-1 0,0 1 0,0 0 0,0-1 0,0 1 0,0 0 0,-1 0 0,1 0 0,0-1 0,0 1 0,0 1 0,-2-1 0,1 0 0,0 1 0,0 0 0,1 0 0,-1 0 0,0 0 0,0 0 0,1 0 0,-1 1 0,1-1 0,-1 1 0,1-1 0,0 1 0,-1-1 0,1 1 0,0 0 0,0-1 0,0 1 0,0 0 0,0 0 0,1 0 0,-1 0 0,0 3 0,1-3 0,-1 0 0,1 0 0,0 0 0,0 0 0,0 0 0,0 0 0,1 0 0,-1 0 0,0 0 0,1 0 0,-1 0 0,1 0 0,0 0 0,0 0 0,0-1 0,0 1 0,0 0 0,0-1 0,0 1 0,2 1 0,-2-2 0,-1-1 0,1 1 0,-1-1 0,1 1 0,0-1 0,-1 1 0,1-1 0,0 0 0,-1 1 0,1-1 0,0 0 0,-1 0 0,1 0 0,0 1 0,-1-1 0,1 0 0,0 0 0,0 0 0,-1 0 0,1 0 0,1-1 0,-1 1 0,1-1 0,-1 1 0,0-1 0,0 0 0,0 1 0,0-1 0,0 0 0,0 0 0,0 0 0,-1 0 0,1 0 0,0 0 0,0 0 0,-1 0 0,1 0 0,0 0 0,0-2 0,6-19 0,-4 15 0,1 27 0,19 128 0,4 250 0,-27-387 0,0 0 0,0 0 0,-1 0 0,-1 0 0,0 0 0,-3 10 0,-4-8 0,9-13 0,0 0 0,-1 0 0,1 0 0,-1 0 0,1 0 0,0 0 0,-1 0 0,1 0 0,0 0 0,-1 0 0,1 0 0,-1 0 0,1 0 0,0 0 0,-1 0 0,1 0 0,0 0 0,-1 0 0,1 0 0,0-1 0,-1 1 0,1 0 0,-1-1 0,-1 0 0,1-1 0,-1 1 0,1-1 0,0 0 0,-1 0 0,1 1 0,0-1 0,0 0 0,0 0 0,-1-3 0,-3-13-171,1 0 0,0 0-1,2 0 1,-2-34 0,4 43-338,-3-43-6317</inkml:trace>
  <inkml:trace contextRef="#ctx0" brushRef="#br0" timeOffset="4">1264 281 24575,'0'0'0,"0"1"0,1-1 0,-1 1 0,1-1 0,0 1 0,-1-1 0,1 0 0,-1 1 0,1-1 0,0 0 0,-1 0 0,1 1 0,-1-1 0,1 0 0,0 0 0,-1 0 0,1 0 0,0 0 0,0 0 0,-1 0 0,1 0 0,1 0 0,16-1 0,-15 0 0,0 0 0,-1 0 0,1-1 0,-1 1 0,1-1 0,-1 1 0,0-1 0,0 0 0,0 0 0,0 0 0,0 0 0,0 0 0,0-1 0,-1 1 0,1-1 0,-1 1 0,1-1 0,-1 1 0,0-1 0,1-3 0,-2 4 0,1 0 0,0-1 0,-1 1 0,1 0 0,-1 0 0,0 0 0,0 0 0,0-1 0,0 1 0,0 0 0,-1 0 0,1 0 0,0 0 0,-1 0 0,0-1 0,1 1 0,-1 0 0,0 0 0,0 0 0,0 1 0,0-1 0,-1 0 0,1 0 0,0 1 0,-1-1 0,1 0 0,-3-1 0,3 3 0,0-1 0,0 1 0,1-1 0,-1 1 0,0-1 0,0 1 0,0 0 0,0-1 0,0 1 0,0 0 0,0 0 0,0 0 0,0-1 0,0 1 0,0 0 0,0 1 0,0-1 0,0 0 0,0 0 0,1 0 0,-1 0 0,-2 1 0,1 0 0,0 1 0,0-1 0,0 0 0,0 1 0,0-1 0,1 1 0,-1-1 0,0 1 0,-1 2 0,-1 2 0,0 0 0,0 0 0,1 0 0,0 1 0,-3 9 0,5-15 9,0 1-1,1 0 0,-1 0 1,1 0-1,-1 0 0,1-1 1,-1 1-1,1 0 0,0 0 1,0 0-1,0 0 0,0 0 0,1 0 1,-1 0-1,0 0 0,1 0 1,-1-1-1,1 1 0,0 0 1,0 0-1,0-1 0,0 1 1,0 0-1,0-1 0,0 1 1,0-1-1,0 1 0,1-1 1,-1 1-1,1-1 0,-1 0 1,1 0-1,-1 0 0,1 0 1,0 0-1,-1 0 0,1 0 1,0-1-1,0 1 0,2 0 1,1 0-104,-1 0 0,0-1 0,1 0 0,-1 0 1,0 0-1,1 0 0,-1 0 0,0-1 0,1 0 0,-1 0 1,0 0-1,0 0 0,0-1 0,0 0 0,0 0 1,0 0-1,4-3 0,4-5-6731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425"/>
    </inkml:context>
    <inkml:brush xml:id="br0">
      <inkml:brushProperty name="width" value="0.025" units="cm"/>
      <inkml:brushProperty name="height" value="0.025" units="cm"/>
    </inkml:brush>
  </inkml:definitions>
  <inkml:trace contextRef="#ctx0" brushRef="#br0">92 466 24575,'3'-5'0,"1"1"0,0-1 0,-1 1 0,0-1 0,0 0 0,0 0 0,0-1 0,-1 1 0,0 0 0,0-1 0,-1 0 0,2-9 0,-2 12 0,-1 0 0,0 0 0,0 0 0,0 0 0,0 0 0,0 0 0,-1 0 0,1 1 0,-1-1 0,0 0 0,0 0 0,0 0 0,0 1 0,0-1 0,-1 0 0,1 1 0,-1-1 0,1 1 0,-1 0 0,0-1 0,0 1 0,0 0 0,-1 0 0,1 0 0,0 1 0,-4-3 0,5 3 0,0 1 0,-1-1 0,1 0 0,-1 1 0,1-1 0,-1 1 0,0-1 0,1 1 0,-1 0 0,1 0 0,-1-1 0,0 1 0,1 0 0,-1 1 0,1-1 0,-1 0 0,0 0 0,1 1 0,-4 0 0,3 0 0,-1 1 0,1-1 0,-1 1 0,1 0 0,0 0 0,0-1 0,0 1 0,0 1 0,0-1 0,-2 4 0,-1 2 0,0 0 0,1 0 0,0 0 0,1 1 0,-6 18 0,8-21 0,0 0 0,0 1 0,0-1 0,1 1 0,-1-1 0,2 1 0,-1 0 0,2 8 0,-2-14 0,1 1 0,-1-1 0,1 1 0,-1 0 0,1-1 0,0 1 0,0-1 0,-1 0 0,1 1 0,0-1 0,0 0 0,0 1 0,0-1 0,1 0 0,-1 0 0,0 0 0,0 0 0,1 0 0,-1 0 0,1 0 0,-1-1 0,1 1 0,-1 0 0,1-1 0,-1 1 0,1-1 0,-1 0 0,1 1 0,0-1 0,-1 0 0,1 0 0,0 0 0,-1 0 0,1 0 0,-1-1 0,1 1 0,0 0 0,1-1 0,0 0 0,1-1 0,-1 1 0,0 0 0,0-1 0,0 1 0,-1-1 0,1 0 0,0 0 0,-1 0 0,1-1 0,-1 1 0,1 0 0,-1-1 0,0 0 0,0 1 0,0-1 0,-1 0 0,1 0 0,-1 0 0,1 0 0,-1 0 0,0-1 0,0 1 0,0-6 0,2-6 0,-1-1 0,0 1 0,-1-31 0,-14-109 0,11 149 0,1 15 0,0 19 0,3-1 0,1 0 0,1-1 0,1 0 0,1 0 0,1 0 0,2-1 0,13 28 0,-19-47 57,0 0 0,1 0 0,0 0 0,0-1 0,8 8 0,-11-12-139,1 1 1,0-1 0,-1 1 0,1-1-1,0 0 1,0 0 0,-1 0-1,1 0 1,0 0 0,0 0 0,0 0-1,1-1 1,-1 1 0,0-1 0,0 1-1,0-1 1,0 0 0,0 0 0,1 0-1,2 0 1,9-5-6745</inkml:trace>
  <inkml:trace contextRef="#ctx0" brushRef="#br0" timeOffset="1">261 374 24575,'0'5'0,"0"4"0,0 0 0,0-1 0,3 13 0,-3-20 0,0 0 0,0-1 0,0 1 0,0 0 0,0 0 0,1 0 0,-1-1 0,0 1 0,0 0 0,1 0 0,-1 0 0,0-1 0,1 1 0,-1 0 0,1-1 0,-1 1 0,1 0 0,-1-1 0,1 1 0,-1 0 0,1-1 0,0 1 0,-1-1 0,1 1 0,0-1 0,0 0 0,-1 1 0,1-1 0,0 0 0,0 1 0,0-1 0,-1 0 0,1 0 0,0 0 0,0 0 0,0 0 0,-1 0 0,1 0 0,0 0 0,0 0 0,0 0 0,0 0 0,-1 0 0,1-1 0,2 1 0,-2-1 0,0 0 0,0 0 0,1 0 0,-1 0 0,0 0 0,0 0 0,0 0 0,0 0 0,0 0 0,0-1 0,-1 1 0,1 0 0,0-1 0,-1 1 0,1 0 0,0-1 0,-1 1 0,0-1 0,1 1 0,-1-1 0,0 1 0,0-1 0,0 1 0,0-1 0,0 1 0,0-1 0,-1-2 0,1 1 0,0 0 0,-1 0 0,0 0 0,0 0 0,0 0 0,0 1 0,0-1 0,0 0 0,-1 1 0,1-1 0,-1 1 0,0-1 0,-2-2 0,4 5 0,-1 0 0,1-1 0,-1 1 0,1 0 0,0 0 0,-1-1 0,1 1 0,-1 0 0,1 0 0,-1 0 0,0-1 0,1 1 0,-1 0 0,1 0 0,-1 0 0,1 0 0,-1 0 0,1 0 0,-1 0 0,1 0 0,-1 0 0,1 0 0,-1 1 0,1-1 0,-1 0 0,1 0 0,-1 0 0,1 1 0,-1-1 0,1 0 0,-1 1 0,1-1 0,-1 0 0,1 1 0,0-1 0,-1 0 0,1 1 0,0-1 0,-1 1 0,1-1 0,0 1 0,-1-1 0,1 1 0,0-1 0,0 1 0,0-1 0,0 1 0,-1 0 0,-8 28 0,8-24 0,0-1 0,1 1 0,-1-1 0,1 1 0,0-1 0,0 1 0,1 0 0,-1-1 0,1 1 0,0-1 0,0 1 0,0-1 0,1 0 0,0 1 0,-1-1 0,6 7 0,-5-9 0,0 1 0,0-1 0,0 0 0,1 1 0,-1-1 0,1 0 0,0-1 0,0 1 0,-1 0 0,1-1 0,0 0 0,0 0 0,0 0 0,1 0 0,-1 0 0,0 0 0,0-1 0,0 1 0,1-1 0,-1 0 0,0 0 0,0 0 0,1-1 0,4 0 0,-1-1 0,0 0 0,-1 0 0,1 0 0,-1-1 0,0 0 0,1 0 0,-1 0 0,-1-1 0,1 0 0,0 0 0,-1 0 0,0-1 0,0 0 0,0 0 0,-1 0 0,0-1 0,0 1 0,0-1 0,-1 0 0,1 0 0,3-13 0,-2 8 0,-2-1 0,1 1 0,-2-1 0,1 0 0,-2 0 0,0-1 0,0 1 0,-1 0 0,0 0 0,-1 0 0,-4-18 0,-2 9 0,7 21 0,0 0 0,0 0 0,0 0 0,0-1 0,0 1 0,0 0 0,0 0 0,0 0 0,0 0 0,0 0 0,-1 0 0,1-1 0,0 1 0,0 0 0,0 0 0,0 0 0,0 0 0,0 0 0,0 0 0,0 0 0,-1 0 0,1 0 0,0-1 0,0 1 0,0 0 0,0 0 0,0 0 0,-1 0 0,1 0 0,0 0 0,0 0 0,0 0 0,0 0 0,0 0 0,-1 0 0,1 0 0,0 0 0,0 0 0,0 0 0,0 0 0,0 0 0,-1 0 0,1 1 0,0-1 0,0 0 0,0 0 0,0 0 0,0 0 0,0 0 0,0 0 0,-1 0 0,1 0 0,0 1 0,-5 10 0,0 16 0,4-15 0,1 0 0,0 0 0,0 0 0,1 0 0,5 21 0,-5-29 0,1 0 0,-1 0 0,1 0 0,0 0 0,0 0 0,0 0 0,0 0 0,5 5 0,-6-7 0,1 0 0,0-1 0,-1 1 0,1-1 0,0 0 0,0 1 0,0-1 0,0 0 0,0 0 0,0 0 0,0 0 0,1-1 0,-1 1 0,0-1 0,0 1 0,1-1 0,2 1 0,-3-1 0,0 0 0,0-1 0,-1 1 0,1 0 0,0 0 0,0-1 0,-1 1 0,1-1 0,0 1 0,-1-1 0,1 0 0,-1 0 0,1 1 0,-1-1 0,1 0 0,-1-1 0,0 1 0,1 0 0,0-2 0,0 1 0,0-1 0,0 0 0,0 0 0,0-1 0,-1 1 0,0 0 0,1 0 0,0-8 0,1-3 0,-2 0 0,0 0 0,-1-23 0,0 33 0,37 87 0,-26-58-1365,0-2-5461</inkml:trace>
  <inkml:trace contextRef="#ctx0" brushRef="#br0" timeOffset="2">600 162 24575,'0'1'0,"0"3"0,0 2 0,1 5 0,0 2 0,1 3 0,-1-3-8191</inkml:trace>
  <inkml:trace contextRef="#ctx0" brushRef="#br0" timeOffset="3">684 275 24575,'3'0'0,"-1"1"0,0-1 0,0 1 0,0-1 0,0 1 0,0 0 0,0-1 0,0 1 0,0 0 0,0 1 0,0-1 0,0 0 0,-1 0 0,1 1 0,0-1 0,-1 1 0,1 0 0,-1-1 0,0 1 0,1 0 0,-1 0 0,0 0 0,0 0 0,1 4 0,0-4 0,-1 1 0,1 0 0,0 0 0,0 0 0,0-1 0,0 1 0,0-1 0,5 4 0,-6-6 0,-1 0 0,0 0 0,1-1 0,-1 1 0,1 0 0,-1 0 0,0-1 0,1 1 0,-1-1 0,0 1 0,0 0 0,1-1 0,-1 1 0,0 0 0,0-1 0,0 1 0,1-1 0,-1 1 0,0-1 0,0 1 0,0 0 0,0-1 0,0 1 0,0-1 0,0 1 0,0-1 0,0 1 0,0-1 0,0 1 0,0-1 0,0 0 0,0-18 0,0 19 0,0-15 0,-1 11 0,1-1 0,0 1 0,0-1 0,0 1 0,0 0 0,1-1 0,-1 1 0,1 0 0,0 0 0,1-1 0,1-4 0,-2 9-36,-1 0 0,0-1 0,0 1 1,0 0-1,1-1 0,-1 1 0,0 0 0,1-1 0,-1 1 0,0 0 0,1 0 0,-1-1 0,0 1 0,1 0 0,-1 0 0,0 0 0,1 0 1,-1 0-1,1-1 0,-1 1 0,0 0 0,1 0 0,-1 0 0,1 0 0,-1 0 0,0 0 0,1 0 0,-1 0 0,1 0 0,-1 0 0,0 1 1,1-1-1,-1 0 0,0 0 0,1 0 0,-1 0 0,1 1 0,6 4-6790</inkml:trace>
  <inkml:trace contextRef="#ctx0" brushRef="#br0" timeOffset="4">854 282 24575,'2'-1'0,"0"1"0,1-1 0,-1 0 0,0 0 0,0 0 0,0 0 0,0 0 0,1-1 0,-1 1 0,-1-1 0,1 1 0,0-1 0,0 0 0,2-3 0,-3 4 0,0 0 0,0 0 0,0 0 0,0-1 0,0 1 0,0 0 0,0-1 0,0 1 0,-1 0 0,1-1 0,0 1 0,-1-1 0,1 1 0,-1-1 0,0 1 0,0-1 0,1 0 0,-1 1 0,0-1 0,0 1 0,0-1 0,-1-2 0,0 3 0,1 1 0,0-1 0,-1 1 0,1-1 0,-1 1 0,0-1 0,1 1 0,-1-1 0,1 1 0,-1 0 0,0-1 0,1 1 0,-1 0 0,0-1 0,1 1 0,-1 0 0,0 0 0,0 0 0,1 0 0,-1 0 0,0 0 0,1 0 0,-1 0 0,0 0 0,0 0 0,1 0 0,-1 0 0,0 0 0,1 1 0,-1-1 0,0 0 0,1 0 0,-1 1 0,0-1 0,1 0 0,-1 1 0,0-1 0,1 1 0,-1-1 0,1 1 0,-1 0 0,-2 1 0,1 0 0,0 0 0,-1 0 0,1 0 0,0 0 0,0 1 0,1-1 0,-4 6 0,4-7 0,1 0 0,-1 0 0,1 1 0,0-1 0,-1 0 0,1 0 0,0 0 0,0 1 0,0-1 0,0 0 0,0 0 0,0 1 0,0-1 0,0 0 0,0 0 0,0 1 0,1-1 0,-1 0 0,1 0 0,-1 0 0,1 1 0,-1-1 0,1 0 0,-1 0 0,1 0 0,0 0 0,0 0 0,0 0 0,0 0 0,0 0 0,-1-1 0,1 1 0,1 0 0,-1-1 0,0 1 0,0 0 0,0-1 0,0 1 0,0-1 0,1 0 0,0 1 0,2 0 0,0 0 0,0 0 0,0-1 0,0 1 0,0-1 0,0 0 0,0 0 0,0 0 0,0-1 0,0 0 0,8-2 0,-8 2 0,0-1 0,-1 0 0,1 0 0,0-1 0,0 1 0,-1-1 0,0 0 0,1 0 0,-1 0 0,0 0 0,0 0 0,-1-1 0,1 1 0,-1-1 0,0 0 0,0 0 0,0 0 0,0 0 0,-1 0 0,1 0 0,-1 0 0,0-1 0,-1 1 0,1-6 0,-1 9 0,0-1 0,1 1 0,-1 0 0,0 0 0,0-1 0,1 1 0,-1 0 0,0 0 0,1 0 0,-1-1 0,1 1 0,-1 0 0,1 0 0,0 0 0,0 0 0,-1 0 0,1 0 0,0 0 0,1-1 0,-1 2 0,0 0 0,0 0 0,0 1 0,0-1 0,0 0 0,0 0 0,0 1 0,0-1 0,0 0 0,-1 1 0,1-1 0,0 1 0,0-1 0,0 1 0,-1-1 0,1 1 0,0 0 0,-1-1 0,1 1 0,0 0 0,-1 0 0,1 0 0,-1-1 0,1 1 0,-1 0 0,0 0 0,1 0 0,-1 1 0,11 18 0,-2 1 0,0 0 0,-2 1 0,0 0 0,4 27 0,-8-36 0,-5-18 0,-3-23 0,4 14 0,0 0 0,1 1 0,0-1 0,1 0 0,3-14 0,-3 25 0,0-1 0,-1 0 0,1 1 0,1-1 0,-1 1 0,1 0 0,-1-1 0,1 1 0,0 0 0,0 0 0,0 0 0,0 0 0,1 1 0,-1-1 0,1 1 0,0-1 0,0 1 0,0 0 0,0 0 0,0 0 0,0 0 0,0 0 0,1 1 0,3-2 0,-6 3 0,1-1 0,-1 1 0,0 0 0,0-1 0,0 1 0,0 0 0,0 0 0,0 0 0,0 0 0,0 0 0,1 0 0,-1 0 0,0 0 0,2 1 0,-4 9 0,1-8 0,-1 0 0,1 0 0,-1 0 0,1 0 0,0 0 0,0 0 0,0 0 0,0 0 0,0 0 0,0 0 0,1 0 0,0 3 0,-1-4 0,1 1 0,-1-1 0,1 1 0,0-1 0,0 1 0,0-1 0,-1 0 0,1 1 0,1-1 0,-1 0 0,0 0 0,0 0 0,0 0 0,1 0 0,-1 0 0,0 0 0,1 0 0,-1 0 0,1-1 0,-1 1 0,1-1 0,-1 1 0,1-1 0,-1 1 0,1-1 0,0 0 0,-1 0 0,1 0 0,-1 0 0,1 0 0,0 0 0,-1 0 0,1-1 0,-1 1 0,1 0 0,0-1 0,1 0 0,0 0 0,1-1 0,-1 1 0,0-1 0,0 1 0,0-1 0,0 0 0,0 0 0,0 0 0,0-1 0,-1 1 0,1-1 0,-1 1 0,1-1 0,-1 0 0,0 0 0,2-3 0,0-6 0,-1 5 0,-3 23 0,2 39 0,2 0 0,18 91 0,39 105 0,-51-211 0,-3-13 0,-7-27 0,0 0 0,0 0 0,0 0 0,0 0 0,0 0 0,0 1 0,0-1 0,0 0 0,0 0 0,1 0 0,-1 0 0,0 0 0,0 0 0,0 1 0,0-1 0,0 0 0,0 0 0,0 0 0,0 0 0,0 0 0,0 1 0,0-1 0,0 0 0,0 0 0,0 0 0,0 0 0,0 0 0,0 1 0,-1-1 0,1 0 0,0 0 0,0 0 0,0 0 0,0 0 0,0 0 0,0 1 0,0-1 0,0 0 0,0 0 0,0 0 0,-1 0 0,1 0 0,0 0 0,0 0 0,0 0 0,0 0 0,0 0 0,-1 1 0,1-1 0,0 0 0,-7-8 0,-6-14 0,5 3-170,1 0-1,1-1 0,1 1 1,1-1-1,0 0 0,2-1 1,-1-21-1,3-6-6655</inkml:trace>
  <inkml:trace contextRef="#ctx0" brushRef="#br0" timeOffset="5">1559 247 24575,'0'-3'0,"0"0"0,0 1 0,0-1 0,-1 0 0,1 1 0,-1-1 0,0 0 0,0 1 0,0-1 0,0 1 0,0 0 0,0-1 0,-1 1 0,1 0 0,-1 0 0,0-1 0,1 1 0,-3-1 0,2 2 0,1 0 0,0 1 0,0-1 0,0 0 0,-1 1 0,1-1 0,0 1 0,0 0 0,-1-1 0,1 1 0,0 0 0,-1 0 0,1 0 0,0 0 0,-1 0 0,1 0 0,0 0 0,-1 1 0,1-1 0,0 0 0,-1 1 0,1-1 0,0 1 0,0-1 0,0 1 0,-1 0 0,1-1 0,0 1 0,0 0 0,0 0 0,0 0 0,0 0 0,0 0 0,1 0 0,-1 0 0,-1 2 0,-3 4 0,0 0 0,0 1 0,1-1 0,0 1 0,1 0 0,0 0 0,-3 12 0,4-14 0,1-1 0,0 0 0,0 0 0,0 0 0,1 1 0,-1-1 0,1 0 0,1 0 0,-1 1 0,1-1 0,0 0 0,0 0 0,3 8 0,-4-12 0,1 1 0,-1-1 0,1 0 0,-1 0 0,1 1 0,0-1 0,-1 0 0,1 0 0,0 0 0,0 0 0,0 0 0,0 0 0,0 0 0,0 0 0,0 0 0,0-1 0,0 1 0,0 0 0,0-1 0,0 1 0,1 0 0,-1-1 0,0 0 0,0 1 0,1-1 0,-1 0 0,0 1 0,1-1 0,-1 0 0,0 0 0,1 0 0,-1 0 0,0-1 0,1 1 0,-1 0 0,0 0 0,1-1 0,-1 1 0,0-1 0,0 1 0,3-2 0,-1 0 0,-1 0 0,1-1 0,0 1 0,-1-1 0,1 1 0,-1-1 0,0 0 0,0 0 0,0 0 0,0 0 0,-1 0 0,1-1 0,-1 1 0,2-7 0,1-16 0,-1 1 0,-1-2 0,-3-45 0,0 48 0,1 18 0,0-15 0,0 1 0,-2 0 0,0 0 0,-2 0 0,-6-22 0,10 42 0,0-1 0,0 1 0,0-1 0,0 1 0,0-1 0,0 1 0,0-1 0,-1 1 0,1-1 0,0 1 0,0 0 0,-1-1 0,1 1 0,0 0 0,0-1 0,-1 1 0,1 0 0,0-1 0,-1 1 0,1 0 0,0-1 0,-1 1 0,1 0 0,-1 0 0,0-1 0,-4 10 0,1 20 0,4-10-114,0-1 1,2 1-1,0-1 0,1 0 0,1 0 1,0 0-1,2 0 0,0-1 0,1 0 1,0 0-1,16 24 0,-8-21-6712</inkml:trace>
  <inkml:trace contextRef="#ctx0" brushRef="#br0" timeOffset="6">1743 169 24575,'0'-1'0,"0"0"0,0 0 0,0 0 0,0 0 0,-1 0 0,1 0 0,0 0 0,0 0 0,-1 0 0,1 0 0,-1 0 0,1 0 0,-1 0 0,1 0 0,-1 0 0,1 0 0,-1 0 0,0 1 0,1-1 0,-1 0 0,0 0 0,0 1 0,0-1 0,0 0 0,0 1 0,1-1 0,-1 1 0,0 0 0,0-1 0,0 1 0,0 0 0,0-1 0,0 1 0,-1 0 0,1 0 0,0 0 0,0 0 0,0 0 0,0 0 0,0 0 0,0 0 0,0 0 0,-1 1 0,-2 0 0,1-1 0,0 1 0,-1 0 0,1 0 0,0 0 0,0 1 0,0-1 0,0 1 0,0 0 0,0-1 0,0 1 0,-3 4 0,3-1 0,0-1 0,0 1 0,0 0 0,1 0 0,0 0 0,0 0 0,0 0 0,1 0 0,-1 1 0,1-1 0,1 0 0,-1 10 0,1-13 0,-1 1 0,1-1 0,0 0 0,1 0 0,-1 0 0,0 1 0,1-1 0,-1 0 0,1 0 0,-1 0 0,1 0 0,0 0 0,0 0 0,0 0 0,0 0 0,0 0 0,1-1 0,-1 1 0,0 0 0,1-1 0,0 1 0,-1-1 0,1 1 0,0-1 0,0 0 0,-1 0 0,1 0 0,0 0 0,0 0 0,0 0 0,0 0 0,0-1 0,4 2 0,-4-2 0,0 0 0,0 0 0,-1 0 0,1 0 0,0 0 0,0-1 0,0 1 0,-1 0 0,1-1 0,0 1 0,-1-1 0,1 0 0,0 1 0,-1-1 0,1 0 0,-1 0 0,1 0 0,-1 0 0,0 0 0,1-1 0,-1 1 0,0 0 0,0-1 0,0 1 0,0 0 0,0-1 0,0 1 0,1-4 0,1-2 0,0-1 0,-1 1 0,1-1 0,1-13 0,-2 8 0,-2 12 0,0 1 0,0 0 0,0 0 0,0 0 0,0 0 0,0 0 0,0 0 0,0 0 0,0 0 0,0 0 0,0 0 0,0-1 0,0 1 0,0 0 0,0 0 0,0 0 0,0 0 0,0 0 0,0 0 0,0 0 0,0 0 0,0 0 0,0 0 0,0 0 0,0-1 0,0 1 0,0 0 0,0 0 0,1 0 0,-1 0 0,0 0 0,0 0 0,0 0 0,0 0 0,0 0 0,0 0 0,0 0 0,0 0 0,0 0 0,0 0 0,0 0 0,1 0 0,-1 0 0,0 0 0,0 0 0,0 0 0,0 0 0,0 0 0,0 0 0,0 0 0,0 0 0,0 0 0,0 0 0,0 0 0,1 0 0,-1 0 0,0 0 0,0 0 0,0 0 0,0 0 0,0 0 0,0 0 0,0 0 0,0 0 0,1 2 0,0-1 0,1 0 0,-1 1 0,0-1 0,0 0 0,1 0 0,-1 0 0,1 0 0,-1 0 0,1 0 0,-1-1 0,1 1 0,0 0 0,-1-1 0,1 1 0,0-1 0,-1 1 0,1-1 0,0 0 0,0 0 0,-1 0 0,1 0 0,0 0 0,-1 0 0,1-1 0,0 1 0,0 0 0,1-2 0,0 1 0,0 0 0,-1 0 0,1-1 0,-1 1 0,1-1 0,-1 0 0,0 1 0,1-1 0,-1 0 0,0 0 0,0-1 0,-1 1 0,1 0 0,0-1 0,2-4 0,-2 12 0,1-1 0,1 1 0,-1-1 0,1 0 0,7 7 0,-9-9 0,0 1 0,1-1 0,-1 0 0,1 0 0,-1 0 0,1 0 0,0-1 0,-1 1 0,1-1 0,0 1 0,0-1 0,0 0 0,1 0 0,-1 0 0,0-1 0,6 1 0,-7-1 0,-1-1 0,0 1 0,1 0 0,-1-1 0,0 0 0,1 1 0,-1-1 0,0 0 0,0 0 0,0 1 0,0-1 0,0 0 0,0 0 0,0 0 0,0 0 0,0-1 0,0 1 0,0 0 0,-1 0 0,1 0 0,0-1 0,-1 1 0,1 0 0,0-3 0,0-3 0,1 0 0,-1 0 0,0-13 0,1 0 0,-2 20 0,0 0 0,0 0 0,0 0 0,0 1 0,0-1 0,0 0 0,0 0 0,0 0 0,0 0 0,1 0 0,-1 0 0,0 0 0,0 0 0,0 0 0,0 0 0,0 0 0,0 0 0,0 0 0,0 0 0,0 0 0,0 0 0,1 0 0,-1 0 0,0 0 0,0 0 0,0 0 0,0 0 0,0 0 0,0 0 0,0 0 0,0 0 0,0 0 0,1 0 0,-1 0 0,0 0 0,0 0 0,0 0 0,0 0 0,0 0 0,0 0 0,0 0 0,0 0 0,0-1 0,0 1 0,0 0 0,0 0 0,0 0 0,0 0 0,0 0 0,1 0 0,-1 0 0,0 0 0,0 0 0,0 0 0,0 0 0,0-1 0,0 1 0,0 0 0,0 0 0,0 0 0,5 13 0,5 22 0,4 30 0,9 123 0,-23-181 0,0-1 0,0 0 0,-1 0 0,1 0 0,-2 0 0,-1 6 0,3-11 0,0 0 0,0-1 0,-1 1 0,1 0 0,0 0 0,-1-1 0,1 1 0,-1 0 0,1-1 0,-1 1 0,1 0 0,-1-1 0,1 1 0,-1-1 0,0 1 0,1-1 0,-1 1 0,0-1 0,1 0 0,-1 1 0,-1-1 0,1 0 0,0 0 0,0 0 0,0 0 0,0 0 0,0-1 0,0 1 0,0 0 0,0-1 0,0 1 0,-1-1 0,2 1 0,-1-1 0,0 0 0,0 1 0,0-1 0,0 0 0,0 1 0,0-1 0,1 0 0,-2-1 0,-2-3 0,0-1 0,0 0 0,1 0 0,-1 0 0,1 0 0,1 0 0,-1-1 0,1 1 0,0-1 0,1 0 0,-1 0 0,1 1 0,1-1 0,-1-8 0,1-6 0,1-1 0,1 1 0,6-28 0,-4 27 0,1 0 0,1 1 0,1 0 0,1 0 0,1 1 0,0 0 0,2 0 0,0 1 0,1 0 0,20-22 0,-17 29 0,-14 12 0,-1 0 0,0-1 0,0 1 0,1 0 0,-1 0 0,0 0 0,0 0 0,0 0 0,1 0 0,-1 0 0,0 0 0,0 0 0,1 0 0,-1 0 0,0 0 0,0 1 0,1-1 0,-1 0 0,0 0 0,0 0 0,0 0 0,1 0 0,-1 0 0,0 0 0,0 1 0,0-1 0,1 0 0,-1 0 0,0 0 0,0 0 0,0 1 0,0-1 0,0 0 0,1 0 0,-1 0 0,0 1 0,1 3 0,-1 0 0,1 0 0,-1-1 0,0 1 0,0 0 0,0 6 0,0 16 0,2-22 0,-1 0 0,1-1 0,0 1 0,0-1 0,0 1 0,1-1 0,-1 0 0,1 0 0,0 0 0,0 0 0,0 0 0,7 4 0,-6-4 0,0 0 0,0 1 0,0 0 0,0 0 0,0 0 0,-1 0 0,4 7 0,-6-9 10,0 0-1,0 0 1,0 0-1,0 1 1,-1-1-1,1 0 1,-1 0-1,0 1 1,1-1-1,-1 0 1,0 1-1,-1-1 1,1 0-1,0 0 0,0 1 1,-1-1-1,0 0 1,1 0-1,-1 1 1,0-1-1,0 0 1,0 0-1,0 0 1,0 0-1,-1 0 1,1-1-1,-1 1 1,1 0-1,-1-1 1,0 1-1,1-1 1,-1 1-1,0-1 1,0 0-1,-3 2 1,-4 2-224,1-1 1,-1 0 0,0 0-1,0-1 1,0 0 0,0-1-1,-13 2 1,2-2-6613</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432"/>
    </inkml:context>
    <inkml:brush xml:id="br0">
      <inkml:brushProperty name="width" value="0.025" units="cm"/>
      <inkml:brushProperty name="height" value="0.025" units="cm"/>
    </inkml:brush>
  </inkml:definitions>
  <inkml:trace contextRef="#ctx0" brushRef="#br0">1 0 24575,'8'4'0,"1"0"0,0-1 0,0 1 0,0-2 0,0 0 0,0 0 0,1 0 0,16-1 0,-13 1 0,319 14 0,-243-13 0,915 11-2035,62 3-177,1073 110 55,-1840-97 1607,-202-15 1025,-104-16-180,-1-1-1,0 0 1,0 0-1,1-1 1,-1 0-1,1 0 1,0-1-1,0 0 1,0 0-1,0-1 1,1 1-1,0-1 1,0-1-1,0 1 1,1-1-1,-1 0 1,2-1-1,-1 1 1,0-1-1,1 0 1,-4-8-1,4 5-294,-16-28 0,19 36 0,0 1 0,0 0 0,0-1 0,0 1 0,0 0 0,-1 0 0,1 0 0,0 0 0,0 0 0,-1 0 0,1 0 0,-1 0 0,1 0 0,-1 1 0,1-1 0,-1 1 0,1-1 0,-1 1 0,1 0 0,-1-1 0,0 1 0,-2 0 0,4 0 0,0 0 0,0 0 0,0 0 0,-1 0 0,1 0 0,0 0 0,0 0 0,0 0 0,0 0 0,-1 0 0,1 0 0,0 0 0,0 0 0,0 0 0,-1 0 0,1 0 0,0 0 0,0 0 0,0 0 0,0 0 0,-1 1 0,1-1 0,0 0 0,0 0 0,0 0 0,0 0 0,0 0 0,0 0 0,-1 1 0,1-1 0,0 0 0,0 0 0,0 0 0,0 0 0,0 1 0,0-1 0,0 0 0,0 0 0,0 0 0,0 0 0,0 1 0,0-1 0,0 0 0,0 1 0,7 7 0,13 5 0,3-3 0,-4-1 0,0 1 0,27 17 0,-41-24 0,-1 1 0,1-1 0,-1 1 0,0 0 0,-1 0 0,1 0 0,-1 0 0,1 1 0,-1 0 0,-1-1 0,1 1 0,-1 0 0,1 0 0,2 10 0,-5-10 22,0-1-1,0 1 0,0-1 1,0 1-1,-1-1 0,1 0 1,-1 1-1,0-1 0,0 0 1,-1 1-1,0-1 0,1 0 1,-1 0-1,0 0 0,-4 5 1,-1 1-364,-1 0 1,0 0 0,0-1-1,-12 11 1,6-8-6485</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433"/>
    </inkml:context>
    <inkml:brush xml:id="br0">
      <inkml:brushProperty name="width" value="0.025" units="cm"/>
      <inkml:brushProperty name="height" value="0.025" units="cm"/>
    </inkml:brush>
  </inkml:definitions>
  <inkml:trace contextRef="#ctx0" brushRef="#br0">1 130 24575,'36'5'0,"10"-5"0,0-1 0,0-2 0,66-13 0,132-42 0,-222 52 0,-11 4 0,1-1 0,-1 0 0,-1-1 0,1 0 0,0-1 0,15-9 0,-26 14 0,0 0 0,1-1 0,-1 1 0,0 0 0,1 0 0,-1 0 0,0 0 0,0-1 0,1 1 0,-1 0 0,0 0 0,0-1 0,1 1 0,-1 0 0,0 0 0,0-1 0,0 1 0,0 0 0,0 0 0,1-1 0,-1 1 0,0 0 0,0-1 0,0 1 0,0 0 0,0-1 0,0 1 0,0 0 0,0-1 0,0 1 0,0 0 0,0-1 0,-9-4 0,-17 3 0,-46 3 0,0 3 0,1 3 0,-89 21 0,145-23 0,24-4 0,26-2 0,-4-1 0,0-2 0,0-2 0,-1 0 0,34-12 0,-58 14 171,-9 3 0,-12 2-1878,2 0-5119</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434"/>
    </inkml:context>
    <inkml:brush xml:id="br0">
      <inkml:brushProperty name="width" value="0.025" units="cm"/>
      <inkml:brushProperty name="height" value="0.025" units="cm"/>
    </inkml:brush>
  </inkml:definitions>
  <inkml:trace contextRef="#ctx0" brushRef="#br0">149 487 24575,'-7'-8'0,"-1"0"0,1 1 0,-2 0 0,1 1 0,-1-1 0,0 2 0,-10-6 0,17 11 0,1-1 0,-1 1 0,1 0 0,-1 0 0,1 0 0,-1 0 0,1 0 0,-1 0 0,1 0 0,-1 1 0,1-1 0,-1 0 0,1 1 0,-1 0 0,1-1 0,0 1 0,-1 0 0,1-1 0,0 1 0,0 0 0,-1 0 0,1 0 0,0 0 0,0 0 0,0 0 0,0 0 0,0 1 0,0-1 0,1 0 0,-1 1 0,0 0 0,-3 6 0,0 0 0,1 0 0,0 0 0,-3 10 0,3-4 0,0 1 0,1-1 0,0 0 0,1 1 0,1 0 0,0-1 0,3 17 0,-2-25 0,0 0 0,0 0 0,1 0 0,0-1 0,0 1 0,1 0 0,-1-1 0,7 10 0,-6-12 0,-1 0 0,0-1 0,1 1 0,0-1 0,-1 1 0,1-1 0,0 0 0,0 0 0,0 0 0,1-1 0,-1 1 0,0-1 0,1 1 0,-1-1 0,1 0 0,3 0 0,-2-1 0,1 0 0,0 0 0,-1 0 0,1-1 0,-1 1 0,1-2 0,-1 1 0,0 0 0,0-1 0,1 0 0,-1-1 0,0 1 0,0-1 0,-1 0 0,8-5 0,-2 0 0,0 0 0,-1 0 0,0-1 0,0 0 0,-1-1 0,7-10 0,-9 10 0,0-2 0,-1 1 0,0-1 0,-1 1 0,0-1 0,-1-1 0,0 1 0,-1 0 0,-1-1 0,1-13 0,-2-19 0,-7-63 0,6 96 0,1 11 0,-1-11 0,0 0 0,-1 0 0,0 0 0,-1 0 0,-5-16 0,1 20 0,2 10 0,-3 15 0,5 1 0,0 0 0,1-1 0,1 1 0,3 33 0,12 72 0,-12-107 0,-1-5 0,0 0 0,1-1 0,0 1 0,1-1 0,0 0 0,1 1 0,0-2 0,7 14 0,-10-22 0,-1 0 0,0-1 0,1 1 0,-1 0 0,1 0 0,-1-1 0,1 1 0,0-1 0,-1 1 0,1-1 0,0 1 0,-1-1 0,1 1 0,0-1 0,-1 1 0,1-1 0,0 0 0,0 1 0,0-1 0,-1 0 0,1 0 0,0 0 0,0 0 0,0 0 0,1 0 0,0 0 0,-1-1 0,0 1 0,0-1 0,1 1 0,-1-1 0,0 0 0,0 0 0,0 0 0,0 0 0,0 0 0,0 0 0,0 0 0,0 0 0,1-1 0,3-6 0,0-1 0,-1 1 0,6-14 0,-9 18 0,0 2 0,2-4 0,-1-1 0,2 1 0,6-12 0,-10 18 0,0 0 0,0 0 0,0 0 0,0-1 0,0 1 0,1 0 0,-1 0 0,0 0 0,0 0 0,0-1 0,0 1 0,0 0 0,1 0 0,-1 0 0,0 0 0,0 0 0,0 0 0,0-1 0,1 1 0,-1 0 0,0 0 0,0 0 0,0 0 0,1 0 0,-1 0 0,0 0 0,0 0 0,0 0 0,1 0 0,-1 0 0,0 0 0,0 0 0,0 0 0,1 0 0,-1 0 0,0 0 0,0 0 0,0 0 0,1 1 0,-1-1 0,0 0 0,0 0 0,0 0 0,0 0 0,1 0 0,-1 1 0,5 12 0,-2 16 0,-3-22 49,0 1 0,1-1 0,-1 0-1,2 1 1,-1-1 0,5 12 0,-5-17-100,0-1 1,0 1 0,0-1 0,0 1 0,0-1-1,0 0 1,0 1 0,0-1 0,0 0 0,1 0-1,-1 0 1,0 0 0,1 0 0,-1 0 0,1 0-1,-1 0 1,1-1 0,0 1 0,-1 0 0,1-1 0,0 0-1,-1 1 1,1-1 0,0 0 0,0 0 0,-1 0-1,1 0 1,0 0 0,0 0 0,-1 0 0,1-1-1,0 1 1,2-2 0,13-3-6776</inkml:trace>
  <inkml:trace contextRef="#ctx0" brushRef="#br0" timeOffset="1">545 466 24575,'-3'0'0,"0"1"0,0-1 0,0 1 0,1 0 0,-1 0 0,0 0 0,1 0 0,-1 0 0,1 1 0,-1-1 0,1 1 0,0 0 0,-1-1 0,1 1 0,0 0 0,0 1 0,0-1 0,1 0 0,-1 0 0,1 1 0,-3 3 0,2-2 0,0-1 0,1 0 0,-1 1 0,1-1 0,0 1 0,0-1 0,0 1 0,0-1 0,1 1 0,-1 0 0,1-1 0,0 1 0,0 0 0,0-1 0,1 1 0,1 5 0,-2-8 0,0 0 0,1 0 0,-1 0 0,1 0 0,-1 1 0,1-2 0,-1 1 0,1 0 0,0 0 0,-1 0 0,1 0 0,0 0 0,0 0 0,0-1 0,0 1 0,-1 0 0,1-1 0,0 1 0,0-1 0,0 1 0,1-1 0,-1 1 0,1-1 0,0 1 0,0-1 0,0 0 0,0 0 0,-1-1 0,1 1 0,0 0 0,0-1 0,-1 1 0,1-1 0,0 1 0,0-1 0,-1 0 0,3-1 0,0-1 0,-1 1 0,1 0 0,-1-1 0,0 0 0,0 0 0,0 0 0,0 0 0,-1 0 0,1 0 0,-1-1 0,0 0 0,3-6 0,1-42 0,-6 39 0,0 35 0,2 18 0,6-20 0,-7-20 0,-1 1 0,0-1 0,1 1 0,-1-1 0,1 0 0,-1 1 0,1-1 0,-1 1 0,0-1 0,1 0 0,0 0 0,-1 1 0,1-1 0,-1 0 0,1 0 0,-1 0 0,1 1 0,-1-1 0,1 0 0,0 0 0,-1 0 0,1 0 0,-1 0 0,1 0 0,0 0 0,-1-1 0,1 1 0,0 0 0,1-1 0,-1 1 0,0-1 0,0 0 0,-1 1 0,1-1 0,0 0 0,0 0 0,0 0 0,0 1 0,-1-1 0,1 0 0,0 0 0,-1 0 0,1 0 0,0 0 0,-1-1 0,0 1 0,1-1 0,7-26 0,-6 18 0,-1 4 0,1 0 0,0 1 0,0 0 0,0-1 0,1 1 0,0 0 0,0 0 0,4-5 0,-6 9 0,-1 1 0,1-1 0,0 0 0,0 0 0,0 1 0,-1-1 0,1 1 0,0-1 0,0 0 0,0 1 0,0 0 0,0-1 0,0 1 0,0 0 0,0-1 0,0 1 0,0 0 0,1 0 0,0 0 0,0 0 0,-1 1 0,1-1 0,-1 1 0,1 0 0,-1-1 0,1 1 0,-1 0 0,1 0 0,-1 0 0,0 0 0,0 0 0,1 0 0,-1 0 0,0 0 0,0 1 0,0-1 0,1 2 0,3 5 0,-1 1 0,1 0 0,-1 0 0,-1 0 0,0 0 0,0 0 0,-1 1 0,0 0 0,0-1 0,-1 11 0,-8-101 0,7 73-124,0-1 0,0 1 0,1-1 0,0 1 0,1 0 0,0-1-1,0 1 1,1 0 0,0 0 0,5-9 0,1 6-6702</inkml:trace>
  <inkml:trace contextRef="#ctx0" brushRef="#br0" timeOffset="2">848 339 24575,'0'-2'0,"0"-4"0,0-3 0,0-2 0,0 2 0,0 7 0,0 11 0,0 12 0,0 12 0,0 11 0,0 5 0,0-2 0,0-3 0,0-8 0,0-11-8191</inkml:trace>
  <inkml:trace contextRef="#ctx0" brushRef="#br0" timeOffset="3">841 543 24575,'1'-2'0,"3"-1"0,3-3 0,3 1 0,2 0 0,1-1 0,-1 1-8191</inkml:trace>
  <inkml:trace contextRef="#ctx0" brushRef="#br0" timeOffset="4">114 812 24575,'5'0'0,"8"0"0,15 0 0,19-3 0,21 0 0,17-5 0,12-1 0,4 2 0,-7 1 0,-12 1 0,-20 3-8191</inkml:trace>
  <inkml:trace contextRef="#ctx0" brushRef="#br0" timeOffset="5">262 911 24575,'-3'2'0,"0"1"0,11 0 0,21 0 0,27-9 0,28-8 0,23-7 0,16-2 0,8-2 0,-8 3 0,-15 2 0,-25 6 0,-30 4 0,-28 4 0,-21 5 0,-13 2 0,-6 1-8191</inkml:trace>
  <inkml:trace contextRef="#ctx0" brushRef="#br0" timeOffset="6">1504 254 24575,'0'-7'0,"0"-1"0,-1 0 0,2 0 0,-1 0 0,1 0 0,0 0 0,1 0 0,3-9 0,-4 23 0,-7 137 0,0-39 0,1 343 0,5-436 0,-1-5 0,1-1 0,0 1 0,1 0 0,0 0 0,-1 0 0,2-1 0,-1 1 0,4 9 0,-4-14 8,-1-1 0,0 1-1,1-1 1,-1 1 0,1-1-1,-1 1 1,1-1 0,-1 1-1,1-1 1,-1 0 0,1 1 0,-1-1-1,1 0 1,-1 1 0,1-1-1,0 0 1,-1 0 0,1 1-1,-1-1 1,1 0 0,0 0-1,-1 0 1,1 0 0,0 0-1,-1 0 1,1 0 0,0 0 0,-1 0-1,1 0 1,0-1 0,-1 1-1,1 0 1,-1 0 0,1 0-1,0-1 1,-1 1 0,1 0-1,-1-1 1,1 1 0,-1-1 0,1 1-1,-1-1 1,1 0 0,22-22-1298,-22 21 876,19-25-6412</inkml:trace>
  <inkml:trace contextRef="#ctx0" brushRef="#br0" timeOffset="7">1793 501 24575,'0'-1'0,"0"0"0,0-1 0,-1 1 0,1 0 0,-1-1 0,1 1 0,-1 0 0,1 0 0,-1-1 0,0 1 0,1 0 0,-1 0 0,0 0 0,0 0 0,0 0 0,0 0 0,0 0 0,0 0 0,0 1 0,0-1 0,-1 0 0,1 1 0,0-1 0,0 0 0,-1 1 0,1-1 0,0 1 0,-1 0 0,1 0 0,0-1 0,-1 1 0,1 0 0,0 0 0,-1 0 0,-1 1 0,-1-2 0,1 1 0,-1 1 0,0-1 0,0 0 0,0 1 0,1 0 0,-1 0 0,0 0 0,1 0 0,-1 1 0,-6 3 0,5-1 0,0 1 0,1 0 0,-1 0 0,1 1 0,0-1 0,0 1 0,1 0 0,-1 0 0,-1 7 0,4-11 0,0 0 0,0 1 0,1-1 0,-1 0 0,1 1 0,-1-1 0,1 0 0,0 1 0,0-1 0,0 1 0,0-1 0,1 4 0,0-4 0,-1-1 0,1 0 0,0 1 0,-1-1 0,1 0 0,0 0 0,0 0 0,0 0 0,0 1 0,0-1 0,0-1 0,0 1 0,0 0 0,0 0 0,1 0 0,-1 0 0,0-1 0,1 1 0,-1-1 0,0 1 0,1-1 0,2 1 0,-2 0 0,0-1 0,0 0 0,0 0 0,1 0 0,-1 0 0,0 0 0,0 0 0,0-1 0,1 1 0,-1-1 0,0 1 0,0-1 0,0 0 0,0 0 0,0 0 0,0 0 0,0 0 0,0 0 0,-1-1 0,1 1 0,0-1 0,-1 1 0,1-1 0,-1 1 0,1-1 0,-1 0 0,0 0 0,0 0 0,0 0 0,2-3 0,0-3 0,1 0 0,-1 0 0,0 0 0,-1-1 0,0 1 0,1-14 0,1-40 0,-5-66 0,0 90 0,1 30 0,0-1 0,0-1 0,-1 0 0,-4-19 0,5 29 0,0 0 0,0 1 0,0-1 0,0 0 0,0 0 0,0 0 0,0 0 0,0 0 0,0 0 0,0 0 0,0 0 0,-1 0 0,1 0 0,0 0 0,0 0 0,0 0 0,0 0 0,0 0 0,0 0 0,0 0 0,0 0 0,0 0 0,0 0 0,-1 0 0,1 0 0,0 0 0,0 0 0,0 0 0,0 0 0,0 0 0,0 0 0,0 0 0,0 0 0,0 0 0,0 0 0,-1 0 0,1 0 0,0 0 0,0 0 0,0 0 0,0 0 0,0 0 0,0 0 0,0 0 0,0 0 0,0 0 0,0 0 0,0 0 0,0-1 0,0 1 0,0 0 0,0 0 0,-1 0 0,1 0 0,0 0 0,0 0 0,0 0 0,0 0 0,0 0 0,0 0 0,0-1 0,0 1 0,0 0 0,-3 13 0,-2 17 0,4 0 0,1-1 0,9 56 0,-8-74 0,2 1 0,-1-1 0,2 0 0,-1 1 0,2-2 0,-1 1 0,2 0 0,-1-1 0,1 0 0,10 13 0,-14-22 0,-1 1 0,0-1 0,1 1 0,-1-1 0,1 0 0,0 0 0,-1 1 0,1-1 0,0 0 0,0 0 0,3 1 0,-4-2 0,0 0 0,-1 0 0,1 0 0,0 0 0,0 0 0,0 0 0,0 0 0,-1 0 0,1 0 0,0 0 0,0 0 0,0-1 0,0 1 0,-1 0 0,1-1 0,0 1 0,0 0 0,-1-1 0,2 0 0,1-2 0,-2 1 0,1 0 0,0-1 0,0 1 0,-1-1 0,1 0 0,-1 1 0,0-1 0,0 0 0,0 0 0,0 0 0,-1 0 0,1-6 0,1-27 0,-1 29 0,-2 25 0,2 33-1365,2-34-5461</inkml:trace>
  <inkml:trace contextRef="#ctx0" brushRef="#br0" timeOffset="8">1871 289 24575,'-2'0'0,"-2"2"0,1 4 0,2 6 0,5 2 0,2 0 0,1-4-8191</inkml:trace>
  <inkml:trace contextRef="#ctx0" brushRef="#br0" timeOffset="9">2005 395 24575,'-3'1'0,"1"-1"0,-1 0 0,1 1 0,0-1 0,-1 1 0,1 0 0,-1 0 0,1 0 0,0 0 0,0 0 0,0 1 0,-1-1 0,1 1 0,1-1 0,-1 1 0,0 0 0,-2 2 0,1 0 0,0 0 0,0 0 0,0 0 0,1 1 0,-1-1 0,1 1 0,0-1 0,-2 10 0,3-11 0,0 1 0,1-1 0,-1 1 0,1 0 0,0-1 0,0 1 0,0-1 0,0 1 0,0-1 0,1 1 0,0-1 0,1 5 0,-1-6 0,0 0 0,0 0 0,0-1 0,0 1 0,0 0 0,0-1 0,0 1 0,1-1 0,-1 0 0,1 1 0,-1-1 0,1 0 0,-1 0 0,1 0 0,0 0 0,0 0 0,-1 0 0,1 0 0,0-1 0,0 1 0,0-1 0,0 1 0,2-1 0,-2 1 0,0-1 0,0 0 0,1 0 0,-1 0 0,0 0 0,0-1 0,1 1 0,-1-1 0,0 1 0,0-1 0,0 0 0,0 0 0,0 0 0,0 0 0,0 0 0,0 0 0,0 0 0,0-1 0,-1 1 0,1-1 0,0 1 0,-1-1 0,0 0 0,1 0 0,-1 0 0,0 1 0,1-3 0,1-3 0,0 1 0,0 0 0,-1-1 0,0 1 0,0-1 0,0 0 0,0-10 0,-2 17 0,0 0 0,1-1 0,-1 1 0,0 0 0,0 0 0,1-1 0,-1 1 0,0 0 0,0 0 0,1-1 0,-1 1 0,0 0 0,1 0 0,-1 0 0,0-1 0,1 1 0,-1 0 0,0 0 0,1 0 0,-1 0 0,1 0 0,-1 0 0,0 0 0,1 0 0,-1 0 0,0 0 0,1 0 0,-1 0 0,1 0 0,-1 0 0,0 0 0,1 0 0,-1 0 0,0 1 0,1-1 0,-1 0 0,24 7 0,-9-2 0,-14-5 0,1 1 0,-1-1 0,0 0 0,0 1 0,0-1 0,0 0 0,1 0 0,-1 0 0,0 0 0,0 0 0,0 0 0,1 0 0,-1-1 0,0 1 0,0 0 0,0-1 0,0 1 0,0-1 0,1 1 0,-1-1 0,0 1 0,0-1 0,0 0 0,-1 0 0,1 1 0,2-3 0,-3 2 0,0 0 0,1 0 0,-1 0 0,0-1 0,0 1 0,0 0 0,0 0 0,0 0 0,0 0 0,0 0 0,0-1 0,0 1 0,-1 0 0,1 0 0,0 0 0,-1 0 0,1 0 0,-1 0 0,1 0 0,-1 0 0,-1-2 0,2 2 0,-1 0 0,0-1 0,0 1 0,0 0 0,0 0 0,0 0 0,0 0 0,0 0 0,0 0 0,0 0 0,0 0 0,0 0 0,-1 0 0,1 1 0,0-1 0,-1 1 0,1-1 0,-1 1 0,1-1 0,0 1 0,-1 0 0,1-1 0,-1 1 0,1 0 0,-1 0 0,1 0 0,-1 0 0,1 1 0,-1-1 0,1 0 0,-1 1 0,1-1 0,0 0 0,-1 1 0,1 0 0,0-1 0,-1 1 0,1 0 0,0 0 0,0 0 0,-1 0 0,1 0 0,0 0 0,-1 1 0,1 0 0,-1-1 0,1 0 0,0 0 0,0 1 0,0-1 0,0 1 0,0-1 0,0 1 0,0-1 0,1 1 0,-1 0 0,1-1 0,-1 1 0,1 0 0,-1-1 0,1 1 0,0 0 0,0 0 0,0-1 0,0 1 0,0 0 0,0 0 0,1-1 0,-1 1 0,0 0 0,1-1 0,0 1 0,-1 0 0,1-1 0,0 1 0,0-1 0,0 1 0,0-1 0,0 1 0,0-1 0,0 0 0,0 1 0,3 1 0,0 0 0,1 0 0,-1 0 0,1-1 0,0 1 0,0-1 0,0 0 0,0-1 0,0 1 0,0-1 0,0 0 0,10 1 0,-9-2 0,0 0 0,0 0 0,0-1 0,-1 1 0,1-1 0,0 0 0,-1-1 0,1 1 0,-1-1 0,1 0 0,-1-1 0,0 1 0,9-7 0,-10 6 0,-1 0 0,1 0 0,-1-1 0,0 1 0,0-1 0,0 0 0,0 0 0,-1 0 0,0 0 0,1 0 0,-2-1 0,1 1 0,0-1 0,-1 1 0,0-1 0,1-8 0,1 16 0,0-1 0,0 1 0,0 0 0,0-1 0,0 0 0,1 0 0,-1 0 0,1 0 0,-1 0 0,1-1 0,-1 0 0,1 1 0,5 0 0,-8-3 0,1 1 0,-1 0 0,0 0 0,0 0 0,0 0 0,1-1 0,-1 1 0,0-1 0,0 1 0,0-1 0,0 1 0,0-1 0,0 0 0,0 1 0,0-1 0,0 0 0,0 0 0,0 0 0,0 1 0,0-3 0,12-22 0,-8 13 0,-5 12 0,0 0 0,0 0 0,0 0 0,0 0 0,0 0 0,0 0 0,0 0 0,0-1 0,0 1 0,0 0 0,0 0 0,0 0 0,0 0 0,0 0 0,0 0 0,1 0 0,-1 0 0,0-1 0,0 1 0,0 0 0,0 0 0,0 0 0,0 0 0,0 0 0,0 0 0,1 0 0,-1 0 0,0 0 0,0 0 0,0 0 0,0 0 0,0 0 0,0 0 0,1 0 0,-1 0 0,0 0 0,0 0 0,0 0 0,0 0 0,0 0 0,0 0 0,1 0 0,-1 0 0,0 0 0,0 0 0,0 0 0,0 0 0,0 0 0,0 1 0,0-1 0,0 0 0,1 0 0,-1 0 0,0 0 0,0 0 0,0 0 0,0 0 0,0 0 0,0 1 0,0-1 0,0 0 0,0 0 0,6 14 0,1 19 0,9 84 0,-1 144 0,-15-256 0,-2 31 0,2-35 0,0 1 0,0-1 0,0 1 0,-1-1 0,1 1 0,-1-1 0,1 1 0,-1-1 0,1 0 0,-1 1 0,0-1 0,0 0 0,0 1 0,0-1 0,0 0 0,0 0 0,0 0 0,-1 1 0,1-2-23,1 0 0,-1 0 0,1 0 0,-1 0 0,0 0 0,1 0 0,-1 0 0,1 0 0,-1-1 0,0 1 0,1 0 0,-1 0-1,1-1 1,-1 1 0,1 0 0,-1-1 0,1 1 0,-1 0 0,1-1 0,0 1 0,-1-1 0,1 1 0,-1-1 0,1 1 0,0-1 0,-1 1 0,1-1 0,0 0-1,-1 0-672,-8-11-6130</inkml:trace>
  <inkml:trace contextRef="#ctx0" brushRef="#br0" timeOffset="10">2711 431 24575,'-2'2'0,"-3"1"0,-1 0-8191</inkml:trace>
  <inkml:trace contextRef="#ctx0" brushRef="#br0" timeOffset="11">3233 120 24575,'-1'-1'-144,"0"0"1,0-1-1,1 1 0,-1 0 0,0 0 0,0 0 0,0 0 0,0 0 1,0 0-1,0 0 0,-1 0 0,1 0 0,-2 0 0,2 0 176,-1 0 0,1 1 0,0 0 0,-1-1-1,1 1 1,-1 0 0,0-1 0,1 1 0,-1 0 0,1 0-1,-1 0 1,1 0 0,-1 1 0,1-1 0,-1 0 0,1 1-1,-1-1 1,1 1 0,-1-1 0,1 1 0,0 0-1,-1-1 1,1 1 0,0 0 0,0 0 0,-1 0 0,1 0-1,0 0 1,0 0 0,-1 2 0,-6 12 54,1-1-1,1 1 1,0 0-1,1 1 1,1-1 0,0 1-1,1 0 1,1 0-1,0 0 1,1 1 0,3 29-1,-2-40-85,1 0 0,0 0 0,0 0 0,0-1 0,1 1 0,0 0 0,0-1 0,1 0 0,0 1 0,0-1 0,0 0 0,0 0 0,1-1 0,6 7 0,-8-8 0,1-1 0,0 1 0,1-1 0,-1 0 0,0-1 0,1 1 0,-1 0 0,1-1 0,-1 0 0,1 0 0,0 0 0,-1 0 0,1-1 0,0 1 0,0-1 0,-1 0 0,1 0 0,0-1 0,0 1 0,-1-1 0,1 1 0,0-1 0,5-2 0,-1-1 0,-1 1 0,1-1 0,-1-1 0,0 1 0,0-1 0,0-1 0,-1 1 0,0-1 0,0 0 0,0 0 0,-1-1 0,0 1 0,0-1 0,-1-1 0,0 1 0,0-1 0,5-15 0,-3 8 0,-1-1 0,-1 0 0,0 0 0,-1 0 0,-1 0 0,-1-1 0,0 1 0,-2-24 0,0 26 0,-1 0 0,-1 0 0,0 0 0,0 1 0,-1-1 0,-1 1 0,-10-20 0,14 31 0,0 1 0,0-1 0,0 1 0,0-1 0,0 1 0,0 0 0,0-1 0,-1 1 0,1 0 0,0 0 0,-1 0 0,1 0 0,-4-1 0,5 2 0,-1-1 0,0 1 0,1 0 0,-1 0 0,0 0 0,1 0 0,-1 0 0,0 0 0,1 0 0,-1 0 0,1 1 0,-1-1 0,0 0 0,1 0 0,-1 0 0,0 1 0,1-1 0,-1 0 0,1 1 0,-1-1 0,1 0 0,-1 1 0,1-1 0,-1 2 0,-2 1 0,1 0 0,0 0 0,0 1 0,0 0 0,0-1 0,1 1 0,0 0 0,-1 0 0,1-1 0,0 7 0,-2 7 0,2-1 0,0 1 0,1 0 0,0 0 0,4 21 0,-2-28 0,-1 0 0,2-1 0,-1 1 0,1-1 0,1 0 0,0 0 0,0 0 0,1 0 0,0-1 0,9 13 0,-13-20 0,0 0 0,0 0 0,0 1 0,0-1 0,0 0 0,1 0 0,-1 0 0,0 0 0,1 0 0,-1 0 0,1 0 0,-1-1 0,1 1 0,-1 0 0,1-1 0,-1 1 0,1-1 0,-1 0 0,1 1 0,3-1 0,-4-1 0,1 1 0,-1-1 0,1 1 0,-1-1 0,0 0 0,1 1 0,-1-1 0,0 0 0,1 0 0,-1 0 0,0 0 0,0 0 0,0 0 0,0-1 0,0 1 0,0 0 0,1-2 0,3-7 0,0 0 0,-1 0 0,0 0 0,4-18 0,-7 23 0,-1 4 0,0 1 0,0-1 0,0 0 0,1 0 0,-1 0 0,0 0 0,1 0 0,-1 0 0,0 1 0,1-1 0,-1 0 0,1 0 0,0 0 0,-1 1 0,1-1 0,0 0 0,0 1 0,-1 0 0,0 0 0,1 0 0,-1 0 0,0 0 0,0 1 0,1-1 0,-1 0 0,0 0 0,1 0 0,-1 1 0,0-1 0,0 0 0,1 1 0,-1-1 0,0 0 0,0 0 0,0 1 0,0-1 0,1 0 0,-1 1 0,0-1 0,0 0 0,0 1 0,0-1 0,0 0 0,0 1 0,8 37 0,-7-31 0,1 0 0,0 1 0,1 0 0,-1-1 0,2 1 0,-1-1 0,1 0 0,9 13 0,-12-18 0,-1-1 0,1 1 0,1-1 0,-1 1 0,0-1 0,0 0 0,0 0 0,1 0 0,-1 1 0,1-1 0,-1-1 0,1 1 0,-1 0 0,1 0 0,-1 0 0,1-1 0,0 1 0,-1-1 0,1 1 0,0-1 0,0 0 0,-1 0 0,1 0 0,0 0 0,0 0 0,0 0 0,-1 0 0,1 0 0,0-1 0,-1 1 0,1-1 0,0 1 0,-1-1 0,1 0 0,0 1 0,-1-1 0,1 0 0,-1 0 0,1 0 0,-1-1 0,3-1 0,0-2 0,0 0 0,1 0 0,-2-1 0,1 0 0,-1 1 0,1-1 0,-2 0 0,1 0 0,-1-1 0,3-8 0,-2 4 0,-1-1 0,0 1 0,-1-1 0,0 1 0,-1-13 0,0 23 0,1 0 0,-1 0 0,0 0 0,0 0 0,0 0 0,-1 0 0,1 0 0,0 0 0,0 0 0,0 0 0,-1 0 0,1 1 0,-1-1 0,1 0 0,0 0 0,-1 0 0,0 0 0,1 0 0,-1 1 0,1-1 0,-2 0 0,2 1 0,-1-1 0,0 1 0,1 0 0,-1 1 0,0-1 0,1 0 0,-1 0 0,1 0 0,-1 0 0,0 0 0,1 1 0,-1-1 0,1 0 0,-1 0 0,1 1 0,-1-1 0,1 0 0,-1 1 0,1-1 0,-1 1 0,1-1 0,-1 1 0,0 0 0,-3 4 0,0 0 0,0 0 0,0 1 0,-5 9 0,6-8 0,-1 1 0,1-1 0,0 1 0,1-1 0,-1 1 0,2 0 0,-1 0 0,1 0 0,0 13 0,1-20 0,0 0 0,0 0 0,0 0 0,0 0 0,0 0 0,1-1 0,-1 1 0,0 0 0,1 0 0,-1 0 0,0-1 0,1 1 0,-1 0 0,1-1 0,-1 1 0,1 0 0,0-1 0,-1 1 0,1 0 0,-1-1 0,1 1 0,0-1 0,0 0 0,-1 1 0,1-1 0,0 1 0,0-1 0,0 0 0,-1 0 0,1 1 0,0-1 0,0 0 0,0 0 0,0 0 0,-1 0 0,1 0 0,0 0 0,0 0 0,0 0 0,0 0 0,-1-1 0,2 1 0,0-1 0,1 1 0,-1-1 0,0 0 0,1 0 0,-1 0 0,0 0 0,0-1 0,0 1 0,0-1 0,0 1 0,-1-1 0,1 0 0,3-3 0,-2-1 0,0 0 0,0 0 0,-1 0 0,0 0 0,0-1 0,0 1 0,-1-1 0,1-9 0,0-1 0,-3-35 0,7 57 0,5 5 0,-11-10 0,0 0 0,0 0 0,0-1 0,0 1 0,0 0 0,0 0 0,0 0 0,0 0 0,0 0 0,0-1 0,0 1 0,0 0 0,0 0 0,0 0 0,0 0 0,0 0 0,0-1 0,0 1 0,0 0 0,0 0 0,0 0 0,0 0 0,0 0 0,0-1 0,0 1 0,0 0 0,0 0 0,0 0 0,0 0 0,0 0 0,0 0 0,1 0 0,-1-1 0,0 1 0,0 0 0,0 0 0,0 0 0,0 0 0,0 0 0,0 0 0,1 0 0,-1 0 0,0 0 0,0 0 0,0 0 0,0 0 0,0 0 0,1 0 0,-1 0 0,0 0 0,0 0 0,0 0 0,0 0 0,0 0 0,1 0 0,-1 0 0,0 0 0,0 0 0,0 0 0,0 0 0,0 0 0,0 0 0,1 0 0,-1 0 0,0 0 0,0 0 0,0 0 0,0 0 0,0 1 0,-1-6-1365,-3 1-5461</inkml:trace>
  <inkml:trace contextRef="#ctx0" brushRef="#br0" timeOffset="12">3148 233 24575,'-1'0'0,"-1"0"0,1 0 0,0 0 0,0 0 0,0 0 0,0 0 0,0 1 0,0-1 0,0 0 0,-1 1 0,1-1 0,0 1 0,0-1 0,0 1 0,0 0 0,1-1 0,-1 1 0,0 0 0,0 0 0,0-1 0,0 1 0,0 2 0,1-3 0,-1 0 0,1 0 0,0 1 0,0-1 0,0 0 0,0 0 0,0 1 0,0-1 0,0 0 0,0 0 0,0 1 0,0-1 0,0 0 0,0 0 0,0 1 0,1-1 0,-1 0 0,0 0 0,0 1 0,0-1 0,0 0 0,0 0 0,0 1 0,1-1 0,-1 0 0,0 0 0,0 0 0,0 0 0,0 1 0,1-1 0,-1 0 0,0 0 0,1 0 0,17 3 0,15-7 0,0 0 0,0-3 0,44-13 0,92-41 0,-158 56 0,3 0 0,1-1 0,-1-1 0,21-13 0,-23 8 0,-12 11 0,0 1 0,0 0 0,0-1 0,0 1 0,0 0 0,0 0 0,0-1 0,0 1 0,0 0 0,0-1 0,0 1 0,0 0 0,0-1 0,0 1 0,0 0 0,0 0 0,0-1 0,0 1 0,0 0 0,-1-1 0,1 1 0,0 0 0,0 0 0,0-1 0,0 1 0,-1 0 0,1 0 0,0-1 0,-2 0 0,0 1 0,1-1 0,-1 0 0,0 1 0,1-1 0,-1 1 0,0-1 0,1 1 0,-1 0 0,0 0 0,0 0 0,0 0 0,-3 0 0,-11 3 0,-1 0 0,1 1 0,0 0 0,0 2 0,1-1 0,-1 2 0,-14 9 0,-4 4 0,-58 43 0,79-53 0,1 0 0,0 0 0,1 1 0,-14 18 0,24-28 0,0-1 0,1 1 0,-1 1 0,0-1 0,0 0 0,1 0 0,-1 0 0,0 0 0,1 0 0,-1 1 0,1-1 0,0 0 0,-1 1 0,1-1 0,0 0 0,0 0 0,0 1 0,0-1 0,0 0 0,0 1 0,0-1 0,0 0 0,1 3 0,0-4 0,0 1 0,-1 0 0,1 0 0,0 0 0,0 0 0,1-1 0,-1 1 0,0 0 0,0-1 0,0 1 0,0-1 0,0 1 0,1-1 0,-1 0 0,0 1 0,0-1 0,1 0 0,-1 0 0,2 0 0,7 0 0,1 0 0,-1-1 0,1-1 0,16-3 0,1-2 0,0-2 0,-1 0 0,0-2 0,0-1 0,-1-1 0,26-18 0,-51 30 0,1 0 0,0 0 0,-1 0 0,1 0 0,-1 0 0,0-1 0,1 1 0,-1 0 0,0-1 0,0 1 0,0-1 0,0 1 0,0-1 0,0 0 0,-1 1 0,1-1 0,0-2 0,-1 4 0,0-1 0,0 0 0,0 1 0,0-1 0,0 1 0,0-1 0,-1 1 0,1-1 0,0 1 0,0-1 0,-1 1 0,1-1 0,0 1 0,-1-1 0,1 1 0,0 0 0,-1-1 0,1 1 0,-1 0 0,0-1 0,-19-7 0,2 5 57,0 2 0,1-1 0,-1 2-1,0 1 1,-20 2 0,-88 19-1543,119-20 1266,-63 13-6606</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447"/>
    </inkml:context>
    <inkml:brush xml:id="br0">
      <inkml:brushProperty name="width" value="0.025" units="cm"/>
      <inkml:brushProperty name="height" value="0.025" units="cm"/>
    </inkml:brush>
  </inkml:definitions>
  <inkml:trace contextRef="#ctx0" brushRef="#br0">0 37 24575,'10'4'0,"-1"-1"0,1 1 0,0-1 0,21 3 0,53 3 0,-38-5 0,663 38 0,-628-39 0,-4-1 0,273 2 0,-326-6 0,-62-5-1365,16 3-5461</inkml:trace>
  <inkml:trace contextRef="#ctx0" brushRef="#br0" timeOffset="1">1256 1 24575,'0'0'0,"0"0"0,0 0 0,0 0 0,-1 0 0,1 0 0,0 0 0,0 0 0,0 0 0,0 0 0,0 0 0,0 0 0,-1 0 0,1 0 0,0 0 0,0 0 0,0 0 0,0 0 0,0 0 0,-1 0 0,1 0 0,0 0 0,0 0 0,0 0 0,0 0 0,0 0 0,0 0 0,-1 0 0,1 0 0,0 0 0,0 0 0,0 1 0,0-1 0,0 0 0,0 0 0,0 0 0,0 0 0,0 0 0,-1 0 0,1 0 0,0 1 0,0-1 0,0 0 0,0 0 0,0 0 0,0 0 0,0 0 0,0 0 0,0 1 0,0-1 0,0 0 0,0 0 0,0 0 0,0 0 0,0 0 0,0 1 0,0-1 0,0 0 0,0 0 0,9 9 0,16 5 0,15 3 0,43 18 0,-73-29 0,1 0 0,-1 0 0,0 1 0,-1 0 0,13 12 0,-21-18 0,0 0 0,0 0 0,0 0 0,0 1 0,0-1 0,0 0 0,0 0 0,-1 1 0,1-1 0,0 0 0,-1 1 0,1-1 0,-1 1 0,1-1 0,-1 1 0,0-1 0,0 1 0,1-1 0,-1 1 0,0-1 0,0 1 0,-1 2 0,0-2 0,0 0 0,0 0 0,0 0 0,0 0 0,0 0 0,0 0 0,-1 0 0,1 0 0,-1-1 0,0 1 0,1 0 0,-1-1 0,-2 2 0,-8 5 0,0-1 0,-1-1 0,-25 10 0,30-13 0,-33 10-1365,28-12-5461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449"/>
    </inkml:context>
    <inkml:brush xml:id="br0">
      <inkml:brushProperty name="width" value="0.025" units="cm"/>
      <inkml:brushProperty name="height" value="0.025" units="cm"/>
    </inkml:brush>
  </inkml:definitions>
  <inkml:trace contextRef="#ctx0" brushRef="#br0">129 187 24575,'2'-14'-2607,"4"-9"3071,2-5 338,-6 20-716,-1-2 165,1 0-1,-1-20 1,-1 28-231,0 1 0,0-1 0,0 0 0,0 0 0,-1 1 0,1-1 1,0 0-1,-1 1 0,1-1 0,-1 0 0,0 1 0,0-1 0,1 1 1,-1-1-1,0 1 0,0-1 0,-1 1 0,1 0 0,0-1 0,0 1 1,-1 0-1,1 0 0,0 0 0,-2-1 0,2 2-20,0 0 0,0-1 0,0 1 0,-1 0 0,1 0 0,0 0 0,0 0 0,0 0 0,0 0 0,0 0 0,0 0 0,0 0 0,0 1 0,0-1 0,0 0 0,0 1 0,0-1 0,0 0 0,0 1 0,0 0 0,0-1 0,1 1 0,-1-1 0,0 1 0,-1 1 0,-18 23 0,19-23 0,-12 18 0,1 1 0,1 0 0,-9 24 0,14-31 0,1 1 0,1-1 0,1 1 0,0-1 0,0 1 0,1 18 0,2-31 0,0 1 0,0-1 0,0 1 0,0-1 0,0 1 0,1-1 0,0 1 0,-1-1 0,1 0 0,0 1 0,0-1 0,0 0 0,1 1 0,-1-1 0,0 0 0,1 0 0,-1 0 0,1 0 0,2 2 0,-1-3 0,-1 1 0,1-1 0,-1 0 0,1 1 0,0-1 0,-1-1 0,1 1 0,0 0 0,-1-1 0,1 1 0,0-1 0,0 0 0,0 0 0,0 0 0,-1 0 0,1 0 0,3-2 0,10-1 0,0-2 0,-1 0 0,0-1 0,0-1 0,0 0 0,-1-1 0,0-1 0,0 0 0,-1 0 0,0-2 0,15-15 0,-24 23 0,-1-1 0,0 0 0,0 0 0,0 0 0,0 0 0,0 0 0,-1-1 0,0 1 0,0-1 0,0 1 0,0-1 0,-1 0 0,0 0 0,0 0 0,0 0 0,0 0 0,-1 0 0,0-6 0,0 11 0,0-1 0,0 1 0,0-1 0,0 0 0,0 1 0,0-1 0,-1 0 0,1 1 0,0-1 0,0 1 0,0-1 0,-1 1 0,1-1 0,0 0 0,-1 1 0,1-1 0,0 1 0,-1-1 0,1 1 0,-1 0 0,1-1 0,-1 1 0,1-1 0,-1 1 0,1 0 0,-1-1 0,1 1 0,-1 0 0,0 0 0,1-1 0,-1 1 0,1 0 0,-1 0 0,0 0 0,1 0 0,-1 0 0,0 0 0,1 0 0,-1 0 0,1 0 0,-1 0 0,0 0 0,1 0 0,-1 1 0,1-1 0,-1 0 0,0 0 0,1 1 0,-1-1 0,1 0 0,-1 0 0,0 1 0,-2 2 0,-1-1 0,1 1 0,0-1 0,0 1 0,0 0 0,0 0 0,-2 4 0,-3 5 0,1 1 0,-12 24 0,17-31 0,-1 0 0,1 0 0,1 0 0,-1 0 0,1 0 0,0 0 0,0 1 0,1-1 0,0 7 0,0-12 0,0 0 0,0-1 0,0 1 0,0 0 0,0-1 0,0 1 0,0 0 0,0-1 0,0 1 0,1 0 0,-1-1 0,0 1 0,0-1 0,1 1 0,-1 0 0,0-1 0,1 1 0,-1-1 0,1 1 0,-1-1 0,0 1 0,1-1 0,0 0 0,-1 1 0,1-1 0,-1 1 0,1-1 0,-1 0 0,1 0 0,0 1 0,-1-1 0,1 0 0,1 0 0,-1 0 0,1 0 0,-1-1 0,1 1 0,-1-1 0,1 1 0,-1-1 0,0 0 0,1 1 0,-1-1 0,0 0 0,0 0 0,2-1 0,3-3 0,-1 0 0,0 0 0,0-1 0,-1 1 0,5-8 0,-5 6 0,-1-1 0,0 1 0,-1 0 0,1-1 0,-1 1 0,-1-1 0,0 0 0,0 1 0,0-1 0,-1 0 0,0 0 0,-2-10 0,2 18 0,0 0 0,0 0 0,0 0 0,0 0 0,0 1 0,0-1 0,0 0 0,0 0 0,0 0 0,0 0 0,0 0 0,-1 0 0,1 0 0,0 0 0,0 0 0,0 0 0,0 0 0,0 0 0,0 0 0,0 0 0,0 0 0,0 0 0,0 0 0,0 0 0,0 0 0,-1 0 0,1 0 0,0 0 0,0 0 0,0 0 0,0 0 0,0 0 0,0 0 0,0 0 0,0 0 0,0 0 0,0 0 0,0 0 0,0 0 0,0 0 0,-1 0 0,1-1 0,0 1 0,0 0 0,0 0 0,0 0 0,0 0 0,0 0 0,0 0 0,0 0 0,0 0 0,0 0 0,0 0 0,0 0 0,0 0 0,0 0 0,0-1 0,0 1 0,0 0 0,0 0 0,0 0 0,0 0 0,0 0 0,0 0 0,-4 10 0,0 14 0,3-15 57,2 0 0,-1 0 0,1 0 0,0 0 0,3 8 0,-3-13-179,1 0 0,-1 0 0,0 0 0,1-1 0,0 1 0,0-1 0,0 0 0,0 1 0,1-1 1,-1 0-1,1 0 0,0 0 0,5 4 0,1-2-6704</inkml:trace>
  <inkml:trace contextRef="#ctx0" brushRef="#br0" timeOffset="1">355 152 24575,'0'0'0,"0"-1"0,0 1 0,0 0 0,0-1 0,-1 1 0,1 0 0,0-1 0,0 1 0,1 0 0,-1-1 0,0 1 0,0 0 0,0-1 0,0 1 0,0 0 0,0 0 0,0-1 0,0 1 0,1 0 0,-1-1 0,0 1 0,0 0 0,0 0 0,1-1 0,-1 1 0,0 0 0,0 0 0,1 0 0,-1-1 0,0 1 0,0 0 0,1 0 0,-1 0 0,1-1 0,10 7 0,8 15 0,-15-9 0,-1-1 0,0 1 0,-1 0 0,1 18 0,-2-40 0,-1 0 0,1 0 0,1 1 0,0-1 0,0 0 0,6-15 0,-6 20 0,0 0 0,0 1 0,0-1 0,1 1 0,-1-1 0,1 1 0,0 0 0,0 0 0,1 0 0,-1 0 0,1 1 0,0-1 0,0 1 0,7-4 0,-8 6-91,-1 0 0,1 0 0,0 0 0,0 1 0,0-1 0,-1 1 0,1 0 0,0 0 0,0 0 0,0 0 0,0 0 0,0 1 0,0-1 0,4 3 0,15 4-6735</inkml:trace>
  <inkml:trace contextRef="#ctx0" brushRef="#br0" timeOffset="2">679 152 24575,'0'-2'0,"0"1"0,0-1 0,0 0 0,0 1 0,0-1 0,-1 1 0,1-1 0,0 1 0,-1-1 0,0 0 0,1 1 0,-1 0 0,0-1 0,0 1 0,1-1 0,-1 1 0,0 0 0,-1 0 0,1-1 0,0 1 0,0 0 0,0 0 0,-1 0 0,1 0 0,0 1 0,-1-1 0,1 0 0,-1 0 0,1 1 0,-1-1 0,1 1 0,-4-1 0,2 1 0,0-1 0,1 1 0,-1 0 0,0 0 0,0 1 0,1-1 0,-1 1 0,0-1 0,0 1 0,1 0 0,-1 0 0,0 0 0,1 0 0,-1 0 0,1 1 0,0-1 0,-1 1 0,-2 2 0,0 2 0,0 0 0,0 0 0,0 1 0,1-1 0,0 1 0,0 0 0,-3 10 0,5-13 0,0 0 0,1 0 0,0 0 0,0 0 0,0 0 0,0 0 0,1 0 0,-1 0 0,1 0 0,0 0 0,1 1 0,-1-1 0,1 0 0,-1 0 0,4 8 0,-4-11 0,1 1 0,0-1 0,0 1 0,0-1 0,0 0 0,0 1 0,0-1 0,0 0 0,0 0 0,0 1 0,0-1 0,1 0 0,-1 0 0,0-1 0,1 1 0,-1 0 0,1 0 0,-1-1 0,1 1 0,0-1 0,-1 1 0,1-1 0,-1 1 0,1-1 0,0 0 0,-1 0 0,1 0 0,0 0 0,-1 0 0,1 0 0,0-1 0,-1 1 0,1-1 0,-1 1 0,1-1 0,0 1 0,2-2 0,-1 0 0,1 0 0,0 0 0,-1-1 0,1 1 0,-1-1 0,0 0 0,0 0 0,0 0 0,0 0 0,0 0 0,-1 0 0,0-1 0,1 0 0,1-3 0,0-6 0,0 0 0,-1 0 0,-1 0 0,1 0 0,-2 0 0,0-17 0,-6-79 0,4 98 0,0 5 0,0 7 0,-1 18 0,1 35 0,3 0-682,15 99-1,-9-115-6143</inkml:trace>
  <inkml:trace contextRef="#ctx0" brushRef="#br0" timeOffset="3">1208 102 24575,'-2'1'0,"0"-1"0,0 0 0,1 1 0,-1-1 0,0 1 0,0 0 0,0 0 0,0 0 0,0-1 0,1 2 0,-1-1 0,0 0 0,1 0 0,-1 1 0,1-1 0,-1 0 0,1 1 0,0-1 0,0 1 0,0 0 0,0 0 0,0-1 0,0 1 0,0 0 0,-1 3 0,-2 6 0,1 0 0,0 0 0,-2 13 0,4-18 0,-5 23 0,2 0 0,1 1 0,2 43 0,1-72 0,0-1 0,0 0 0,0 0 0,0 0 0,-1 0 0,1 0 0,0 0 0,0 0 0,0 0 0,0 1 0,0-1 0,0 0 0,0 0 0,0 0 0,0 0 0,0 0 0,0 0 0,0 0 0,0 1 0,0-1 0,0 0 0,0 0 0,0 0 0,0 0 0,0 0 0,0 0 0,0 1 0,0-1 0,0 0 0,0 0 0,0 0 0,0 0 0,0 0 0,0 0 0,0 0 0,1 0 0,-1 1 0,0-1 0,0 0 0,0 0 0,0 0 0,0 0 0,0 0 0,0 0 0,0 0 0,1 0 0,-1 0 0,0 0 0,0 0 0,0 0 0,0 0 0,0 0 0,0 0 0,0 0 0,1 0 0,-1 0 0,0 0 0,0 0 0,0 0 0,0 0 0,0 0 0,0 0 0,1 0 0,-1 0 0,0 0 0,0 0 0,0 0 0,0 0 0,6-12 0,6-21 0,9-47 0,-15 52 0,1 0 0,2 1 0,23-52 0,-31 78 0,-1-1 0,1 1 0,0 0 0,0-1 0,-1 1 0,1 0 0,0 0 0,0 0 0,0 0 0,0 0 0,0-1 0,1 2 0,-1-1 0,0 0 0,0 0 0,1 0 0,-1 1 0,3-2 0,-4 2 0,1 0 0,0 0 0,0 1 0,0-1 0,0 0 0,-1 0 0,1 1 0,0-1 0,0 0 0,-1 1 0,1-1 0,0 1 0,0-1 0,-1 1 0,1-1 0,-1 1 0,1-1 0,0 1 0,-1-1 0,1 1 0,-1 0 0,1 0 0,0 0 0,2 6 0,0 0 0,0 0 0,0 1 0,-1-1 0,3 14 0,0 20 0,0 1 0,-3-1 0,-3 43 0,1-80-170,0 0-1,-1-1 0,1 1 1,-1 0-1,0-1 0,0 1 1,-2 5-1,-2-1-6655</inkml:trace>
  <inkml:trace contextRef="#ctx0" brushRef="#br0" timeOffset="4">1194 307 24575,'3'0'0,"5"-2"0,5-1 0,5-5 0,3-1 0,1-1 0,-2 0 0,0 3 0,-3 3-8191</inkml:trace>
  <inkml:trace contextRef="#ctx0" brushRef="#br0" timeOffset="5">1392 258 24575,'0'6'0,"0"0"0,1 0 0,-1 1 0,1-1 0,0 0 0,1 0 0,0 0 0,0 0 0,0 0 0,1 0 0,-1-1 0,7 9 0,-9-13 0,0-1 0,1 1 0,-1-1 0,0 1 0,1-1 0,-1 0 0,0 1 0,1-1 0,-1 0 0,1 1 0,-1-1 0,0 0 0,1 0 0,-1 1 0,1-1 0,-1 0 0,1 0 0,-1 0 0,1 0 0,-1 1 0,1-1 0,-1 0 0,1 0 0,-1 0 0,1 0 0,-1 0 0,1 0 0,-1 0 0,1 0 0,-1-1 0,2 1 0,-2-1 0,1 1 0,0-1 0,0 0 0,0 0 0,-1 0 0,1 0 0,0 0 0,-1 0 0,1 0 0,-1 0 0,1 0 0,-1 0 0,1-1 0,6-36 0,-6 16 0,-2 17 0,1-1 0,0 0 0,1 1 0,-1-1 0,1 1 0,0-1 0,3-7 0,-4 13-12,0 0-1,1 0 1,-1 0-1,0 0 1,0 0-1,0 0 1,0 0-1,1 0 1,-1-1-1,0 1 1,0 0-1,0 0 1,1 0-1,-1 0 1,0 0-1,0 0 1,1 0-1,-1 0 1,0 0-1,0 0 1,0 0-1,1 0 1,-1 0-1,0 0 1,0 1-1,0-1 1,0 0-1,1 0 1,-1 0-1,0 0 1,0 0-1,0 0 1,1 0-1,-1 1 1,0-1-1,0 0 1,0 0-1,0 0 1,0 0-1,0 1 1,1-1-1,-1 0 1,0 0-1,0 0 1,0 1-1,0-1 1,0 0-1,0 0 1,0 1-1,1 0-727,5 8-6086</inkml:trace>
  <inkml:trace contextRef="#ctx0" brushRef="#br0" timeOffset="6">1568 314 24575,'0'1'0,"0"-1"0,0 0 0,1 1 0,-1-1 0,0 0 0,0 1 0,0-1 0,0 0 0,0 0 0,0 1 0,0-1 0,0 0 0,1 1 0,-1-1 0,0 0 0,0 0 0,0 1 0,1-1 0,-1 0 0,0 0 0,0 0 0,1 1 0,-1-1 0,0 0 0,0 0 0,1 0 0,-1 0 0,0 1 0,1-1 0,-1 0 0,0 0 0,1 0 0,-1 0 0,0 0 0,0 0 0,1 0 0,-1 0 0,0 0 0,1 0 0,-1 0 0,0 0 0,1 0 0,-1 0 0,0-1 0,1 1 0,-1 0 0,0 0 0,0 0 0,1 0 0,-1 0 0,0-1 0,0 1 0,1 0 0,-1 0 0,0-1 0,17-11 0,-15 9 0,-1 0 0,1-1 0,0 1 0,-1 0 0,0-1 0,0 1 0,0-1 0,0-3 0,0 5 0,-1 1 0,0 0 0,0-1 0,1 1 0,-1 0 0,0-1 0,0 1 0,-1 0 0,1-1 0,0 1 0,0 0 0,-1-1 0,1 1 0,-1 0 0,1 0 0,-1-1 0,1 1 0,-1 0 0,0 0 0,1 0 0,-1 0 0,0 0 0,0 0 0,0 0 0,-1-1 0,1 1 0,0 1 0,0 0 0,0 0 0,0 0 0,0 0 0,0 0 0,0 0 0,1 0 0,-1 0 0,0 0 0,0 0 0,0 1 0,0-1 0,0 0 0,0 0 0,1 1 0,-1-1 0,0 1 0,0-1 0,0 1 0,1-1 0,-1 1 0,0-1 0,1 1 0,-1 0 0,1-1 0,-1 1 0,0 0 0,0 1 0,-15 24 0,15-24 0,0 0 0,0 0 0,0-1 0,1 1 0,-1 0 0,1 0 0,-1 0 0,1 0 0,0 0 0,0 0 0,0 0 0,0 0 0,0 0 0,0 0 0,1 0 0,-1 0 0,0 0 0,1 0 0,0 0 0,-1 0 0,1-1 0,0 1 0,0 0 0,0 0 0,0-1 0,0 1 0,1-1 0,1 3 0,-1-2 0,0-1 0,0 0 0,0 0 0,0 0 0,0 0 0,0-1 0,0 1 0,0 0 0,1-1 0,-1 1 0,0-1 0,0 0 0,0 0 0,1 0 0,-1 0 0,0 0 0,0 0 0,0-1 0,1 1 0,-1-1 0,0 1 0,0-1 0,0 0 0,0 0 0,4-2 0,-2 0 0,0 0 0,0-1 0,0 1 0,0-1 0,-1 0 0,1 0 0,-1 0 0,0-1 0,0 1 0,0-1 0,-1 1 0,0-1 0,2-6 0,12-18 0,-16 28 0,0 0 0,1 1 0,-1-1 0,1 0 0,-1 1 0,1-1 0,-1 0 0,1 1 0,-1-1 0,1 1 0,-1-1 0,1 1 0,0-1 0,-1 1 0,1-1 0,0 1 0,0 0 0,-1-1 0,1 1 0,0 0 0,0 0 0,0 0 0,-1 0 0,1-1 0,0 1 0,0 0 0,0 0 0,-1 1 0,1-1 0,0 0 0,0 0 0,0 0 0,-1 0 0,1 1 0,0-1 0,0 0 0,-1 1 0,1-1 0,0 0 0,-1 1 0,1-1 0,0 1 0,-1-1 0,1 1 0,-1 0 0,1-1 0,-1 1 0,1 0 0,5 6 0,-1-1 0,0 1 0,7 13 0,-8-13 0,0-2 0,14 28 0,-17-32 0,0 0 0,-1 1 0,1-1 0,-1 0 0,1 1 0,-1-1 0,1 0 0,-1 1 0,0-1 0,0 1 0,1-1 0,-1 1 0,0-1 0,-1 0 0,1 1 0,0-1 0,0 1 0,-1-1 0,0 3 0,1-4 0,0 1 0,-1-1 0,1 0 0,0 1 0,-1-1 0,1 0 0,-1 0 0,1 1 0,0-1 0,-1 0 0,1 0 0,-1 1 0,1-1 0,-1 0 0,1 0 0,-1 0 0,1 0 0,0 0 0,-1 0 0,1 0 0,-1 0 0,1 0 0,-1 0 0,1 0 0,-1 0 0,1 0 0,-1 0 0,1 0 0,-1-1 0,1 1 0,0 0 0,-1 0 0,1 0 0,-1-1 0,1 1 0,0 0 0,-1-1 0,1 1 0,-1 0 0,1-1 0,0 1 0,0 0 0,-1-1 0,1 1 0,0-1 0,0 1 0,-1 0 0,1-1 0,0 1 0,0-2 0,-11-23 0,10 21 16,1 0-1,0 0 1,0 0-1,1 1 1,-1-1-1,1 0 1,0 0-1,0 0 1,0 0-1,0 1 1,1-1-1,-1 1 1,1-1-1,0 1 1,0-1-1,1 1 1,-1 0 0,1 0-1,-1 0 1,1 0-1,4-3 1,-4 4-82,-1 0 0,1 0 1,0 0-1,0 1 0,0-1 1,0 1-1,0-1 0,0 1 1,1 0-1,-1 1 1,0-1-1,0 0 0,1 1 1,-1 0-1,0-1 0,1 2 1,-1-1-1,1 0 0,-1 1 1,0-1-1,0 1 1,1 0-1,-1 0 0,0 0 1,4 2-1,4 3-6760</inkml:trace>
  <inkml:trace contextRef="#ctx0" brushRef="#br0" timeOffset="7">1921 265 24575,'0'-7'0,"1"-1"0,-1-1 0,-1 0 0,-2-15 0,3 23 0,0 0 0,0 0 0,0 0 0,-1 1 0,1-1 0,0 0 0,0 0 0,0 1 0,-1-1 0,1 0 0,0 0 0,-1 1 0,1-1 0,-1 0 0,1 1 0,-1-1 0,1 1 0,-1-1 0,1 0 0,-1 1 0,0-1 0,1 1 0,-1 0 0,0-1 0,1 1 0,-1-1 0,0 1 0,0 0 0,1 0 0,-1-1 0,0 1 0,0 0 0,1 0 0,-1 0 0,0 0 0,0 0 0,0 0 0,1 0 0,-1 0 0,0 0 0,0 0 0,0 1 0,1-1 0,-1 0 0,0 0 0,0 1 0,1-1 0,-1 1 0,0-1 0,1 0 0,-1 1 0,0-1 0,0 2 0,-2 1 0,1-1 0,-1 1 0,1 0 0,0 0 0,0 0 0,0 1 0,0-1 0,0 0 0,1 1 0,-1-1 0,1 1 0,0 0 0,-1 4 0,2-6 0,0 0 0,-1 0 0,1 0 0,0 0 0,0 0 0,0 0 0,0-1 0,1 1 0,-1 0 0,0 0 0,1 0 0,1 3 0,-2-5 0,1 1 0,-1 0 0,1 0 0,0 0 0,-1-1 0,1 1 0,0 0 0,0-1 0,0 1 0,-1-1 0,1 1 0,0-1 0,0 1 0,0-1 0,0 1 0,0-1 0,0 0 0,0 0 0,0 1 0,0-1 0,0 0 0,0 0 0,0 0 0,0 0 0,1 0 0,0-1 0,-1 1 0,1-1 0,0 1 0,0-1 0,-1 0 0,1 0 0,0 0 0,-1 0 0,1 0 0,-1 0 0,1 0 0,-1-1 0,0 1 0,0 0 0,1-1 0,-1 1 0,0-1 0,0 1 0,0-1 0,0 0 0,-1 1 0,2-4 0,1 0 0,36 46 0,-33-37 0,0-1 0,0 0 0,0 0 0,1 0 0,0-1 0,-1 0 0,1 0 0,0-1 0,0 0 0,0 0 0,14 0 0,-17-1 0,-1 0 0,1-1 0,-1 1 0,1-1 0,-1 0 0,1 0 0,-1 0 0,0 0 0,1-1 0,-1 0 0,4-2 0,-5 3 0,-1 0 0,1-1 0,0 0 0,-1 1 0,1-1 0,-1 0 0,1 0 0,-1 0 0,0 0 0,0 0 0,0 0 0,0 0 0,0-1 0,-1 1 0,1 0 0,0 0 0,-1-1 0,1-2 0,-1 3 0,0 0 0,0 0 0,0 0 0,-1 0 0,1 0 0,0 0 0,-1 0 0,1 0 0,-1 1 0,1-1 0,-1 0 0,0 0 0,0 1 0,0-1 0,0 0 0,0 1 0,0-1 0,-1 1 0,1 0 0,0-1 0,-1 1 0,1 0 0,-1 0 0,1-1 0,-1 1 0,0 0 0,1 1 0,-3-2 0,2 2 0,1-1 0,0 1 0,-1-1 0,1 1 0,-1 0 0,1 0 0,-1 0 0,1 0 0,-1 0 0,1 0 0,-1 0 0,1 0 0,-1 1 0,1-1 0,0 1 0,-1-1 0,1 1 0,0-1 0,-1 1 0,1 0 0,0 0 0,0-1 0,-1 1 0,1 0 0,0 0 0,0 0 0,0 0 0,0 1 0,0-1 0,0 0 0,1 0 0,-1 0 0,0 1 0,1-1 0,-1 1 0,0 1 0,0-2 0,1 0 0,0 0 0,-1 0 0,1 1 0,0-1 0,0 0 0,-1 0 0,1 0 0,0 0 0,0 0 0,0 1 0,0-1 0,1 1 0,-1-1 0,0-1 0,0 0 0,1 1 0,-1-1 0,0 0 0,0 1 0,0-1 0,1 0 0,-1 0 0,0 1 0,0-1 0,1 0 0,-1 0 0,0 0 0,1 1 0,-1-1 0,0 0 0,1 0 0,-1 0 0,0 0 0,1 0 0,-1 1 0,1-1 0,-1 0 0,1 0 0,1 0 0,0-1 0,0 1 0,0 0 0,0-1 0,1 1 0,-1-1 0,0 0 0,-1 0 0,1 0 0,4-2 0,-6 3 0,0 0 0,0 0 0,1 0 0,-1 0 0,0 0 0,0 0 0,1 0 0,-1 0 0,0 0 0,0 0 0,1 1 0,-1-1 0,0 0 0,0 0 0,1 0 0,-1 0 0,0 0 0,0 0 0,0 1 0,1-1 0,-1 0 0,0 0 0,0 0 0,0 0 0,0 1 0,1-1 0,-1 0 0,0 0 0,0 1 0,0-1 0,0 0 0,0 0 0,0 0 0,0 1 0,0-1 0,0 0 0,1 0 0,-1 1 0,0-1 0,0 0 0,0 1 0,0-1 0,-1 0 0,1 0 0,0 1 0,0-1 0,2 18 0,-2-16 0,-5 294 0,5-288 0,-4 26 0,4-32 0,0 0 0,-1 0 0,1 0 0,-1 0 0,0 0 0,0-1 0,1 1 0,-1 0 0,0 0 0,-1-1 0,1 1 0,0 0 0,-2 1 0,3-3 0,0 0 0,-1 0 0,1 0 0,0 0 0,0 1 0,0-1 0,0 0 0,0 0 0,-1 0 0,1 0 0,0 0 0,0 0 0,0 0 0,0 0 0,-1 0 0,1 0 0,0 0 0,0 0 0,0 0 0,0 0 0,-1 0 0,1 0 0,0 0 0,0 0 0,0 0 0,0 0 0,-1 0 0,1 0 0,0 0 0,0 0 0,0-1 0,0 1 0,0 0 0,0 0 0,-1 0 0,1 0 0,0 0 0,0 0 0,0 0 0,0-1 0,0 1 0,-4-10 0,0-12 0,3-10-1365,0-1-5461</inkml:trace>
  <inkml:trace contextRef="#ctx0" brushRef="#br0" timeOffset="8">2260 216 24575,'-1'-1'0,"1"1"0,0 0 0,-1 0 0,1 0 0,0 0 0,0 0 0,-1 0 0,1 0 0,0 0 0,-1 0 0,1 0 0,0 0 0,-1 0 0,1 0 0,0 0 0,-1 0 0,1 1 0,0-1 0,0 0 0,-1 0 0,1 0 0,0 0 0,0 1 0,-1-1 0,1 0 0,0 0 0,0 0 0,-1 1 0,1-1 0,0 0 0,0 0 0,0 1 0,0-1 0,0 0 0,-1 1 0,1-1 0,0 0 0,0 0 0,0 1 0,0-1 0,0 0 0,0 1 0,0-1 0,0 0 0,0 1 0,0-1 0,0 0 0,0 1 0,0-1 0,0 1 0,1-1 0,-1 1 0,0-1 0,1 1 0,-1-1 0,1 1 0,-1-1 0,1 1 0,-1-1 0,1 1 0,-1-1 0,1 1 0,0-1 0,-1 0 0,1 0 0,0 1 0,-1-1 0,1 0 0,0 0 0,-1 1 0,1-1 0,0 0 0,-1 0 0,1 0 0,0 0 0,1 0 0,0-1 0,0 1 0,0-1 0,0 1 0,0-1 0,0 0 0,-1 0 0,1 0 0,0 0 0,0 0 0,0 0 0,-1 0 0,1 0 0,-1-1 0,1 1 0,-1-1 0,1 1 0,-1-1 0,0 0 0,0 1 0,0-1 0,1-2 0,0 1 0,-1 1 0,0-1 0,0 0 0,-1 1 0,1-1 0,0 0 0,-1 0 0,0 0 0,1 0 0,-1 1 0,0-1 0,0 0 0,-1 0 0,1 0 0,-2-3 0,2 6 0,0-1 0,0 1 0,0-1 0,0 0 0,0 1 0,0-1 0,0 1 0,-1-1 0,1 1 0,0-1 0,0 1 0,-1-1 0,1 1 0,0-1 0,-1 1 0,1-1 0,-1 1 0,1-1 0,-1 1 0,1 0 0,0-1 0,-1 1 0,0 0 0,1-1 0,-1 1 0,1 0 0,-1 0 0,1 0 0,-1-1 0,1 1 0,-1 0 0,0 0 0,0 0 0,0 1 0,-1-1 0,1 1 0,0-1 0,0 1 0,-1 0 0,1 0 0,0 0 0,0 0 0,0 0 0,0 0 0,0 0 0,0 0 0,-1 1 0,-3 5 0,0 1 0,1-1 0,-6 13 0,6-7 0,-1-1 0,2 1 0,0 0 0,0 0 0,0 22 0,2-31 0,1 0 0,1-1 0,-1 1 0,0-1 0,1 1 0,0-1 0,0 1 0,0-1 0,0 0 0,1 1 0,2 4 0,-3-6 0,1 0 0,-1-1 0,1 1 0,-1-1 0,1 1 0,0-1 0,0 0 0,-1 0 0,1 0 0,0 0 0,0 0 0,0 0 0,0 0 0,0 0 0,0-1 0,1 1 0,-1-1 0,0 0 0,0 0 0,0 0 0,3 0 0,-3 0-47,0 0 0,0 0 0,0 0 0,0-1 0,0 1 0,0-1 0,0 1 0,-1-1 0,1 0-1,0 0 1,0 0 0,-1 0 0,1 0 0,0 0 0,-1 0 0,1 0 0,-1-1 0,1 1 0,-1-1 0,0 1 0,0-1 0,0 1-1,1-1 1,-1 0 0,-1 0 0,1 1 0,0-1 0,0-3 0,4-10-6779</inkml:trace>
  <inkml:trace contextRef="#ctx0" brushRef="#br0" timeOffset="9">2478 208 24575,'2'1'0,"-1"-1"0,1 0 0,-1 0 0,1 1 0,-1-1 0,0 1 0,1-1 0,-1 1 0,0 0 0,0 0 0,0-1 0,1 1 0,-1 0 0,0 0 0,0 0 0,0 0 0,0 0 0,0 0 0,0 1 0,-1-1 0,1 0 0,0 0 0,-1 1 0,1-1 0,-1 0 0,1 1 0,-1-1 0,1 1 0,-1 1 0,2 6 0,-1-1 0,0 1 0,0 12 0,0-2 0,-2 0 0,0 0 0,-1 0 0,-6 25 0,10-76 0,8-15 0,3 1 0,37-88 0,-49 132 0,1-3 0,0 1 0,0 0 0,0 0 0,0-1 0,1 1 0,0 0 0,0 1 0,0-1 0,5-4 0,-7 7 0,-1 1 0,1 0 0,-1 0 0,1 0 0,-1 0 0,1 0 0,-1 0 0,1 0 0,-1 0 0,1 0 0,-1 0 0,1 0 0,-1 0 0,0 0 0,1 0 0,-1 0 0,1 1 0,-1-1 0,1 0 0,-1 0 0,1 0 0,-1 1 0,0-1 0,1 0 0,-1 1 0,1-1 0,-1 0 0,0 1 0,1-1 0,-1 1 0,0-1 0,0 0 0,1 1 0,-1-1 0,0 1 0,0-1 0,0 1 0,1-1 0,-1 1 0,0-1 0,0 1 0,0-1 0,0 1 0,0-1 0,0 1 0,0 0 0,4 26 0,-4-26 0,1 13 0,-1 0 0,0-1 0,-1 1 0,0-1 0,-6 21 0,6-27 0,-1-1 0,0 0 0,0 0 0,-1 0 0,0-1 0,0 1 0,0-1 0,0 1 0,-1-1 0,0 0 0,0 0 0,-1-1 0,1 1 0,-7 3 0,11-7 0,-1 0 0,1-1 0,-1 1 0,1-1 0,-1 1 0,0-1 0,1 1 0,-1-1 0,0 1 0,1-1 0,-1 0 0,0 0 0,0 1 0,1-1 0,-1 0 0,0 0 0,0 0 0,0 0 0,1 0 0,-1 1 0,0-2 0,0 1 0,0 0 0,1 0 0,-1 0 0,0 0 0,0 0 0,0-1 0,1 1 0,-1 0 0,0-1 0,1 1 0,-1 0 0,0-1 0,1 1 0,-1-1 0,0 1 0,1-1 0,-1 0 0,1 1 0,-1-1 0,1 0 0,-1 0 0,0 0 0,1-1 0,0 1 0,-1 0 0,1 0 0,0-1 0,0 1 0,0 0 0,0-1 0,0 1 0,0 0 0,0 0 0,1-1 0,-1 1 0,0 0 0,1 0 0,-1 0 0,1-1 0,-1 1 0,1 0 0,0 0 0,-1 0 0,1 0 0,0 0 0,0 0 0,0 0 0,1-1 0,-2 2 0,1-1 0,0 1 0,0 0 0,0-1 0,0 1 0,0 0 0,0 0 0,0 0 0,0 0 0,0 0 0,0 0 0,0 0 0,0 0 0,0 0 0,0 0 0,-1 0 0,1 1 0,0-1 0,0 0 0,0 1 0,0-1 0,0 0 0,0 1 0,-1-1 0,1 1 0,0 0 0,0-1 0,-1 1 0,1 0 0,0-1 0,0 2 0,26 30 0,-19-23 0,-3-2-105,0-1 0,1 0 0,-1-1 0,2 1 0,-1-1 0,1 0 0,-1-1 0,1 1 0,0-1 0,1-1 0,-1 1 0,12 3 0,-5-5-6721</inkml:trace>
  <inkml:trace contextRef="#ctx0" brushRef="#br0" timeOffset="10">2775 399 24575,'4'-8'0,"0"1"0,-1 0 0,0-1 0,0 0 0,2-12 0,-4 16 0,0 1 0,0-1 0,0 0 0,-1 0 0,0 0 0,1 0 0,-2 0 0,1 1 0,0-1 0,-1 0 0,0 0 0,1 0 0,-3-4 0,3 8 0,0 0 0,0-1 0,-1 1 0,1 0 0,0-1 0,0 1 0,0 0 0,-1-1 0,1 1 0,0 0 0,-1 0 0,1-1 0,0 1 0,0 0 0,-1 0 0,1-1 0,0 1 0,-1 0 0,1 0 0,-1 0 0,1 0 0,0 0 0,-1 0 0,1-1 0,0 1 0,-1 0 0,1 0 0,-1 0 0,1 0 0,0 0 0,-1 0 0,1 1 0,-1-1 0,1 0 0,-1 0 0,-12 13 0,-5 20 0,15-25 0,1 0 0,0 0 0,1 0 0,0 1 0,-1 14 0,2-22 0,0 1 0,1-1 0,-1 1 0,0-1 0,0 1 0,1-1 0,-1 1 0,0-1 0,1 1 0,0-1 0,-1 1 0,1-1 0,0 0 0,0 0 0,0 1 0,1 0 0,-1-1 0,0-1 0,0 1 0,0-1 0,0 1 0,0-1 0,0 0 0,0 1 0,1-1 0,-1 0 0,0 0 0,0 0 0,0 0 0,0 0 0,1 0 0,-1 0 0,0-1 0,0 1 0,0 0 0,0-1 0,0 1 0,0 0 0,0-1 0,0 0 0,0 1 0,1-2 0,1 1 0,0-1 0,0 0 0,0 0 0,-1-1 0,1 1 0,-1-1 0,0 1 0,0-1 0,0 0 0,0 1 0,0-1 0,0 0 0,-1 0 0,1 0 0,-1-1 0,1-3 0,12-22 0,-14 29 0,1 0 0,-1 0 0,0 0 0,0 0 0,0 0 0,1 1 0,-1-1 0,0 0 0,0 0 0,0 0 0,1 0 0,-1 0 0,0 0 0,0 0 0,0 0 0,0 0 0,1 0 0,-1 1 0,0-1 0,0 0 0,0 0 0,0 0 0,0 0 0,1 0 0,-1 1 0,0-1 0,0 0 0,0 0 0,0 0 0,0 0 0,0 1 0,0-1 0,0 0 0,0 0 0,0 0 0,0 1 0,0-1 0,0 0 0,0 0 0,0 0 0,0 1 0,0-1 0,5 17 0,-2-10 0,-2-4 0,0 0 0,0 0 0,1 0 0,-1-1 0,1 1 0,0-1 0,0 1 0,0-1 0,0 0 0,0 1 0,1-1 0,-1 0 0,0 0 0,1-1 0,5 4 0,-7-5 0,1 1 0,-1-1 0,1 0 0,-1 0 0,1 1 0,-1-1 0,1 0 0,-1 0 0,1 0 0,-1 0 0,1-1 0,-1 1 0,1 0 0,-1-1 0,1 1 0,-1-1 0,1 1 0,-1-1 0,0 0 0,1 0 0,-1 1 0,0-1 0,0 0 0,1 0 0,-1 0 0,0-1 0,0 1 0,0 0 0,0 0 0,-1 0 0,1-1 0,0 1 0,0 0 0,0-2 0,2-4 0,0 0 0,0-1 0,-1 1 0,1 0 0,-2-1 0,1 1 0,0-12 0,-1-55 0,-1 58 0,-4-17 0,4 32 0,0 1 0,0 0 0,0 0 0,0 0 0,0 0 0,0 0 0,0 0 0,0 0 0,0 0 0,0-1 0,0 1 0,0 0 0,0 0 0,0 0 0,0 0 0,0 0 0,0 0 0,-1 0 0,1 0 0,0 0 0,0 0 0,0-1 0,0 1 0,0 0 0,0 0 0,0 0 0,0 0 0,0 0 0,0 0 0,-1 0 0,1 0 0,0 0 0,0 0 0,0 0 0,0 0 0,0 0 0,0 0 0,0 0 0,0 0 0,-1 0 0,1 0 0,0 0 0,0 0 0,0 0 0,0 0 0,0 0 0,0 0 0,0 0 0,0 0 0,-1 0 0,1 0 0,0 0 0,0 1 0,0-1 0,0 0 0,0 0 0,0 0 0,0 0 0,0 0 0,0 0 0,0 0 0,0 0 0,0 0 0,-7 19 0,2 10 0,0 1 0,2-1 0,1 48 0,2-75 0,0-1 0,0 1 0,0-1 0,0 0 0,1 1 0,-1-1 0,0 0 0,1 1 0,-1-1 0,0 0 0,1 1 0,0-1 0,-1 0 0,2 2 0,-2-3 0,0 0 0,1 0 0,-1 0 0,0 0 0,1 1 0,-1-1 0,0 0 0,1 0 0,-1 0 0,0 0 0,1 0 0,-1 0 0,1 0 0,-1 0 0,0 0 0,1 0 0,-1 0 0,0 0 0,1 0 0,-1-1 0,0 1 0,1 0 0,-1 0 0,0 0 0,1 0 0,-1-1 0,0 1 0,1 0 0,-1 0 0,0-1 0,1 1 0,4-6 0,1 0 0,-1 0 0,7-12 0,-2 4 0,-9 12 0,0 0 0,1 1 0,-1-1 0,0 1 0,1-1 0,-1 1 0,1 0 0,-1 0 0,1-1 0,0 1 0,0 0 0,-1 1 0,1-1 0,0 0 0,0 0 0,0 1 0,0-1 0,0 1 0,0-1 0,0 1 0,0 0 0,0 0 0,0 0 0,0 0 0,2 1 0,-2 0 0,0 0 0,0 0 0,1 0 0,-1 1 0,-1-1 0,1 0 0,0 1 0,0 0 0,0-1 0,-1 1 0,1 0 0,-1 0 0,0 0 0,1 0 0,-1 0 0,0 1 0,0-1 0,0 0 0,0 0 0,0 4 0,8 38 0,-9-41 0,1-1 0,-1 0 0,0 1 0,0-1 0,0 0 0,0 1 0,0-1 0,-1 0 0,1 1 0,-1-1 0,1 0 0,-1 0 0,0 1 0,0-1 0,0 0 0,-1 2 0,-3-3-1365,0-5-5461</inkml:trace>
  <inkml:trace contextRef="#ctx0" brushRef="#br0" timeOffset="11">3120 117 24575,'0'2'0,"0"4"0,0 3 0,0 4 0,0 1 0,0-1-8191</inkml:trace>
  <inkml:trace contextRef="#ctx0" brushRef="#br0" timeOffset="12">3149 307 24575,'0'-1'0,"0"-1"0,0 1 0,0-1 0,0 1 0,0-1 0,1 1 0,-1-1 0,1 1 0,-1-1 0,1 1 0,1-3 0,-2 4 0,0-1 0,1 1 0,-1-1 0,1 1 0,-1 0 0,0-1 0,1 1 0,-1 0 0,1-1 0,-1 1 0,1 0 0,-1-1 0,1 1 0,-1 0 0,1 0 0,-1 0 0,1 0 0,-1-1 0,1 1 0,0 0 0,-1 0 0,1 0 0,1 1 0,-1-1 0,0 1 0,1-1 0,-1 1 0,0-1 0,0 1 0,1 0 0,-1-1 0,0 1 0,0 0 0,0 0 0,0 0 0,0 0 0,0 0 0,0 0 0,0 0 0,0 1 0,-1-1 0,1 0 0,0 0 0,-1 1 0,1-1 0,0 2 0,1 4 0,-1-1 0,1 1 0,-1 0 0,0 13 0,1 0 0,-2-20 0,0 0 0,0 1 0,0-1 0,0 0 0,0 1 0,0-1 0,0 0 0,0 1 0,1-1 0,-1 0 0,0 1 0,0-1 0,0 0 0,0 0 0,1 1 0,-1-1 0,0 0 0,0 0 0,1 1 0,-1-1 0,0 0 0,0 0 0,1 0 0,-1 1 0,0-1 0,1 0 0,-1 0 0,0 0 0,1 0 0,-1 0 0,0 0 0,1 0 0,-1 0 0,0 0 0,1 0 0,-1 0 0,0 0 0,1 0 0,-1 0 0,0 0 0,1 0 0,-1 0 0,0 0 0,1 0 0,-1 0 0,0-1 0,1 1 0,-1 0 0,0 0 0,0 0 0,1 0 0,-1-1 0,0 1 0,0 0 0,1 0 0,-1-1 0,0 1 0,0 0 0,1-1 0,20-19 0,-17 17 0,1-3 0,-3 4 0,0 0 0,0 0 0,0 0 0,1 0 0,-1 0 0,0 1 0,5-3 0,-6 4 0,0 0 0,0-1 0,1 1 0,-1 0 0,0 0 0,0 0 0,0 0 0,1 0 0,-1 1 0,0-1 0,0 0 0,0 0 0,1 1 0,-1-1 0,0 1 0,0-1 0,0 1 0,0-1 0,0 1 0,0 0 0,1 1 0,3 1 0,30 20 0,-34-22 0,1 0 0,-1 0 0,0 0 0,1-1 0,-1 1 0,1-1 0,-1 1 0,1-1 0,0 1 0,-1-1 0,1 0 0,-1 0 0,1 0 0,0 0 0,-1 0 0,1 0 0,-1 0 0,1 0 0,-1-1 0,1 1 0,2-2 0,-3 1 0,0 0 0,0-1 0,0 1 0,0 0 0,0-1 0,0 1 0,-1-1 0,1 0 0,0 1 0,-1-1 0,0 0 0,1 1 0,-1-1 0,0 0 0,0 1 0,0-1 0,0 0 0,0-2 0,-4-33 0,4 33 0,-1 2 0,1-1 0,-1 0 0,0 0 0,0 0 0,0 1 0,0-1 0,0 0 0,-1 1 0,1-1 0,-1 1 0,1-1 0,-3-1 0,3 3 0,1 1 0,0 0 0,-1-1 0,1 1 0,-1 0 0,1 0 0,0-1 0,-1 1 0,1 0 0,-1 0 0,1 0 0,0 0 0,-1 0 0,1-1 0,-1 1 0,1 0 0,-1 0 0,1 0 0,-1 0 0,1 0 0,0 0 0,-1 0 0,1 1 0,-1-1 0,1 0 0,-1 0 0,1 0 0,-1 1 0,0 0 0,0 0 0,0 0 0,0 0 0,0 0 0,0 0 0,0 1 0,0-1 0,0 0 0,1 1 0,-1-1 0,1 0 0,-1 1 0,0 2 0,0 1 0,-1 0 0,1 1 0,1 0 0,-1-1 0,1 1 0,0 7 0,0-13 0,0 1 0,0 0 0,0 0 0,0 0 0,0-1 0,0 1 0,0 0 0,0 0 0,0 0 0,1-1 0,-1 1 0,0 0 0,1 0 0,-1-1 0,0 1 0,1 0 0,-1-1 0,1 1 0,-1 0 0,1-1 0,-1 1 0,1-1 0,0 1 0,-1-1 0,1 1 0,0-1 0,-1 1 0,1-1 0,0 0 0,0 1 0,-1-1 0,1 0 0,0 0 0,0 1 0,0-1 0,-1 0 0,1 0 0,0 0 0,0 0 0,0 0 0,-1 0 0,1 0 0,0 0 0,0-1 0,0 1 0,-1 0 0,1 0 0,0-1 0,0 1 0,-1 0 0,1-1 0,0 0 0,7-3 0,7-1 0,-14 6 0,0-1 0,-1 1 0,0-1 0,1 1 0,-1-1 0,1 1 0,-1 0 0,0-1 0,1 1 0,-1-1 0,0 1 0,1 0 0,-1-1 0,0 1 0,0 0 0,0-1 0,0 1 0,0 0 0,0 0 0,0-1 0,0 1 0,0 0 0,0-1 0,0 1 0,0 0 0,0-1 0,-1 2 0,-3 43 0,-17 302 0,23-248 0,-2 53 0,-6-111 0,-3-25 0,9-16 0,-1 0 0,1 0 0,-1 0 0,1 1 0,0-1 0,-1 0 0,1 0 0,-1 0 0,1 0 0,-1 0 0,1 0 0,-1 1 0,1-1 0,-1 0 0,1-1 0,-1 1 0,1 0 0,-1 0 0,1 0 0,-1 0 0,1 0 0,0 0 0,-1-1 0,1 1 0,-1 0 0,1 0 0,-1 0 0,1-1 0,0 1 0,-1 0 0,0-1 0,-5-6 0,0 0 0,1 0 0,0 0 0,0-1 0,0 0 0,1 0 0,0 0 0,1 0 0,-4-11 0,0 1 0,-15-39-1365,3 2-5461</inkml:trace>
  <inkml:trace contextRef="#ctx0" brushRef="#br0" timeOffset="13">3622 470 24575,'-3'0'0,"-2"-3"0,-4 0 0,0 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4T06:31:31.463"/>
    </inkml:context>
    <inkml:brush xml:id="br0">
      <inkml:brushProperty name="width" value="0.025" units="cm"/>
      <inkml:brushProperty name="height" value="0.025" units="cm"/>
    </inkml:brush>
  </inkml:definitions>
  <inkml:trace contextRef="#ctx0" brushRef="#br0">0 24 24575,'22'2'-167,"32"8"0,4 2 233,89 10 68,180 4 0,-330-26-134,1 0 0,0-1 0,0 1 0,-1-1 0,1 0 0,0 0 0,0 0 0,0 0 0,0 0 0,0 0 0,0 0 0,0-1 0,-3-2 0,-27-30 0,27 27 0,-1 1 0,0 0 0,0-1 0,-1 2 0,-8-7 0,14 11 0,1 1 0,0 0 0,0 0 0,0-1 0,-1 1 0,1 0 0,0 0 0,0 0 0,0-1 0,-1 1 0,1 0 0,0 0 0,-1 0 0,1 0 0,0 0 0,0-1 0,-1 1 0,1 0 0,0 0 0,-1 0 0,1 0 0,0 0 0,0 0 0,-1 0 0,1 0 0,0 0 0,-1 0 0,1 0 0,0 0 0,-1 0 0,1 0 0,0 1 0,0-1 0,-1 0 0,1 0 0,0 0 0,0 0 0,-1 0 0,1 1 0,0-1 0,0 0 0,-1 0 0,1 1 0,0-1 0,0 1 0,0-1 0,0 1 0,1 0 0,-1-1 0,0 1 0,1 0 0,-1-1 0,0 1 0,1-1 0,-1 1 0,1-1 0,-1 1 0,1-1 0,-1 1 0,1-1 0,0 0 0,-1 1 0,1-1 0,-1 0 0,2 1 0,31 11 0,-26-10 0,0 0 0,0 1 0,-1-1 0,1 1 0,-1 0 0,8 6 0,-12-7 0,-1-1 0,1 0 0,-1 1 0,0-1 0,0 1 0,0 0 0,0-1 0,0 1 0,0 0 0,0-1 0,0 1 0,-1 0 0,1 0 0,-1 0 0,1 0 0,-1 0 0,0 0 0,1 0 0,-1 0 0,0 0 0,-1-1 0,1 1 0,0 0 0,0 0 0,-1 0 0,1 0 0,-1 0 0,-1 2 0,-2 6-105,-1-1 0,0 1 0,0-1 0,-1 0 0,-1-1 0,1 1 0,-1-2 0,-1 1 0,1 0 0,-1-1 0,0-1 0,-13 8 0,-9 5-6721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64"/>
    </inkml:context>
    <inkml:brush xml:id="br0">
      <inkml:brushProperty name="width" value="0.2" units="cm"/>
      <inkml:brushProperty name="height" value="0.4" units="cm"/>
      <inkml:brushProperty name="color" value="#969696"/>
      <inkml:brushProperty name="tip" value="rectangle"/>
      <inkml:brushProperty name="rasterOp" value="maskPen"/>
      <inkml:brushProperty name="ignorePressure" value="1"/>
    </inkml:brush>
  </inkml:definitions>
  <inkml:trace contextRef="#ctx0" brushRef="#br0">1 0,'737'36,"-1186"-44,336 9,644-1,-477 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65"/>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52 0,'15'1,"0"0,16 4,16 1,510 3,-428-10,-949 8,795-7</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66"/>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1 88,'625'-67,"0"49,476 16,-562 4,-791 13,93-3,-1061 33,106-6,1029-34,28 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67"/>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1 362,'33'-2,"0"0,41-10,-27 5,2183-248,-1212 207,-928 39,-26 2,-11 3,225-10,-277 13,0 1,-1 0,1 0,0 0,0 0,-1 0,1 0,0 0,0 0,-1 0,1 0,0 0,0 0,-1 1,1-1,0 0,-1 1,1-1,0 0,-1 1,1-1,0 1,-1-1,1 1,-1 0,0 0,0 0,-1-1,1 1,0 0,-1-1,1 1,0 0,-1-1,1 1,-1-1,1 1,-1 0,0-1,1 1,-1-1,1 0,-2 1,-38 22,39-22,-51 24,-2-3,0-1,-1-3,-1-3,-98 15,-311 7,-3-29,-113 6,454-7,-538 18,136 12,292-13,155-18,75-5</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68"/>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85,'527'-38,"-246"10,144 9,-194 20,-219-1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69"/>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13,'104'-6,"-15"0,436 11,-166 2,-283-6,1076 11,-1065-10,127 19,-197-18,-2-1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70"/>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1,'637'22,"-193"-3,2-22,-245-8,267-10,-417 20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71"/>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0 126,'4'0,"9"0,22-1,22-2,25-5,20-2,16-2,36-1,25-2,10 1,-6 0,-21 1,-31 3,-35 2,-34 3</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72"/>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0,'9'0,"41"0,58 0,53 0,29 0,7 0,-17 0,-32 0,-37 0,-39 0</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73"/>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0 6,'3'0,"25"0,28 0,23 2,15 0,4 2,-6-2,-14 1,-20-2,-18 0,-11-1,-2-2,-2-3,5 1,-4 0,-4 0,-7 2</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74"/>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1 419,'2'0,"7"-1,10-4,18-5,28-7,30-6,39-10,44-10,34-7,10-1,-1 4,-19 3,-35 8,-44 9,-41 8,-34 9,-26 8,-16 3</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75"/>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1 132,'2'0,"4"0,16-1,23-7,32-5,40-9,69-1,38 2,5 3,-12 6,-34 4,-45 4,-45 2,-38 2</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8-14T06:31:31.476"/>
    </inkml:context>
    <inkml:brush xml:id="br0">
      <inkml:brushProperty name="width" value="0.2" units="cm"/>
      <inkml:brushProperty name="height" value="0.4" units="cm"/>
      <inkml:brushProperty name="color" value="#FFACD5"/>
      <inkml:brushProperty name="tip" value="rectangle"/>
      <inkml:brushProperty name="rasterOp" value="maskPen"/>
      <inkml:brushProperty name="ignorePressure" value="1"/>
    </inkml:brush>
  </inkml:definitions>
  <inkml:trace contextRef="#ctx0" brushRef="#br0">1 0,'2'0,"9"0,24 0,24 0,25 0,38 0,72 0,71 0,84 0,47 3,11 6,-16 10,-55 6,-72 2,-74-1,-70-6,-56-5</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HASSAN" refreshedDate="46250.522178472223" backgroundQuery="1" createdVersion="8" refreshedVersion="8" minRefreshableVersion="3" recordCount="0" supportSubquery="1" supportAdvancedDrill="1" xr:uid="{2A8B089C-16DD-402B-B42D-53D0FB5151B1}">
  <cacheSource type="external" connectionId="1"/>
  <cacheFields count="3">
    <cacheField name="[Range].[OrderDate (Month)].[OrderDate (Month)]" caption="OrderDate (Month)" numFmtId="0" hierarchy="28" level="1">
      <sharedItems count="12">
        <s v="Jan"/>
        <s v="Feb"/>
        <s v="Mar"/>
        <s v="Apr"/>
        <s v="May"/>
        <s v="Jun"/>
        <s v="Jul"/>
        <s v="Aug"/>
        <s v="Sep"/>
        <s v="Oct"/>
        <s v="Nov"/>
        <s v="Dec"/>
      </sharedItems>
    </cacheField>
    <cacheField name="[Measures].[Sum of TotalAmount]" caption="Sum of TotalAmount" numFmtId="0" hierarchy="32" level="32767"/>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2"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2" memberValueDatatype="2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Brand]" caption="Brand" attribute="1" defaultMemberUniqueName="[Range].[Brand].[All]" allUniqueName="[Range].[Bran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20" unbalanced="0"/>
    <cacheHierarchy uniqueName="[Range].[DiscountAmount]" caption="DiscountAmount" attribute="1" defaultMemberUniqueName="[Range].[DiscountAmount].[All]" allUniqueName="[Range].[DiscountAmount].[All]" dimensionUniqueName="[Range]" displayFolder="" count="2" memberValueDatatype="5" unbalanced="0"/>
    <cacheHierarchy uniqueName="[Range].[Tax]" caption="Tax" attribute="1" defaultMemberUniqueName="[Range].[Tax].[All]" allUniqueName="[Range].[Tax].[All]" dimensionUniqueName="[Range]" displayFolder="" count="2" memberValueDatatype="5" unbalanced="0"/>
    <cacheHierarchy uniqueName="[Range].[ShippingCost]" caption="ShippingCost" attribute="1" defaultMemberUniqueName="[Range].[ShippingCost].[All]" allUniqueName="[Range].[ShippingCost].[All]" dimensionUniqueName="[Range]" displayFolder="" count="2" memberValueDatatype="20" unbalanced="0"/>
    <cacheHierarchy uniqueName="[Range].[TotalAmount]" caption="TotalAmount" attribute="1" defaultMemberUniqueName="[Range].[TotalAmount].[All]" allUniqueName="[Range].[TotalAmount].[All]" dimensionUniqueName="[Range]" displayFolder="" count="2" memberValueDatatype="5"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2" memberValueDatatype="20" unbalanced="0"/>
    <cacheHierarchy uniqueName="[Range].[ReturnStatus]" caption="ReturnStatus" attribute="1" defaultMemberUniqueName="[Range].[ReturnStatus].[All]" allUniqueName="[Range].[ReturnStatus].[All]" dimensionUniqueName="[Range]" displayFolder="" count="2" memberValueDatatype="130" unbalanced="0"/>
    <cacheHierarchy uniqueName="[Range].[Rating]" caption="Rating" attribute="1" defaultMemberUniqueName="[Range].[Rating].[All]" allUniqueName="[Range].[Rating].[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OrderDate (Year)]" caption="OrderDate (Year)" attribute="1" defaultMemberUniqueName="[Range].[OrderDate (Year)].[All]" allUniqueName="[Range].[OrderDate (Year)].[All]" dimensionUniqueName="[Range]" displayFolder="" count="2" memberValueDatatype="130" unbalanced="0"/>
    <cacheHierarchy uniqueName="[Range].[OrderDate (Quarter)]" caption="OrderDate (Quarter)" attribute="1" defaultMemberUniqueName="[Range].[OrderDate (Quarter)].[All]" allUniqueName="[Range].[OrderDate (Quarter)].[All]" dimensionUniqueName="[Range]" displayFolder="" count="2" memberValueDatatype="130" unbalanced="0"/>
    <cacheHierarchy uniqueName="[Range].[OrderDate (Month)]" caption="OrderDate (Month)" attribute="1" defaultMemberUniqueName="[Range].[OrderDate (Month)].[All]" allUniqueName="[Range].[OrderDate (Month)].[All]" dimensionUniqueName="[Range]" displayFolder="" count="2" memberValueDatatype="130" unbalanced="0">
      <fieldsUsage count="2">
        <fieldUsage x="-1"/>
        <fieldUsage x="0"/>
      </fieldsUsage>
    </cacheHierarchy>
    <cacheHierarchy uniqueName="[Range].[OrderDate (Month Index)]" caption="OrderDate (Month Index)" attribute="1" defaultMemberUniqueName="[Range].[OrderDate (Month Index)].[All]" allUniqueName="[Range].[Order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HASSAN" refreshedDate="46250.522178935185" backgroundQuery="1" createdVersion="8" refreshedVersion="8" minRefreshableVersion="3" recordCount="0" supportSubquery="1" supportAdvancedDrill="1" xr:uid="{33A5C539-DD08-42C9-AC8D-89B43C66981F}">
  <cacheSource type="external" connectionId="1"/>
  <cacheFields count="2">
    <cacheField name="[Measures].[Average of Rating]" caption="Average of Rating" numFmtId="0" hierarchy="36" level="32767"/>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HASSAN" refreshedDate="46250.522179861109" backgroundQuery="1" createdVersion="8" refreshedVersion="8" minRefreshableVersion="3" recordCount="0" supportSubquery="1" supportAdvancedDrill="1" xr:uid="{2D237C5F-9ED8-4D57-B40E-F4CB4F99F75D}">
  <cacheSource type="external" connectionId="1"/>
  <cacheFields count="2">
    <cacheField name="[Measures].[Average of DeliveryDays]" caption="Average of DeliveryDays" numFmtId="0" hierarchy="34" level="32767"/>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HASSAN" refreshedDate="46250.522180902779" backgroundQuery="1" createdVersion="8" refreshedVersion="8" minRefreshableVersion="3" recordCount="0" supportSubquery="1" supportAdvancedDrill="1" xr:uid="{A39EA897-C3EE-4818-9AF1-6F78BB87D741}">
  <cacheSource type="external" connectionId="1"/>
  <cacheFields count="3">
    <cacheField name="[Measures].[Sum of TotalAmount]" caption="Sum of TotalAmount" numFmtId="0" hierarchy="32" level="32767"/>
    <cacheField name="[Range].[Brand].[Brand]" caption="Brand" numFmtId="0" hierarchy="9" level="1">
      <sharedItems count="10">
        <s v="Adidas"/>
        <s v="Apple"/>
        <s v="Boat"/>
        <s v="Dell"/>
        <s v="HP"/>
        <s v="Lenovo"/>
        <s v="Nike"/>
        <s v="Noise"/>
        <s v="Samsung"/>
        <s v="Sony"/>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HASSAN" refreshedDate="46250.522181481479" backgroundQuery="1" createdVersion="8" refreshedVersion="8" minRefreshableVersion="3" recordCount="0" supportSubquery="1" supportAdvancedDrill="1" xr:uid="{CCB3C628-D8FA-4377-B9FC-C9A40334D828}">
  <cacheSource type="external" connectionId="1"/>
  <cacheFields count="3">
    <cacheField name="[Measures].[Sum of TotalAmount]" caption="Sum of TotalAmount" numFmtId="0" hierarchy="32" level="32767"/>
    <cacheField name="[Range].[OrderChannel].[OrderChannel]" caption="OrderChannel" numFmtId="0" hierarchy="18" level="1">
      <sharedItems count="2">
        <s v="Mobile App"/>
        <s v="Website"/>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HASSAN" refreshedDate="46250.522182060187" backgroundQuery="1" createdVersion="8" refreshedVersion="8" minRefreshableVersion="3" recordCount="0" supportSubquery="1" supportAdvancedDrill="1" xr:uid="{8128DF3E-05A4-4E23-A1EE-8F0A2B8B3F2A}">
  <cacheSource type="external" connectionId="1"/>
  <cacheFields count="3">
    <cacheField name="[Measures].[Sum of TotalAmount]" caption="Sum of TotalAmount" numFmtId="0" hierarchy="32" level="32767"/>
    <cacheField name="[Range].[PaymentMethod].[PaymentMethod]" caption="PaymentMethod" numFmtId="0" hierarchy="17" level="1">
      <sharedItems count="4">
        <s v="Card"/>
        <s v="Cash on Delivery"/>
        <s v="Net Banking"/>
        <s v="UPI"/>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1"/>
      </fieldsUsage>
    </cacheHierarchy>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HASSAN" refreshedDate="46250.522182523149" backgroundQuery="1" createdVersion="8" refreshedVersion="8" minRefreshableVersion="3" recordCount="0" supportSubquery="1" supportAdvancedDrill="1" xr:uid="{8F5F7B2D-0E7F-4C42-A89D-E965110C3964}">
  <cacheSource type="external" connectionId="1"/>
  <cacheFields count="3">
    <cacheField name="[Measures].[Sum of TotalAmount]" caption="Sum of TotalAmount" numFmtId="0" hierarchy="32" level="32767"/>
    <cacheField name="[Range].[Product].[Product]" caption="Product" numFmtId="0" hierarchy="6" level="1">
      <sharedItems count="10">
        <s v="Backpack"/>
        <s v="Camera"/>
        <s v="Headphones"/>
        <s v="Keyboard"/>
        <s v="Laptop"/>
        <s v="Mouse"/>
        <s v="Phone"/>
        <s v="Shoes"/>
        <s v="Tablet"/>
        <s v="Watch"/>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HASSAN" refreshedDate="46250.52218310185" backgroundQuery="1" createdVersion="8" refreshedVersion="8" minRefreshableVersion="3" recordCount="0" supportSubquery="1" supportAdvancedDrill="1" xr:uid="{5D002677-F5C6-4EA5-9D59-473FEC10AFE2}">
  <cacheSource type="external" connectionId="1"/>
  <cacheFields count="3">
    <cacheField name="[Measures].[Sum of TotalAmount]" caption="Sum of TotalAmount" numFmtId="0" hierarchy="32" level="32767"/>
    <cacheField name="[Range].[ReturnStatus].[ReturnStatus]" caption="ReturnStatus" numFmtId="0" hierarchy="23" level="1">
      <sharedItems count="2">
        <s v="No Return"/>
        <s v="Returned"/>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HASSAN" refreshedDate="46250.522183796296" backgroundQuery="1" createdVersion="8" refreshedVersion="8" minRefreshableVersion="3" recordCount="0" supportSubquery="1" supportAdvancedDrill="1" xr:uid="{46AB7D8F-1DC9-4D0C-B12B-4A82A72A4955}">
  <cacheSource type="external" connectionId="1"/>
  <cacheFields count="3">
    <cacheField name="[Measures].[Sum of TotalAmount]" caption="Sum of TotalAmount" numFmtId="0" hierarchy="32" level="32767"/>
    <cacheField name="[Range].[State].[State]" caption="State" numFmtId="0" hierarchy="20" level="1">
      <sharedItems count="5">
        <s v="Balochistan"/>
        <s v="Islamabad Capital Territory"/>
        <s v="Khyber Pakhtunkhwa"/>
        <s v="Punjab"/>
        <s v="Sindh"/>
      </sharedItems>
    </cacheField>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HASSAN" refreshedDate="46250.52218414352" backgroundQuery="1" createdVersion="8" refreshedVersion="8" minRefreshableVersion="3" recordCount="0" supportSubquery="1" supportAdvancedDrill="1" xr:uid="{9BC53C20-B97A-464C-871B-B811C33138A2}">
  <cacheSource type="external" connectionId="1"/>
  <cacheFields count="2">
    <cacheField name="[Measures].[Sum of TotalAmount]" caption="Sum of TotalAmount" numFmtId="0" hierarchy="32" level="32767"/>
    <cacheField name="[Range].[Gender].[Gender]" caption="Gender" numFmtId="0" hierarchy="4" level="1">
      <sharedItems containsSemiMixedTypes="0" containsNonDate="0" containsString="0"/>
    </cacheField>
  </cacheFields>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HASSAN" refreshedDate="46248.525332870369" backgroundQuery="1" createdVersion="3" refreshedVersion="8" minRefreshableVersion="3" recordCount="0" supportSubquery="1" supportAdvancedDrill="1" xr:uid="{F6FC76B0-00DA-4747-9657-4B0B0F6F4AA5}">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0"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55645607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HASSAN" refreshedDate="46248.525844560187" backgroundQuery="1" createdVersion="3" refreshedVersion="8" minRefreshableVersion="3" recordCount="0" supportSubquery="1" supportAdvancedDrill="1" xr:uid="{DF6AEB10-815A-4AF1-B4AD-8CA971BD764F}">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OrderID]" caption="OrderID" attribute="1" defaultMemberUniqueName="[Range].[OrderID].[All]" allUniqueName="[Range].[OrderID].[All]" dimensionUniqueName="[Range]" displayFolder="" count="0" memberValueDatatype="130" unbalanced="0"/>
    <cacheHierarchy uniqueName="[Range].[OrderDate]" caption="OrderDate" attribute="1" time="1" defaultMemberUniqueName="[Range].[OrderDate].[All]" allUniqueName="[Range].[OrderDate].[All]" dimensionUniqueName="[Range]" displayFolder="" count="2" memberValueDatatype="7" unbalanced="0"/>
    <cacheHierarchy uniqueName="[Range].[CustomerID]" caption="CustomerID" attribute="1" defaultMemberUniqueName="[Range].[CustomerID].[All]" allUniqueName="[Range].[Custom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20" unbalanced="0"/>
    <cacheHierarchy uniqueName="[Range].[DiscountAmount]" caption="DiscountAmount" attribute="1" defaultMemberUniqueName="[Range].[DiscountAmount].[All]" allUniqueName="[Range].[DiscountAmount].[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Date (Year)]" caption="OrderDate (Year)" attribute="1" defaultMemberUniqueName="[Range].[OrderDate (Year)].[All]" allUniqueName="[Range].[OrderDate (Year)].[All]" dimensionUniqueName="[Range]" displayFolder="" count="0" memberValueDatatype="130" unbalanced="0"/>
    <cacheHierarchy uniqueName="[Range].[OrderDate (Quarter)]" caption="OrderDate (Quarter)" attribute="1" defaultMemberUniqueName="[Range].[OrderDate (Quarter)].[All]" allUniqueName="[Range].[OrderDate (Quarter)].[All]" dimensionUniqueName="[Range]" displayFolder="" count="0" memberValueDatatype="130" unbalanced="0"/>
    <cacheHierarchy uniqueName="[Range].[OrderDate (Month)]" caption="OrderDate (Month)" attribute="1" defaultMemberUniqueName="[Range].[OrderDate (Month)].[All]" allUniqueName="[Range].[OrderDate (Month)].[All]" dimensionUniqueName="[Range]" displayFolder="" count="0" memberValueDatatype="130" unbalanced="0"/>
    <cacheHierarchy uniqueName="[Range].[OrderDate (Month Index)]" caption="OrderDate (Month Index)" attribute="1" defaultMemberUniqueName="[Range].[OrderDate (Month Index)].[All]" allUniqueName="[Range].[Order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21310858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7F36A4-979D-4702-B1EB-C5E8C8B44DA2}" name="Product" cacheId="212"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location ref="E3:F13"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Sum of TotalAmount" fld="0" showDataAs="percentOfTotal" baseField="0" baseItem="0" numFmtId="10"/>
  </dataField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 Data!$A$1:$Z$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AE414A-E60B-4DCA-B345-484976B66319}" name="Average RAting" cacheId="19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F3:A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dataFields>
  <formats count="1">
    <format dxfId="18">
      <pivotArea outline="0" collapsedLevelsAreSubtotals="1" fieldPosition="0"/>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Days"/>
    <pivotHierarchy dragToData="1"/>
    <pivotHierarchy dragToData="1" caption="Average of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 Data!$A$1:$Z$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08BB1D-9772-49A9-BC28-1060AA67DFBE}" name="AverageDeliveryDays" cacheId="20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D3:A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Days" fld="0" subtotal="average" baseField="0" baseItem="0"/>
  </dataFields>
  <formats count="1">
    <format dxfId="19">
      <pivotArea outline="0" collapsedLevelsAreSubtotals="1" fieldPosition="0"/>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Day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 Data!$A$1:$Z$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DDDA87-A1D3-49AC-9BEF-33F21818E9B5}" name="Return Status" cacheId="21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
  <location ref="X3:Y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Amount" fld="0"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 count="1" selected="0">
            <x v="0"/>
          </reference>
        </references>
      </pivotArea>
    </chartFormat>
    <chartFormat chart="9" format="11">
      <pivotArea type="data" outline="0" fieldPosition="0">
        <references count="2">
          <reference field="4294967294" count="1" selected="0">
            <x v="0"/>
          </reference>
          <reference field="1"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 count="1" selected="0">
            <x v="0"/>
          </reference>
        </references>
      </pivotArea>
    </chartFormat>
    <chartFormat chart="10" format="14">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 Data!$A$1:$Z$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51EB0E-51FA-4DD3-ACD9-86BC62ADEB95}" name="PaymentMethod" cacheId="20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M3:N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Amount" fld="0"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 Data!$A$1:$Z$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C1AD17-3988-4D12-B140-98406B0A0DA2}" name="Month" cacheId="19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Amount" fld="1"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 Data!$A$1:$Z$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187463-D7AE-4915-94E9-93C235BAE5EA}" name="States" cacheId="21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T3:U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Amount" fld="0" showDataAs="percentOfTotal" baseField="0" baseItem="0" numFmtId="10"/>
  </dataField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 Data!$A$1:$Z$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4DE1A8-1F0B-4E19-BBDB-641E2BB3D468}" name="Total Sales" cacheId="22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B3:A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Amount" fld="0" baseField="0" baseItem="0" numFmtId="164"/>
  </dataFields>
  <formats count="1">
    <format dxfId="20">
      <pivotArea outline="0" collapsedLevelsAreSubtotals="1" fieldPosition="0"/>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 Data!$A$1:$Z$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B3B37C-7A63-4F08-B49A-5A5C89243476}" name="Brand" cacheId="20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I3:J14" firstHeaderRow="1" firstDataRow="1" firstDataCol="1"/>
  <pivotFields count="3">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TotalAmount" fld="0"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 Data!$A$1:$Z$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271C9C-43D5-4DF2-B27E-74A68A4AC5A6}" name="OrderChannel" cacheId="20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Q3:R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Amount" fld="0"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 count="1" selected="0">
            <x v="0"/>
          </reference>
        </references>
      </pivotArea>
    </chartFormat>
    <chartFormat chart="11" format="12">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 Data!$A$1:$Z$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EB592C-8851-43AC-AE7F-6C12187E877B}" sourceName="[Range].[Region]">
  <pivotTables>
    <pivotTable tabId="2" name="Month"/>
    <pivotTable tabId="2" name="Average RAting"/>
    <pivotTable tabId="2" name="AverageDeliveryDays"/>
    <pivotTable tabId="2" name="Brand"/>
    <pivotTable tabId="2" name="OrderChannel"/>
    <pivotTable tabId="2" name="PaymentMethod"/>
    <pivotTable tabId="2" name="Product"/>
    <pivotTable tabId="2" name="Return Status"/>
    <pivotTable tabId="2" name="States"/>
    <pivotTable tabId="2" name="Total Sales"/>
  </pivotTables>
  <data>
    <olap pivotCacheId="1556456075">
      <levels count="2">
        <level uniqueName="[Range].[Region].[(All)]" sourceCaption="(All)" count="0"/>
        <level uniqueName="[Range].[Region].[Region]" sourceCaption="Region" count="3">
          <ranges>
            <range startItem="0">
              <i n="[Range].[Region].&amp;[North]" c="North"/>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E7E1BB5-D5C8-4A43-A9D8-7EC265E06DDD}" sourceName="[Range].[Category]">
  <pivotTables>
    <pivotTable tabId="2" name="Month"/>
    <pivotTable tabId="2" name="Average RAting"/>
    <pivotTable tabId="2" name="AverageDeliveryDays"/>
    <pivotTable tabId="2" name="Brand"/>
    <pivotTable tabId="2" name="OrderChannel"/>
    <pivotTable tabId="2" name="PaymentMethod"/>
    <pivotTable tabId="2" name="Product"/>
    <pivotTable tabId="2" name="Return Status"/>
    <pivotTable tabId="2" name="States"/>
    <pivotTable tabId="2" name="Total Sales"/>
  </pivotTables>
  <data>
    <olap pivotCacheId="1556456075">
      <levels count="2">
        <level uniqueName="[Range].[Category].[(All)]" sourceCaption="(All)" count="0"/>
        <level uniqueName="[Range].[Category].[Category]" sourceCaption="Category" count="3">
          <ranges>
            <range startItem="0">
              <i n="[Range].[Category].&amp;[Accessories]" c="Accessories"/>
              <i n="[Range].[Category].&amp;[Electronics]" c="Electronics"/>
              <i n="[Range].[Category].&amp;[Fashion]" c="Fashion"/>
            </range>
          </ranges>
        </level>
      </levels>
      <selections count="1">
        <selection n="[Range].[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C1582AC-9ACD-450A-AE3E-159A2B3C09A1}" sourceName="[Range].[Gender]">
  <pivotTables>
    <pivotTable tabId="2" name="Month"/>
    <pivotTable tabId="2" name="Average RAting"/>
    <pivotTable tabId="2" name="AverageDeliveryDays"/>
    <pivotTable tabId="2" name="Brand"/>
    <pivotTable tabId="2" name="OrderChannel"/>
    <pivotTable tabId="2" name="PaymentMethod"/>
    <pivotTable tabId="2" name="Product"/>
    <pivotTable tabId="2" name="Return Status"/>
    <pivotTable tabId="2" name="States"/>
    <pivotTable tabId="2" name="Total Sales"/>
  </pivotTables>
  <data>
    <olap pivotCacheId="1556456075">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Channel" xr10:uid="{566AEEC5-09F4-409B-A110-CAD09329F153}" sourceName="[Range].[OrderChannel]">
  <pivotTables>
    <pivotTable tabId="2" name="Month"/>
    <pivotTable tabId="2" name="Average RAting"/>
    <pivotTable tabId="2" name="AverageDeliveryDays"/>
    <pivotTable tabId="2" name="Brand"/>
    <pivotTable tabId="2" name="OrderChannel"/>
    <pivotTable tabId="2" name="PaymentMethod"/>
    <pivotTable tabId="2" name="Product"/>
    <pivotTable tabId="2" name="Return Status"/>
    <pivotTable tabId="2" name="States"/>
    <pivotTable tabId="2" name="Total Sales"/>
  </pivotTables>
  <data>
    <olap pivotCacheId="1556456075">
      <levels count="2">
        <level uniqueName="[Range].[OrderChannel].[(All)]" sourceCaption="(All)" count="0"/>
        <level uniqueName="[Range].[OrderChannel].[OrderChannel]" sourceCaption="OrderChannel" count="2">
          <ranges>
            <range startItem="0">
              <i n="[Range].[OrderChannel].&amp;[Mobile App]" c="Mobile App"/>
              <i n="[Range].[OrderChannel].&amp;[Website]" c="Website"/>
            </range>
          </ranges>
        </level>
      </levels>
      <selections count="1">
        <selection n="[Range].[Order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7931182-5B3A-447D-BCE8-BDB0589806C5}" cache="Slicer_Region" caption="Region" level="1" rowHeight="251883"/>
  <slicer name="Category" xr10:uid="{26C2D9B6-7D4F-4F3C-AE28-9788719566F5}" cache="Slicer_Category" caption="Category" level="1" rowHeight="251883"/>
  <slicer name="Gender" xr10:uid="{4C6566F7-0770-4331-BFA4-DFB8CBAB98A9}" cache="Slicer_Gender" caption="Gender" level="1" rowHeight="251883"/>
  <slicer name="OrderChannel" xr10:uid="{D75A90FD-7229-47D0-B48D-A5CC9F500158}" cache="Slicer_OrderChannel" caption="OrderChannel"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DCD74FC-0E77-4C79-87C9-25D1EE86865A}" cache="Slicer_Region" caption="Region" level="1" style="SlicerStyleDark5" rowHeight="251883"/>
  <slicer name="Category 1" xr10:uid="{E5EAC3C5-9A42-4B4E-8AE8-3C57989A07CF}" cache="Slicer_Category" caption="Category" level="1" style="SlicerStyleDark5" rowHeight="251883"/>
  <slicer name="Gender 1" xr10:uid="{4ACEAD0F-430C-4C69-B3F1-6677F66507CC}" cache="Slicer_Gender" caption="Gender" level="1" style="SlicerStyleDark5" rowHeight="251883"/>
  <slicer name="OrderChannel 1" xr10:uid="{EABE5901-780F-45EB-AB74-C714DB6D2393}" cache="Slicer_OrderChannel" caption="OrderChannel" level="1" style="SlicerStyleDark5"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EC5DE2E1-1211-4610-A400-F2C6E208ECBA}" sourceName="[Range].[OrderDate]">
  <pivotTables>
    <pivotTable tabId="2" name="Month"/>
    <pivotTable tabId="2" name="Average RAting"/>
    <pivotTable tabId="2" name="AverageDeliveryDays"/>
    <pivotTable tabId="2" name="Brand"/>
    <pivotTable tabId="2" name="OrderChannel"/>
    <pivotTable tabId="2" name="PaymentMethod"/>
    <pivotTable tabId="2" name="Product"/>
    <pivotTable tabId="2" name="Return Status"/>
    <pivotTable tabId="2" name="States"/>
    <pivotTable tabId="2" name="Total Sales"/>
  </pivotTables>
  <state minimalRefreshVersion="6" lastRefreshVersion="6" pivotCacheId="213108585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6181EBC5-29FE-4FDA-B9CC-395143A2108C}" cache="Timeline_OrderDate" caption="OrderDate" level="2" selectionLevel="2" scrollPosition="2026-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C3F98BAA-BCA1-4D57-A8C9-C66E9A830533}" cache="Timeline_OrderDate" caption="OrderDate" level="2" selectionLevel="2" scrollPosition="2026-06-06T00:00:00" style="TimeSlicerStyleLight5"/>
</timeline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6684-375E-4673-B7CD-B176EE7ACD8A}">
  <dimension ref="A1:Z1002"/>
  <sheetViews>
    <sheetView topLeftCell="A212" workbookViewId="0"/>
  </sheetViews>
  <sheetFormatPr defaultRowHeight="14.5" x14ac:dyDescent="0.35"/>
  <cols>
    <col min="1" max="1" width="9.54296875" bestFit="1" customWidth="1"/>
    <col min="2" max="3" width="9.7265625" bestFit="1" customWidth="1"/>
    <col min="4" max="4" width="12.54296875" bestFit="1" customWidth="1"/>
    <col min="5" max="5" width="6.81640625" bestFit="1" customWidth="1"/>
    <col min="6" max="6" width="3.54296875" bestFit="1" customWidth="1"/>
    <col min="7" max="7" width="11" bestFit="1" customWidth="1"/>
    <col min="8" max="8" width="10.7265625" bestFit="1" customWidth="1"/>
    <col min="9" max="9" width="11" bestFit="1" customWidth="1"/>
    <col min="10" max="10" width="8.1796875" bestFit="1" customWidth="1"/>
    <col min="11" max="11" width="6.90625" bestFit="1" customWidth="1"/>
    <col min="12" max="12" width="7.453125" bestFit="1" customWidth="1"/>
    <col min="13" max="13" width="7.36328125" bestFit="1" customWidth="1"/>
    <col min="14" max="14" width="13.1796875" bestFit="1" customWidth="1"/>
    <col min="15" max="15" width="8.81640625" bestFit="1" customWidth="1"/>
    <col min="16" max="16" width="10.36328125" bestFit="1" customWidth="1"/>
    <col min="17" max="17" width="10.1796875" bestFit="1" customWidth="1"/>
    <col min="18" max="18" width="14.26953125" bestFit="1" customWidth="1"/>
    <col min="19" max="19" width="11.08984375" bestFit="1" customWidth="1"/>
    <col min="20" max="20" width="9.6328125" bestFit="1" customWidth="1"/>
    <col min="21" max="21" width="26.453125" customWidth="1"/>
    <col min="22" max="22" width="5.7265625" bestFit="1" customWidth="1"/>
    <col min="23" max="24" width="10.26953125" bestFit="1" customWidth="1"/>
    <col min="25" max="25" width="5.36328125" bestFit="1" customWidth="1"/>
    <col min="26" max="26" width="9" bestFit="1"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s="2" t="s">
        <v>26</v>
      </c>
      <c r="B2" s="3">
        <v>45854</v>
      </c>
      <c r="C2" s="2" t="s">
        <v>27</v>
      </c>
      <c r="D2" s="2" t="s">
        <v>28</v>
      </c>
      <c r="E2" s="2" t="s">
        <v>29</v>
      </c>
      <c r="F2" s="2">
        <v>35</v>
      </c>
      <c r="G2" s="2" t="s">
        <v>30</v>
      </c>
      <c r="H2" s="2" t="s">
        <v>31</v>
      </c>
      <c r="I2" s="2" t="s">
        <v>30</v>
      </c>
      <c r="J2" s="2" t="s">
        <v>32</v>
      </c>
      <c r="K2" s="2">
        <v>2</v>
      </c>
      <c r="L2" s="2">
        <v>24446</v>
      </c>
      <c r="M2" s="2">
        <v>5</v>
      </c>
      <c r="N2" s="2">
        <v>2444.6</v>
      </c>
      <c r="O2" s="2">
        <v>8360.5300000000007</v>
      </c>
      <c r="P2" s="2">
        <v>310</v>
      </c>
      <c r="Q2" s="2">
        <v>55117.93</v>
      </c>
      <c r="R2" s="2" t="s">
        <v>33</v>
      </c>
      <c r="S2" s="2" t="s">
        <v>34</v>
      </c>
      <c r="T2" s="2" t="s">
        <v>1703</v>
      </c>
      <c r="U2" s="10" t="s">
        <v>1701</v>
      </c>
      <c r="V2" s="2" t="s">
        <v>35</v>
      </c>
      <c r="W2" s="2">
        <v>1</v>
      </c>
      <c r="X2" s="2" t="s">
        <v>36</v>
      </c>
      <c r="Y2" s="2">
        <v>1</v>
      </c>
      <c r="Z2" s="2" t="s">
        <v>37</v>
      </c>
    </row>
    <row r="3" spans="1:26" x14ac:dyDescent="0.35">
      <c r="A3" s="2" t="s">
        <v>38</v>
      </c>
      <c r="B3" s="3">
        <v>45791</v>
      </c>
      <c r="C3" s="2" t="s">
        <v>39</v>
      </c>
      <c r="D3" s="2" t="s">
        <v>40</v>
      </c>
      <c r="E3" s="2" t="s">
        <v>41</v>
      </c>
      <c r="F3" s="2">
        <v>45</v>
      </c>
      <c r="G3" s="2" t="s">
        <v>42</v>
      </c>
      <c r="H3" s="2" t="s">
        <v>31</v>
      </c>
      <c r="I3" s="2" t="s">
        <v>42</v>
      </c>
      <c r="J3" s="2" t="s">
        <v>32</v>
      </c>
      <c r="K3" s="2">
        <v>2</v>
      </c>
      <c r="L3" s="2">
        <v>18047</v>
      </c>
      <c r="M3" s="2">
        <v>20</v>
      </c>
      <c r="N3" s="2">
        <v>7218.8</v>
      </c>
      <c r="O3" s="2">
        <v>5197.54</v>
      </c>
      <c r="P3" s="2">
        <v>363</v>
      </c>
      <c r="Q3" s="2">
        <v>34435.74</v>
      </c>
      <c r="R3" s="2" t="s">
        <v>43</v>
      </c>
      <c r="S3" s="2" t="s">
        <v>34</v>
      </c>
      <c r="T3" s="2" t="s">
        <v>1704</v>
      </c>
      <c r="U3" s="10" t="s">
        <v>52</v>
      </c>
      <c r="V3" s="2" t="s">
        <v>35</v>
      </c>
      <c r="W3" s="2">
        <v>4</v>
      </c>
      <c r="X3" s="2" t="s">
        <v>36</v>
      </c>
      <c r="Y3" s="2">
        <v>1</v>
      </c>
      <c r="Z3" s="2" t="s">
        <v>44</v>
      </c>
    </row>
    <row r="4" spans="1:26" x14ac:dyDescent="0.35">
      <c r="A4" s="2" t="s">
        <v>45</v>
      </c>
      <c r="B4" s="3">
        <v>45897</v>
      </c>
      <c r="C4" s="2" t="s">
        <v>46</v>
      </c>
      <c r="D4" s="2" t="s">
        <v>47</v>
      </c>
      <c r="E4" s="2" t="s">
        <v>29</v>
      </c>
      <c r="F4" s="2">
        <v>29</v>
      </c>
      <c r="G4" s="2" t="s">
        <v>48</v>
      </c>
      <c r="H4" s="2" t="s">
        <v>49</v>
      </c>
      <c r="I4" s="2" t="s">
        <v>48</v>
      </c>
      <c r="J4" s="2" t="s">
        <v>50</v>
      </c>
      <c r="K4" s="2">
        <v>2</v>
      </c>
      <c r="L4" s="2">
        <v>15876</v>
      </c>
      <c r="M4" s="2">
        <v>5</v>
      </c>
      <c r="N4" s="2">
        <v>1587.6</v>
      </c>
      <c r="O4" s="2">
        <v>5429.59</v>
      </c>
      <c r="P4" s="2">
        <v>156</v>
      </c>
      <c r="Q4" s="2">
        <v>35749.99</v>
      </c>
      <c r="R4" s="2" t="s">
        <v>51</v>
      </c>
      <c r="S4" s="2" t="s">
        <v>34</v>
      </c>
      <c r="T4" s="2" t="s">
        <v>1705</v>
      </c>
      <c r="U4" s="10" t="s">
        <v>1702</v>
      </c>
      <c r="V4" s="2" t="s">
        <v>53</v>
      </c>
      <c r="W4" s="2">
        <v>3</v>
      </c>
      <c r="X4" s="2" t="s">
        <v>36</v>
      </c>
      <c r="Y4" s="2">
        <v>4</v>
      </c>
      <c r="Z4" s="2" t="s">
        <v>54</v>
      </c>
    </row>
    <row r="5" spans="1:26" x14ac:dyDescent="0.35">
      <c r="A5" s="2" t="s">
        <v>55</v>
      </c>
      <c r="B5" s="3">
        <v>45850</v>
      </c>
      <c r="C5" s="2" t="s">
        <v>56</v>
      </c>
      <c r="D5" s="2" t="s">
        <v>57</v>
      </c>
      <c r="E5" s="2" t="s">
        <v>29</v>
      </c>
      <c r="F5" s="2">
        <v>18</v>
      </c>
      <c r="G5" s="2" t="s">
        <v>42</v>
      </c>
      <c r="H5" s="2" t="s">
        <v>31</v>
      </c>
      <c r="I5" s="2" t="s">
        <v>42</v>
      </c>
      <c r="J5" s="2" t="s">
        <v>58</v>
      </c>
      <c r="K5" s="2">
        <v>4</v>
      </c>
      <c r="L5" s="2">
        <v>22930</v>
      </c>
      <c r="M5" s="2">
        <v>15</v>
      </c>
      <c r="N5" s="2">
        <v>13758</v>
      </c>
      <c r="O5" s="2">
        <v>14033.16</v>
      </c>
      <c r="P5" s="2">
        <v>264</v>
      </c>
      <c r="Q5" s="2">
        <v>92259.16</v>
      </c>
      <c r="R5" s="2" t="s">
        <v>43</v>
      </c>
      <c r="S5" s="2" t="s">
        <v>59</v>
      </c>
      <c r="T5" s="9" t="s">
        <v>1705</v>
      </c>
      <c r="U5" s="10" t="s">
        <v>1702</v>
      </c>
      <c r="V5" s="2" t="s">
        <v>53</v>
      </c>
      <c r="W5" s="2">
        <v>10</v>
      </c>
      <c r="X5" s="2" t="s">
        <v>36</v>
      </c>
      <c r="Y5" s="2">
        <v>2</v>
      </c>
      <c r="Z5" s="2" t="s">
        <v>37</v>
      </c>
    </row>
    <row r="6" spans="1:26" x14ac:dyDescent="0.35">
      <c r="A6" s="2" t="s">
        <v>60</v>
      </c>
      <c r="B6" s="3">
        <v>45929</v>
      </c>
      <c r="C6" s="2" t="s">
        <v>61</v>
      </c>
      <c r="D6" s="2" t="s">
        <v>62</v>
      </c>
      <c r="E6" s="2" t="s">
        <v>41</v>
      </c>
      <c r="F6" s="2">
        <v>22</v>
      </c>
      <c r="G6" s="2" t="s">
        <v>63</v>
      </c>
      <c r="H6" s="2" t="s">
        <v>64</v>
      </c>
      <c r="I6" s="2" t="s">
        <v>63</v>
      </c>
      <c r="J6" s="2" t="s">
        <v>65</v>
      </c>
      <c r="K6" s="2">
        <v>3</v>
      </c>
      <c r="L6" s="2">
        <v>28947</v>
      </c>
      <c r="M6" s="2">
        <v>10</v>
      </c>
      <c r="N6" s="2">
        <v>8684.1</v>
      </c>
      <c r="O6" s="2">
        <v>14068.24</v>
      </c>
      <c r="P6" s="2">
        <v>398</v>
      </c>
      <c r="Q6" s="2">
        <v>92623.14</v>
      </c>
      <c r="R6" s="2" t="s">
        <v>33</v>
      </c>
      <c r="S6" s="2" t="s">
        <v>59</v>
      </c>
      <c r="T6" s="9" t="s">
        <v>1706</v>
      </c>
      <c r="U6" s="10" t="s">
        <v>52</v>
      </c>
      <c r="V6" s="2" t="s">
        <v>53</v>
      </c>
      <c r="W6" s="2">
        <v>6</v>
      </c>
      <c r="X6" s="2" t="s">
        <v>36</v>
      </c>
      <c r="Y6" s="2">
        <v>2</v>
      </c>
      <c r="Z6" s="2" t="s">
        <v>37</v>
      </c>
    </row>
    <row r="7" spans="1:26" x14ac:dyDescent="0.35">
      <c r="A7" s="2" t="s">
        <v>66</v>
      </c>
      <c r="B7" s="3">
        <v>46058</v>
      </c>
      <c r="C7" s="2" t="s">
        <v>67</v>
      </c>
      <c r="D7" s="2" t="s">
        <v>68</v>
      </c>
      <c r="E7" s="2" t="s">
        <v>41</v>
      </c>
      <c r="F7" s="2">
        <v>45</v>
      </c>
      <c r="G7" s="2" t="s">
        <v>69</v>
      </c>
      <c r="H7" s="2" t="s">
        <v>31</v>
      </c>
      <c r="I7" s="2" t="s">
        <v>69</v>
      </c>
      <c r="J7" s="2" t="s">
        <v>70</v>
      </c>
      <c r="K7" s="2">
        <v>5</v>
      </c>
      <c r="L7" s="2">
        <v>5222</v>
      </c>
      <c r="M7" s="2">
        <v>10</v>
      </c>
      <c r="N7" s="2">
        <v>2611</v>
      </c>
      <c r="O7" s="2">
        <v>4229.82</v>
      </c>
      <c r="P7" s="2">
        <v>392</v>
      </c>
      <c r="Q7" s="2">
        <v>28120.82</v>
      </c>
      <c r="R7" s="2" t="s">
        <v>33</v>
      </c>
      <c r="S7" s="2" t="s">
        <v>59</v>
      </c>
      <c r="T7" s="9" t="s">
        <v>1707</v>
      </c>
      <c r="U7" s="10" t="s">
        <v>1712</v>
      </c>
      <c r="V7" s="2" t="s">
        <v>53</v>
      </c>
      <c r="W7" s="2">
        <v>6</v>
      </c>
      <c r="X7" s="2" t="s">
        <v>36</v>
      </c>
      <c r="Y7" s="2">
        <v>3</v>
      </c>
      <c r="Z7" s="2" t="s">
        <v>37</v>
      </c>
    </row>
    <row r="8" spans="1:26" x14ac:dyDescent="0.35">
      <c r="A8" s="2" t="s">
        <v>71</v>
      </c>
      <c r="B8" s="3">
        <v>46009</v>
      </c>
      <c r="C8" s="2" t="s">
        <v>72</v>
      </c>
      <c r="D8" s="2" t="s">
        <v>73</v>
      </c>
      <c r="E8" s="2" t="s">
        <v>29</v>
      </c>
      <c r="F8" s="2">
        <v>42</v>
      </c>
      <c r="G8" s="2" t="s">
        <v>30</v>
      </c>
      <c r="H8" s="2" t="s">
        <v>31</v>
      </c>
      <c r="I8" s="2" t="s">
        <v>30</v>
      </c>
      <c r="J8" s="2" t="s">
        <v>58</v>
      </c>
      <c r="K8" s="2">
        <v>3</v>
      </c>
      <c r="L8" s="2">
        <v>47976</v>
      </c>
      <c r="M8" s="2">
        <v>10</v>
      </c>
      <c r="N8" s="2">
        <v>14392.8</v>
      </c>
      <c r="O8" s="2">
        <v>23316.34</v>
      </c>
      <c r="P8" s="2">
        <v>272</v>
      </c>
      <c r="Q8" s="2">
        <v>153123.54</v>
      </c>
      <c r="R8" s="2" t="s">
        <v>43</v>
      </c>
      <c r="S8" s="2" t="s">
        <v>59</v>
      </c>
      <c r="T8" s="9" t="s">
        <v>1703</v>
      </c>
      <c r="U8" s="10" t="s">
        <v>1701</v>
      </c>
      <c r="V8" s="2" t="s">
        <v>35</v>
      </c>
      <c r="W8" s="2">
        <v>7</v>
      </c>
      <c r="X8" s="2" t="s">
        <v>44</v>
      </c>
      <c r="Y8" s="2">
        <v>1</v>
      </c>
      <c r="Z8" s="2" t="s">
        <v>44</v>
      </c>
    </row>
    <row r="9" spans="1:26" x14ac:dyDescent="0.35">
      <c r="A9" s="2" t="s">
        <v>74</v>
      </c>
      <c r="B9" s="3">
        <v>45781</v>
      </c>
      <c r="C9" s="2" t="s">
        <v>75</v>
      </c>
      <c r="D9" s="2" t="s">
        <v>47</v>
      </c>
      <c r="E9" s="2" t="s">
        <v>41</v>
      </c>
      <c r="F9" s="2">
        <v>28</v>
      </c>
      <c r="G9" s="2" t="s">
        <v>42</v>
      </c>
      <c r="H9" s="2" t="s">
        <v>31</v>
      </c>
      <c r="I9" s="2" t="s">
        <v>42</v>
      </c>
      <c r="J9" s="2" t="s">
        <v>65</v>
      </c>
      <c r="K9" s="2">
        <v>1</v>
      </c>
      <c r="L9" s="2">
        <v>15216</v>
      </c>
      <c r="M9" s="2">
        <v>10</v>
      </c>
      <c r="N9" s="2">
        <v>1521.6</v>
      </c>
      <c r="O9" s="2">
        <v>2464.9899999999998</v>
      </c>
      <c r="P9" s="2">
        <v>366</v>
      </c>
      <c r="Q9" s="2">
        <v>16525.39</v>
      </c>
      <c r="R9" s="2" t="s">
        <v>76</v>
      </c>
      <c r="S9" s="2" t="s">
        <v>34</v>
      </c>
      <c r="T9" s="9" t="s">
        <v>1708</v>
      </c>
      <c r="U9" s="10" t="s">
        <v>52</v>
      </c>
      <c r="V9" s="2" t="s">
        <v>77</v>
      </c>
      <c r="W9" s="2">
        <v>3</v>
      </c>
      <c r="X9" s="2" t="s">
        <v>36</v>
      </c>
      <c r="Y9" s="2">
        <v>4</v>
      </c>
      <c r="Z9" s="2" t="s">
        <v>44</v>
      </c>
    </row>
    <row r="10" spans="1:26" x14ac:dyDescent="0.35">
      <c r="A10" s="2" t="s">
        <v>78</v>
      </c>
      <c r="B10" s="3">
        <v>45778</v>
      </c>
      <c r="C10" s="2" t="s">
        <v>79</v>
      </c>
      <c r="D10" s="2" t="s">
        <v>80</v>
      </c>
      <c r="E10" s="2" t="s">
        <v>41</v>
      </c>
      <c r="F10" s="2">
        <v>52</v>
      </c>
      <c r="G10" s="2" t="s">
        <v>81</v>
      </c>
      <c r="H10" s="2" t="s">
        <v>31</v>
      </c>
      <c r="I10" s="2" t="s">
        <v>81</v>
      </c>
      <c r="J10" s="2" t="s">
        <v>70</v>
      </c>
      <c r="K10" s="2">
        <v>3</v>
      </c>
      <c r="L10" s="2">
        <v>39902</v>
      </c>
      <c r="M10" s="2">
        <v>0</v>
      </c>
      <c r="N10" s="2">
        <v>0</v>
      </c>
      <c r="O10" s="2">
        <v>21547.08</v>
      </c>
      <c r="P10" s="2">
        <v>82</v>
      </c>
      <c r="Q10" s="2">
        <v>141335.07999999999</v>
      </c>
      <c r="R10" s="2" t="s">
        <v>51</v>
      </c>
      <c r="S10" s="2" t="s">
        <v>34</v>
      </c>
      <c r="T10" s="9" t="s">
        <v>1708</v>
      </c>
      <c r="U10" s="10" t="s">
        <v>52</v>
      </c>
      <c r="V10" s="2" t="s">
        <v>77</v>
      </c>
      <c r="W10" s="2">
        <v>8</v>
      </c>
      <c r="X10" s="2" t="s">
        <v>36</v>
      </c>
      <c r="Y10" s="2">
        <v>4</v>
      </c>
      <c r="Z10" s="2" t="s">
        <v>82</v>
      </c>
    </row>
    <row r="11" spans="1:26" x14ac:dyDescent="0.35">
      <c r="A11" s="2" t="s">
        <v>83</v>
      </c>
      <c r="B11" s="3">
        <v>45863</v>
      </c>
      <c r="C11" s="2" t="s">
        <v>84</v>
      </c>
      <c r="D11" s="2" t="s">
        <v>80</v>
      </c>
      <c r="E11" s="2" t="s">
        <v>29</v>
      </c>
      <c r="F11" s="2">
        <v>32</v>
      </c>
      <c r="G11" s="2" t="s">
        <v>85</v>
      </c>
      <c r="H11" s="2" t="s">
        <v>31</v>
      </c>
      <c r="I11" s="2" t="s">
        <v>85</v>
      </c>
      <c r="J11" s="2" t="s">
        <v>32</v>
      </c>
      <c r="K11" s="2">
        <v>5</v>
      </c>
      <c r="L11" s="2">
        <v>20474</v>
      </c>
      <c r="M11" s="2">
        <v>5</v>
      </c>
      <c r="N11" s="2">
        <v>5118.5</v>
      </c>
      <c r="O11" s="2">
        <v>17505.27</v>
      </c>
      <c r="P11" s="2">
        <v>217</v>
      </c>
      <c r="Q11" s="2">
        <v>114973.77</v>
      </c>
      <c r="R11" s="2" t="s">
        <v>76</v>
      </c>
      <c r="S11" s="2" t="s">
        <v>59</v>
      </c>
      <c r="T11" s="9" t="s">
        <v>1709</v>
      </c>
      <c r="U11" s="10" t="s">
        <v>52</v>
      </c>
      <c r="V11" s="2" t="s">
        <v>53</v>
      </c>
      <c r="W11" s="2">
        <v>7</v>
      </c>
      <c r="X11" s="2" t="s">
        <v>36</v>
      </c>
      <c r="Y11" s="2">
        <v>5</v>
      </c>
      <c r="Z11" s="2" t="s">
        <v>82</v>
      </c>
    </row>
    <row r="12" spans="1:26" x14ac:dyDescent="0.35">
      <c r="A12" s="2" t="s">
        <v>86</v>
      </c>
      <c r="B12" s="3">
        <v>45832</v>
      </c>
      <c r="C12" s="2" t="s">
        <v>87</v>
      </c>
      <c r="D12" s="2" t="s">
        <v>73</v>
      </c>
      <c r="E12" s="2" t="s">
        <v>41</v>
      </c>
      <c r="F12" s="2">
        <v>22</v>
      </c>
      <c r="G12" s="2" t="s">
        <v>88</v>
      </c>
      <c r="H12" s="2" t="s">
        <v>49</v>
      </c>
      <c r="I12" s="2" t="s">
        <v>88</v>
      </c>
      <c r="J12" s="2" t="s">
        <v>58</v>
      </c>
      <c r="K12" s="2">
        <v>5</v>
      </c>
      <c r="L12" s="2">
        <v>33495</v>
      </c>
      <c r="M12" s="2">
        <v>0</v>
      </c>
      <c r="N12" s="2">
        <v>0</v>
      </c>
      <c r="O12" s="2">
        <v>30145.5</v>
      </c>
      <c r="P12" s="2">
        <v>336</v>
      </c>
      <c r="Q12" s="2">
        <v>197956.5</v>
      </c>
      <c r="R12" s="2" t="s">
        <v>76</v>
      </c>
      <c r="S12" s="2" t="s">
        <v>34</v>
      </c>
      <c r="T12" s="9" t="s">
        <v>1708</v>
      </c>
      <c r="U12" s="10" t="s">
        <v>52</v>
      </c>
      <c r="V12" s="2" t="s">
        <v>77</v>
      </c>
      <c r="W12" s="2">
        <v>10</v>
      </c>
      <c r="X12" s="2" t="s">
        <v>36</v>
      </c>
      <c r="Y12" s="2">
        <v>4</v>
      </c>
      <c r="Z12" s="2" t="s">
        <v>44</v>
      </c>
    </row>
    <row r="13" spans="1:26" x14ac:dyDescent="0.35">
      <c r="A13" s="2" t="s">
        <v>89</v>
      </c>
      <c r="B13" s="3">
        <v>46033</v>
      </c>
      <c r="C13" s="2" t="s">
        <v>90</v>
      </c>
      <c r="D13" s="2" t="s">
        <v>47</v>
      </c>
      <c r="E13" s="2" t="s">
        <v>29</v>
      </c>
      <c r="F13" s="2">
        <v>58</v>
      </c>
      <c r="G13" s="2" t="s">
        <v>30</v>
      </c>
      <c r="H13" s="2" t="s">
        <v>31</v>
      </c>
      <c r="I13" s="2" t="s">
        <v>30</v>
      </c>
      <c r="J13" s="2" t="s">
        <v>91</v>
      </c>
      <c r="K13" s="2">
        <v>5</v>
      </c>
      <c r="L13" s="2">
        <v>28508</v>
      </c>
      <c r="M13" s="2">
        <v>0</v>
      </c>
      <c r="N13" s="2">
        <v>0</v>
      </c>
      <c r="O13" s="2">
        <v>25657.200000000001</v>
      </c>
      <c r="P13" s="2">
        <v>8</v>
      </c>
      <c r="Q13" s="2">
        <v>168205.2</v>
      </c>
      <c r="R13" s="2" t="s">
        <v>33</v>
      </c>
      <c r="S13" s="2" t="s">
        <v>34</v>
      </c>
      <c r="T13" s="9" t="s">
        <v>1710</v>
      </c>
      <c r="U13" s="10" t="s">
        <v>1711</v>
      </c>
      <c r="V13" s="2" t="s">
        <v>53</v>
      </c>
      <c r="W13" s="2">
        <v>4</v>
      </c>
      <c r="X13" s="2" t="s">
        <v>44</v>
      </c>
      <c r="Y13" s="2">
        <v>1</v>
      </c>
      <c r="Z13" s="2" t="s">
        <v>44</v>
      </c>
    </row>
    <row r="14" spans="1:26" x14ac:dyDescent="0.35">
      <c r="A14" s="2" t="s">
        <v>92</v>
      </c>
      <c r="B14" s="3">
        <v>45970</v>
      </c>
      <c r="C14" s="2" t="s">
        <v>93</v>
      </c>
      <c r="D14" s="2" t="s">
        <v>62</v>
      </c>
      <c r="E14" s="2" t="s">
        <v>29</v>
      </c>
      <c r="F14" s="2">
        <v>25</v>
      </c>
      <c r="G14" s="2" t="s">
        <v>85</v>
      </c>
      <c r="H14" s="2" t="s">
        <v>31</v>
      </c>
      <c r="I14" s="2" t="s">
        <v>85</v>
      </c>
      <c r="J14" s="2" t="s">
        <v>65</v>
      </c>
      <c r="K14" s="2">
        <v>3</v>
      </c>
      <c r="L14" s="2">
        <v>25199</v>
      </c>
      <c r="M14" s="2">
        <v>10</v>
      </c>
      <c r="N14" s="2">
        <v>7559.7</v>
      </c>
      <c r="O14" s="2">
        <v>12246.71</v>
      </c>
      <c r="P14" s="2">
        <v>373</v>
      </c>
      <c r="Q14" s="2">
        <v>80657.009999999995</v>
      </c>
      <c r="R14" s="2" t="s">
        <v>51</v>
      </c>
      <c r="S14" s="2" t="s">
        <v>59</v>
      </c>
      <c r="T14" s="9" t="s">
        <v>1709</v>
      </c>
      <c r="U14" s="10" t="s">
        <v>52</v>
      </c>
      <c r="V14" s="2" t="s">
        <v>53</v>
      </c>
      <c r="W14" s="2">
        <v>6</v>
      </c>
      <c r="X14" s="2" t="s">
        <v>36</v>
      </c>
      <c r="Y14" s="2">
        <v>4</v>
      </c>
      <c r="Z14" s="2" t="s">
        <v>44</v>
      </c>
    </row>
    <row r="15" spans="1:26" x14ac:dyDescent="0.35">
      <c r="A15" s="2" t="s">
        <v>94</v>
      </c>
      <c r="B15" s="3">
        <v>45960</v>
      </c>
      <c r="C15" s="2" t="s">
        <v>95</v>
      </c>
      <c r="D15" s="2" t="s">
        <v>96</v>
      </c>
      <c r="E15" s="2" t="s">
        <v>29</v>
      </c>
      <c r="F15" s="2">
        <v>22</v>
      </c>
      <c r="G15" s="2" t="s">
        <v>48</v>
      </c>
      <c r="H15" s="2" t="s">
        <v>49</v>
      </c>
      <c r="I15" s="2" t="s">
        <v>48</v>
      </c>
      <c r="J15" s="2" t="s">
        <v>58</v>
      </c>
      <c r="K15" s="2">
        <v>3</v>
      </c>
      <c r="L15" s="2">
        <v>528</v>
      </c>
      <c r="M15" s="2">
        <v>5</v>
      </c>
      <c r="N15" s="2">
        <v>79.2</v>
      </c>
      <c r="O15" s="2">
        <v>270.86</v>
      </c>
      <c r="P15" s="2">
        <v>489</v>
      </c>
      <c r="Q15" s="2">
        <v>2264.66</v>
      </c>
      <c r="R15" s="2" t="s">
        <v>76</v>
      </c>
      <c r="S15" s="2" t="s">
        <v>59</v>
      </c>
      <c r="T15" s="9" t="s">
        <v>1707</v>
      </c>
      <c r="U15" s="10" t="s">
        <v>1712</v>
      </c>
      <c r="V15" s="2" t="s">
        <v>53</v>
      </c>
      <c r="W15" s="2">
        <v>7</v>
      </c>
      <c r="X15" s="2" t="s">
        <v>44</v>
      </c>
      <c r="Y15" s="2">
        <v>5</v>
      </c>
      <c r="Z15" s="2" t="s">
        <v>37</v>
      </c>
    </row>
    <row r="16" spans="1:26" x14ac:dyDescent="0.35">
      <c r="A16" s="2" t="s">
        <v>97</v>
      </c>
      <c r="B16" s="3">
        <v>46094</v>
      </c>
      <c r="C16" s="2" t="s">
        <v>98</v>
      </c>
      <c r="D16" s="2" t="s">
        <v>99</v>
      </c>
      <c r="E16" s="2" t="s">
        <v>41</v>
      </c>
      <c r="F16" s="2">
        <v>19</v>
      </c>
      <c r="G16" s="2" t="s">
        <v>30</v>
      </c>
      <c r="H16" s="2" t="s">
        <v>31</v>
      </c>
      <c r="I16" s="2" t="s">
        <v>30</v>
      </c>
      <c r="J16" s="2" t="s">
        <v>100</v>
      </c>
      <c r="K16" s="2">
        <v>2</v>
      </c>
      <c r="L16" s="2">
        <v>4978</v>
      </c>
      <c r="M16" s="2">
        <v>10</v>
      </c>
      <c r="N16" s="2">
        <v>995.6</v>
      </c>
      <c r="O16" s="2">
        <v>1612.87</v>
      </c>
      <c r="P16" s="2">
        <v>228</v>
      </c>
      <c r="Q16" s="2">
        <v>10801.27</v>
      </c>
      <c r="R16" s="2" t="s">
        <v>33</v>
      </c>
      <c r="S16" s="2" t="s">
        <v>59</v>
      </c>
      <c r="T16" s="9" t="s">
        <v>1707</v>
      </c>
      <c r="U16" s="10" t="s">
        <v>1712</v>
      </c>
      <c r="V16" s="2" t="s">
        <v>53</v>
      </c>
      <c r="W16" s="2">
        <v>8</v>
      </c>
      <c r="X16" s="2" t="s">
        <v>44</v>
      </c>
      <c r="Y16" s="2">
        <v>3</v>
      </c>
      <c r="Z16" s="2" t="s">
        <v>82</v>
      </c>
    </row>
    <row r="17" spans="1:26" x14ac:dyDescent="0.35">
      <c r="A17" s="2" t="s">
        <v>101</v>
      </c>
      <c r="B17" s="3">
        <v>46001</v>
      </c>
      <c r="C17" s="2" t="s">
        <v>102</v>
      </c>
      <c r="D17" s="2" t="s">
        <v>96</v>
      </c>
      <c r="E17" s="2" t="s">
        <v>41</v>
      </c>
      <c r="F17" s="2">
        <v>51</v>
      </c>
      <c r="G17" s="2" t="s">
        <v>69</v>
      </c>
      <c r="H17" s="2" t="s">
        <v>31</v>
      </c>
      <c r="I17" s="2" t="s">
        <v>69</v>
      </c>
      <c r="J17" s="2" t="s">
        <v>91</v>
      </c>
      <c r="K17" s="2">
        <v>5</v>
      </c>
      <c r="L17" s="2">
        <v>46989</v>
      </c>
      <c r="M17" s="2">
        <v>10</v>
      </c>
      <c r="N17" s="2">
        <v>23494.5</v>
      </c>
      <c r="O17" s="2">
        <v>38061.089999999997</v>
      </c>
      <c r="P17" s="2">
        <v>201</v>
      </c>
      <c r="Q17" s="2">
        <v>249712.59</v>
      </c>
      <c r="R17" s="2" t="s">
        <v>51</v>
      </c>
      <c r="S17" s="2" t="s">
        <v>34</v>
      </c>
      <c r="T17" s="9" t="s">
        <v>1708</v>
      </c>
      <c r="U17" s="10" t="s">
        <v>52</v>
      </c>
      <c r="V17" s="2" t="s">
        <v>77</v>
      </c>
      <c r="W17" s="2">
        <v>9</v>
      </c>
      <c r="X17" s="2" t="s">
        <v>44</v>
      </c>
      <c r="Y17" s="2">
        <v>4</v>
      </c>
      <c r="Z17" s="2" t="s">
        <v>37</v>
      </c>
    </row>
    <row r="18" spans="1:26" x14ac:dyDescent="0.35">
      <c r="A18" s="2" t="s">
        <v>103</v>
      </c>
      <c r="B18" s="3">
        <v>45808</v>
      </c>
      <c r="C18" s="2" t="s">
        <v>104</v>
      </c>
      <c r="D18" s="2" t="s">
        <v>99</v>
      </c>
      <c r="E18" s="2" t="s">
        <v>29</v>
      </c>
      <c r="F18" s="2">
        <v>31</v>
      </c>
      <c r="G18" s="2" t="s">
        <v>63</v>
      </c>
      <c r="H18" s="2" t="s">
        <v>64</v>
      </c>
      <c r="I18" s="2" t="s">
        <v>63</v>
      </c>
      <c r="J18" s="2" t="s">
        <v>65</v>
      </c>
      <c r="K18" s="2">
        <v>1</v>
      </c>
      <c r="L18" s="2">
        <v>48667</v>
      </c>
      <c r="M18" s="2">
        <v>5</v>
      </c>
      <c r="N18" s="2">
        <v>2433.35</v>
      </c>
      <c r="O18" s="2">
        <v>8322.06</v>
      </c>
      <c r="P18" s="2">
        <v>58</v>
      </c>
      <c r="Q18" s="2">
        <v>54613.71</v>
      </c>
      <c r="R18" s="2" t="s">
        <v>76</v>
      </c>
      <c r="S18" s="2" t="s">
        <v>59</v>
      </c>
      <c r="T18" s="9" t="s">
        <v>1708</v>
      </c>
      <c r="U18" s="10" t="s">
        <v>52</v>
      </c>
      <c r="V18" s="2" t="s">
        <v>77</v>
      </c>
      <c r="W18" s="2">
        <v>1</v>
      </c>
      <c r="X18" s="2" t="s">
        <v>44</v>
      </c>
      <c r="Y18" s="2">
        <v>2</v>
      </c>
      <c r="Z18" s="2" t="s">
        <v>82</v>
      </c>
    </row>
    <row r="19" spans="1:26" x14ac:dyDescent="0.35">
      <c r="A19" s="2" t="s">
        <v>105</v>
      </c>
      <c r="B19" s="3">
        <v>45784</v>
      </c>
      <c r="C19" s="2" t="s">
        <v>106</v>
      </c>
      <c r="D19" s="2" t="s">
        <v>62</v>
      </c>
      <c r="E19" s="2" t="s">
        <v>29</v>
      </c>
      <c r="F19" s="2">
        <v>31</v>
      </c>
      <c r="G19" s="2" t="s">
        <v>85</v>
      </c>
      <c r="H19" s="2" t="s">
        <v>31</v>
      </c>
      <c r="I19" s="2" t="s">
        <v>85</v>
      </c>
      <c r="J19" s="2" t="s">
        <v>50</v>
      </c>
      <c r="K19" s="2">
        <v>3</v>
      </c>
      <c r="L19" s="2">
        <v>33636</v>
      </c>
      <c r="M19" s="2">
        <v>10</v>
      </c>
      <c r="N19" s="2">
        <v>10090.799999999999</v>
      </c>
      <c r="O19" s="2">
        <v>16347.1</v>
      </c>
      <c r="P19" s="2">
        <v>272</v>
      </c>
      <c r="Q19" s="2">
        <v>107436.3</v>
      </c>
      <c r="R19" s="2" t="s">
        <v>76</v>
      </c>
      <c r="S19" s="2" t="s">
        <v>34</v>
      </c>
      <c r="T19" s="9" t="s">
        <v>1707</v>
      </c>
      <c r="U19" s="10" t="s">
        <v>1712</v>
      </c>
      <c r="V19" s="2" t="s">
        <v>53</v>
      </c>
      <c r="W19" s="2">
        <v>1</v>
      </c>
      <c r="X19" s="2" t="s">
        <v>36</v>
      </c>
      <c r="Y19" s="2">
        <v>3</v>
      </c>
      <c r="Z19" s="2" t="s">
        <v>37</v>
      </c>
    </row>
    <row r="20" spans="1:26" x14ac:dyDescent="0.35">
      <c r="A20" s="2" t="s">
        <v>107</v>
      </c>
      <c r="B20" s="3">
        <v>45987</v>
      </c>
      <c r="C20" s="2" t="s">
        <v>108</v>
      </c>
      <c r="D20" s="2" t="s">
        <v>62</v>
      </c>
      <c r="E20" s="2" t="s">
        <v>41</v>
      </c>
      <c r="F20" s="2">
        <v>55</v>
      </c>
      <c r="G20" s="2" t="s">
        <v>48</v>
      </c>
      <c r="H20" s="2" t="s">
        <v>49</v>
      </c>
      <c r="I20" s="2" t="s">
        <v>48</v>
      </c>
      <c r="J20" s="2" t="s">
        <v>50</v>
      </c>
      <c r="K20" s="2">
        <v>3</v>
      </c>
      <c r="L20" s="2">
        <v>40213</v>
      </c>
      <c r="M20" s="2">
        <v>15</v>
      </c>
      <c r="N20" s="2">
        <v>18095.849999999999</v>
      </c>
      <c r="O20" s="2">
        <v>18457.77</v>
      </c>
      <c r="P20" s="2">
        <v>371</v>
      </c>
      <c r="Q20" s="2">
        <v>121371.92</v>
      </c>
      <c r="R20" s="2" t="s">
        <v>33</v>
      </c>
      <c r="S20" s="2" t="s">
        <v>34</v>
      </c>
      <c r="T20" s="9" t="s">
        <v>1705</v>
      </c>
      <c r="U20" s="10" t="s">
        <v>1702</v>
      </c>
      <c r="V20" s="2" t="s">
        <v>53</v>
      </c>
      <c r="W20" s="2">
        <v>6</v>
      </c>
      <c r="X20" s="2" t="s">
        <v>44</v>
      </c>
      <c r="Y20" s="2">
        <v>4</v>
      </c>
      <c r="Z20" s="2" t="s">
        <v>44</v>
      </c>
    </row>
    <row r="21" spans="1:26" x14ac:dyDescent="0.35">
      <c r="A21" s="2" t="s">
        <v>109</v>
      </c>
      <c r="B21" s="3">
        <v>45895</v>
      </c>
      <c r="C21" s="2" t="s">
        <v>110</v>
      </c>
      <c r="D21" s="2" t="s">
        <v>99</v>
      </c>
      <c r="E21" s="2" t="s">
        <v>29</v>
      </c>
      <c r="F21" s="2">
        <v>36</v>
      </c>
      <c r="G21" s="2" t="s">
        <v>48</v>
      </c>
      <c r="H21" s="2" t="s">
        <v>49</v>
      </c>
      <c r="I21" s="2" t="s">
        <v>48</v>
      </c>
      <c r="J21" s="2" t="s">
        <v>91</v>
      </c>
      <c r="K21" s="2">
        <v>4</v>
      </c>
      <c r="L21" s="2">
        <v>7214</v>
      </c>
      <c r="M21" s="2">
        <v>5</v>
      </c>
      <c r="N21" s="2">
        <v>1442.8</v>
      </c>
      <c r="O21" s="2">
        <v>4934.38</v>
      </c>
      <c r="P21" s="2">
        <v>443</v>
      </c>
      <c r="Q21" s="2">
        <v>32790.58</v>
      </c>
      <c r="R21" s="2" t="s">
        <v>33</v>
      </c>
      <c r="S21" s="2" t="s">
        <v>59</v>
      </c>
      <c r="T21" s="9" t="s">
        <v>1709</v>
      </c>
      <c r="U21" s="10" t="s">
        <v>52</v>
      </c>
      <c r="V21" s="2" t="s">
        <v>53</v>
      </c>
      <c r="W21" s="2">
        <v>9</v>
      </c>
      <c r="X21" s="2" t="s">
        <v>36</v>
      </c>
      <c r="Y21" s="2">
        <v>5</v>
      </c>
      <c r="Z21" s="2" t="s">
        <v>44</v>
      </c>
    </row>
    <row r="22" spans="1:26" x14ac:dyDescent="0.35">
      <c r="A22" s="2" t="s">
        <v>111</v>
      </c>
      <c r="B22" s="3">
        <v>46019</v>
      </c>
      <c r="C22" s="2" t="s">
        <v>112</v>
      </c>
      <c r="D22" s="2" t="s">
        <v>99</v>
      </c>
      <c r="E22" s="2" t="s">
        <v>41</v>
      </c>
      <c r="F22" s="2">
        <v>54</v>
      </c>
      <c r="G22" s="2" t="s">
        <v>30</v>
      </c>
      <c r="H22" s="2" t="s">
        <v>31</v>
      </c>
      <c r="I22" s="2" t="s">
        <v>30</v>
      </c>
      <c r="J22" s="2" t="s">
        <v>113</v>
      </c>
      <c r="K22" s="2">
        <v>2</v>
      </c>
      <c r="L22" s="2">
        <v>33517</v>
      </c>
      <c r="M22" s="2">
        <v>0</v>
      </c>
      <c r="N22" s="2">
        <v>0</v>
      </c>
      <c r="O22" s="2">
        <v>12066.12</v>
      </c>
      <c r="P22" s="2">
        <v>341</v>
      </c>
      <c r="Q22" s="2">
        <v>79441.119999999995</v>
      </c>
      <c r="R22" s="2" t="s">
        <v>76</v>
      </c>
      <c r="S22" s="2" t="s">
        <v>59</v>
      </c>
      <c r="T22" s="9" t="s">
        <v>1707</v>
      </c>
      <c r="U22" s="10" t="s">
        <v>1712</v>
      </c>
      <c r="V22" s="2" t="s">
        <v>53</v>
      </c>
      <c r="W22" s="2">
        <v>5</v>
      </c>
      <c r="X22" s="2" t="s">
        <v>44</v>
      </c>
      <c r="Y22" s="2">
        <v>3</v>
      </c>
      <c r="Z22" s="2" t="s">
        <v>54</v>
      </c>
    </row>
    <row r="23" spans="1:26" x14ac:dyDescent="0.35">
      <c r="A23" s="2" t="s">
        <v>114</v>
      </c>
      <c r="B23" s="3">
        <v>46014</v>
      </c>
      <c r="C23" s="2" t="s">
        <v>115</v>
      </c>
      <c r="D23" s="2" t="s">
        <v>57</v>
      </c>
      <c r="E23" s="2" t="s">
        <v>29</v>
      </c>
      <c r="F23" s="2">
        <v>45</v>
      </c>
      <c r="G23" s="2" t="s">
        <v>63</v>
      </c>
      <c r="H23" s="2" t="s">
        <v>64</v>
      </c>
      <c r="I23" s="2" t="s">
        <v>63</v>
      </c>
      <c r="J23" s="2" t="s">
        <v>91</v>
      </c>
      <c r="K23" s="2">
        <v>1</v>
      </c>
      <c r="L23" s="2">
        <v>29256</v>
      </c>
      <c r="M23" s="2">
        <v>15</v>
      </c>
      <c r="N23" s="2">
        <v>4388.3999999999996</v>
      </c>
      <c r="O23" s="2">
        <v>4476.17</v>
      </c>
      <c r="P23" s="2">
        <v>37</v>
      </c>
      <c r="Q23" s="2">
        <v>29380.77</v>
      </c>
      <c r="R23" s="2" t="s">
        <v>76</v>
      </c>
      <c r="S23" s="2" t="s">
        <v>59</v>
      </c>
      <c r="T23" s="9" t="s">
        <v>1709</v>
      </c>
      <c r="U23" s="10" t="s">
        <v>52</v>
      </c>
      <c r="V23" s="2" t="s">
        <v>53</v>
      </c>
      <c r="W23" s="2">
        <v>9</v>
      </c>
      <c r="X23" s="2" t="s">
        <v>36</v>
      </c>
      <c r="Y23" s="2">
        <v>4</v>
      </c>
      <c r="Z23" s="2" t="s">
        <v>54</v>
      </c>
    </row>
    <row r="24" spans="1:26" x14ac:dyDescent="0.35">
      <c r="A24" s="2" t="s">
        <v>116</v>
      </c>
      <c r="B24" s="3">
        <v>46079</v>
      </c>
      <c r="C24" s="2" t="s">
        <v>117</v>
      </c>
      <c r="D24" s="2" t="s">
        <v>62</v>
      </c>
      <c r="E24" s="2" t="s">
        <v>29</v>
      </c>
      <c r="F24" s="2">
        <v>31</v>
      </c>
      <c r="G24" s="2" t="s">
        <v>42</v>
      </c>
      <c r="H24" s="2" t="s">
        <v>31</v>
      </c>
      <c r="I24" s="2" t="s">
        <v>42</v>
      </c>
      <c r="J24" s="2" t="s">
        <v>65</v>
      </c>
      <c r="K24" s="2">
        <v>1</v>
      </c>
      <c r="L24" s="2">
        <v>36299</v>
      </c>
      <c r="M24" s="2">
        <v>10</v>
      </c>
      <c r="N24" s="2">
        <v>3629.9</v>
      </c>
      <c r="O24" s="2">
        <v>5880.44</v>
      </c>
      <c r="P24" s="2">
        <v>385</v>
      </c>
      <c r="Q24" s="2">
        <v>38934.54</v>
      </c>
      <c r="R24" s="2" t="s">
        <v>51</v>
      </c>
      <c r="S24" s="2" t="s">
        <v>34</v>
      </c>
      <c r="T24" s="9" t="s">
        <v>1704</v>
      </c>
      <c r="U24" s="10" t="s">
        <v>52</v>
      </c>
      <c r="V24" s="2" t="s">
        <v>35</v>
      </c>
      <c r="W24" s="2">
        <v>1</v>
      </c>
      <c r="X24" s="2" t="s">
        <v>36</v>
      </c>
      <c r="Y24" s="2">
        <v>1</v>
      </c>
      <c r="Z24" s="2" t="s">
        <v>54</v>
      </c>
    </row>
    <row r="25" spans="1:26" x14ac:dyDescent="0.35">
      <c r="A25" s="2" t="s">
        <v>118</v>
      </c>
      <c r="B25" s="3">
        <v>45930</v>
      </c>
      <c r="C25" s="2" t="s">
        <v>119</v>
      </c>
      <c r="D25" s="2" t="s">
        <v>73</v>
      </c>
      <c r="E25" s="2" t="s">
        <v>41</v>
      </c>
      <c r="F25" s="2">
        <v>56</v>
      </c>
      <c r="G25" s="2" t="s">
        <v>69</v>
      </c>
      <c r="H25" s="2" t="s">
        <v>31</v>
      </c>
      <c r="I25" s="2" t="s">
        <v>69</v>
      </c>
      <c r="J25" s="2" t="s">
        <v>50</v>
      </c>
      <c r="K25" s="2">
        <v>3</v>
      </c>
      <c r="L25" s="2">
        <v>24675</v>
      </c>
      <c r="M25" s="2">
        <v>15</v>
      </c>
      <c r="N25" s="2">
        <v>11103.75</v>
      </c>
      <c r="O25" s="2">
        <v>11325.82</v>
      </c>
      <c r="P25" s="2">
        <v>294</v>
      </c>
      <c r="Q25" s="2">
        <v>74541.070000000007</v>
      </c>
      <c r="R25" s="2" t="s">
        <v>76</v>
      </c>
      <c r="S25" s="2" t="s">
        <v>59</v>
      </c>
      <c r="T25" s="9" t="s">
        <v>1709</v>
      </c>
      <c r="U25" s="10" t="s">
        <v>52</v>
      </c>
      <c r="V25" s="2" t="s">
        <v>53</v>
      </c>
      <c r="W25" s="2">
        <v>4</v>
      </c>
      <c r="X25" s="2" t="s">
        <v>36</v>
      </c>
      <c r="Y25" s="2">
        <v>4</v>
      </c>
      <c r="Z25" s="2" t="s">
        <v>37</v>
      </c>
    </row>
    <row r="26" spans="1:26" x14ac:dyDescent="0.35">
      <c r="A26" s="2" t="s">
        <v>120</v>
      </c>
      <c r="B26" s="3">
        <v>46107</v>
      </c>
      <c r="C26" s="2" t="s">
        <v>121</v>
      </c>
      <c r="D26" s="2" t="s">
        <v>96</v>
      </c>
      <c r="E26" s="2" t="s">
        <v>29</v>
      </c>
      <c r="F26" s="2">
        <v>30</v>
      </c>
      <c r="G26" s="2" t="s">
        <v>122</v>
      </c>
      <c r="H26" s="2" t="s">
        <v>31</v>
      </c>
      <c r="I26" s="2" t="s">
        <v>122</v>
      </c>
      <c r="J26" s="2" t="s">
        <v>113</v>
      </c>
      <c r="K26" s="2">
        <v>5</v>
      </c>
      <c r="L26" s="2">
        <v>1082</v>
      </c>
      <c r="M26" s="2">
        <v>20</v>
      </c>
      <c r="N26" s="2">
        <v>1082</v>
      </c>
      <c r="O26" s="2">
        <v>779.04</v>
      </c>
      <c r="P26" s="2">
        <v>274</v>
      </c>
      <c r="Q26" s="2">
        <v>5381.04</v>
      </c>
      <c r="R26" s="2" t="s">
        <v>43</v>
      </c>
      <c r="S26" s="2" t="s">
        <v>34</v>
      </c>
      <c r="T26" s="9" t="s">
        <v>1703</v>
      </c>
      <c r="U26" s="10" t="s">
        <v>1701</v>
      </c>
      <c r="V26" s="2" t="s">
        <v>35</v>
      </c>
      <c r="W26" s="2">
        <v>2</v>
      </c>
      <c r="X26" s="2" t="s">
        <v>36</v>
      </c>
      <c r="Y26" s="2">
        <v>2</v>
      </c>
      <c r="Z26" s="2" t="s">
        <v>82</v>
      </c>
    </row>
    <row r="27" spans="1:26" x14ac:dyDescent="0.35">
      <c r="A27" s="2" t="s">
        <v>123</v>
      </c>
      <c r="B27" s="3">
        <v>46049</v>
      </c>
      <c r="C27" s="2" t="s">
        <v>124</v>
      </c>
      <c r="D27" s="2" t="s">
        <v>68</v>
      </c>
      <c r="E27" s="2" t="s">
        <v>41</v>
      </c>
      <c r="F27" s="2">
        <v>48</v>
      </c>
      <c r="G27" s="2" t="s">
        <v>30</v>
      </c>
      <c r="H27" s="2" t="s">
        <v>31</v>
      </c>
      <c r="I27" s="2" t="s">
        <v>30</v>
      </c>
      <c r="J27" s="2" t="s">
        <v>91</v>
      </c>
      <c r="K27" s="2">
        <v>2</v>
      </c>
      <c r="L27" s="2">
        <v>971</v>
      </c>
      <c r="M27" s="2">
        <v>20</v>
      </c>
      <c r="N27" s="2">
        <v>388.4</v>
      </c>
      <c r="O27" s="2">
        <v>279.64999999999998</v>
      </c>
      <c r="P27" s="2">
        <v>249</v>
      </c>
      <c r="Q27" s="2">
        <v>2082.25</v>
      </c>
      <c r="R27" s="2" t="s">
        <v>76</v>
      </c>
      <c r="S27" s="2" t="s">
        <v>59</v>
      </c>
      <c r="T27" s="9" t="s">
        <v>1703</v>
      </c>
      <c r="U27" s="10" t="s">
        <v>1701</v>
      </c>
      <c r="V27" s="2" t="s">
        <v>35</v>
      </c>
      <c r="W27" s="2">
        <v>7</v>
      </c>
      <c r="X27" s="2" t="s">
        <v>36</v>
      </c>
      <c r="Y27" s="2">
        <v>2</v>
      </c>
      <c r="Z27" s="2" t="s">
        <v>37</v>
      </c>
    </row>
    <row r="28" spans="1:26" x14ac:dyDescent="0.35">
      <c r="A28" s="2" t="s">
        <v>125</v>
      </c>
      <c r="B28" s="3">
        <v>46116</v>
      </c>
      <c r="C28" s="2" t="s">
        <v>126</v>
      </c>
      <c r="D28" s="2" t="s">
        <v>99</v>
      </c>
      <c r="E28" s="2" t="s">
        <v>29</v>
      </c>
      <c r="F28" s="2">
        <v>43</v>
      </c>
      <c r="G28" s="2" t="s">
        <v>127</v>
      </c>
      <c r="H28" s="2" t="s">
        <v>31</v>
      </c>
      <c r="I28" s="2" t="s">
        <v>127</v>
      </c>
      <c r="J28" s="2" t="s">
        <v>50</v>
      </c>
      <c r="K28" s="2">
        <v>2</v>
      </c>
      <c r="L28" s="2">
        <v>12340</v>
      </c>
      <c r="M28" s="2">
        <v>10</v>
      </c>
      <c r="N28" s="2">
        <v>2468</v>
      </c>
      <c r="O28" s="2">
        <v>3998.16</v>
      </c>
      <c r="P28" s="2">
        <v>380</v>
      </c>
      <c r="Q28" s="2">
        <v>26590.16</v>
      </c>
      <c r="R28" s="2" t="s">
        <v>51</v>
      </c>
      <c r="S28" s="2" t="s">
        <v>59</v>
      </c>
      <c r="T28" s="9" t="s">
        <v>1707</v>
      </c>
      <c r="U28" s="10" t="s">
        <v>1712</v>
      </c>
      <c r="V28" s="2" t="s">
        <v>53</v>
      </c>
      <c r="W28" s="2">
        <v>3</v>
      </c>
      <c r="X28" s="2" t="s">
        <v>36</v>
      </c>
      <c r="Y28" s="2">
        <v>1</v>
      </c>
      <c r="Z28" s="2" t="s">
        <v>37</v>
      </c>
    </row>
    <row r="29" spans="1:26" x14ac:dyDescent="0.35">
      <c r="A29" s="2" t="s">
        <v>128</v>
      </c>
      <c r="B29" s="3">
        <v>45881</v>
      </c>
      <c r="C29" s="2" t="s">
        <v>129</v>
      </c>
      <c r="D29" s="2" t="s">
        <v>47</v>
      </c>
      <c r="E29" s="2" t="s">
        <v>29</v>
      </c>
      <c r="F29" s="2">
        <v>44</v>
      </c>
      <c r="G29" s="2" t="s">
        <v>85</v>
      </c>
      <c r="H29" s="2" t="s">
        <v>31</v>
      </c>
      <c r="I29" s="2" t="s">
        <v>85</v>
      </c>
      <c r="J29" s="2" t="s">
        <v>113</v>
      </c>
      <c r="K29" s="2">
        <v>4</v>
      </c>
      <c r="L29" s="2">
        <v>3291</v>
      </c>
      <c r="M29" s="2">
        <v>5</v>
      </c>
      <c r="N29" s="2">
        <v>658.2</v>
      </c>
      <c r="O29" s="2">
        <v>2251.04</v>
      </c>
      <c r="P29" s="2">
        <v>242</v>
      </c>
      <c r="Q29" s="2">
        <v>14998.84</v>
      </c>
      <c r="R29" s="2" t="s">
        <v>33</v>
      </c>
      <c r="S29" s="2" t="s">
        <v>59</v>
      </c>
      <c r="T29" s="9" t="s">
        <v>1707</v>
      </c>
      <c r="U29" s="10" t="s">
        <v>1712</v>
      </c>
      <c r="V29" s="2" t="s">
        <v>53</v>
      </c>
      <c r="W29" s="2">
        <v>1</v>
      </c>
      <c r="X29" s="2" t="s">
        <v>36</v>
      </c>
      <c r="Y29" s="2">
        <v>3</v>
      </c>
      <c r="Z29" s="2" t="s">
        <v>44</v>
      </c>
    </row>
    <row r="30" spans="1:26" x14ac:dyDescent="0.35">
      <c r="A30" s="2" t="s">
        <v>130</v>
      </c>
      <c r="B30" s="3">
        <v>45822</v>
      </c>
      <c r="C30" s="2" t="s">
        <v>131</v>
      </c>
      <c r="D30" s="2" t="s">
        <v>28</v>
      </c>
      <c r="E30" s="2" t="s">
        <v>41</v>
      </c>
      <c r="F30" s="2">
        <v>19</v>
      </c>
      <c r="G30" s="2" t="s">
        <v>122</v>
      </c>
      <c r="H30" s="2" t="s">
        <v>31</v>
      </c>
      <c r="I30" s="2" t="s">
        <v>122</v>
      </c>
      <c r="J30" s="2" t="s">
        <v>113</v>
      </c>
      <c r="K30" s="2">
        <v>3</v>
      </c>
      <c r="L30" s="2">
        <v>44392</v>
      </c>
      <c r="M30" s="2">
        <v>0</v>
      </c>
      <c r="N30" s="2">
        <v>0</v>
      </c>
      <c r="O30" s="2">
        <v>23971.68</v>
      </c>
      <c r="P30" s="2">
        <v>464</v>
      </c>
      <c r="Q30" s="2">
        <v>157611.68</v>
      </c>
      <c r="R30" s="2" t="s">
        <v>33</v>
      </c>
      <c r="S30" s="2" t="s">
        <v>34</v>
      </c>
      <c r="T30" s="9" t="s">
        <v>1704</v>
      </c>
      <c r="U30" s="10" t="s">
        <v>52</v>
      </c>
      <c r="V30" s="2" t="s">
        <v>35</v>
      </c>
      <c r="W30" s="2">
        <v>9</v>
      </c>
      <c r="X30" s="2" t="s">
        <v>44</v>
      </c>
      <c r="Y30" s="2">
        <v>2</v>
      </c>
      <c r="Z30" s="2" t="s">
        <v>54</v>
      </c>
    </row>
    <row r="31" spans="1:26" x14ac:dyDescent="0.35">
      <c r="A31" s="2" t="s">
        <v>132</v>
      </c>
      <c r="B31" s="3">
        <v>46004</v>
      </c>
      <c r="C31" s="2" t="s">
        <v>133</v>
      </c>
      <c r="D31" s="2" t="s">
        <v>99</v>
      </c>
      <c r="E31" s="2" t="s">
        <v>41</v>
      </c>
      <c r="F31" s="2">
        <v>59</v>
      </c>
      <c r="G31" s="2" t="s">
        <v>85</v>
      </c>
      <c r="H31" s="2" t="s">
        <v>31</v>
      </c>
      <c r="I31" s="2" t="s">
        <v>85</v>
      </c>
      <c r="J31" s="2" t="s">
        <v>65</v>
      </c>
      <c r="K31" s="2">
        <v>2</v>
      </c>
      <c r="L31" s="2">
        <v>40547</v>
      </c>
      <c r="M31" s="2">
        <v>20</v>
      </c>
      <c r="N31" s="2">
        <v>16218.8</v>
      </c>
      <c r="O31" s="2">
        <v>11677.54</v>
      </c>
      <c r="P31" s="2">
        <v>177</v>
      </c>
      <c r="Q31" s="2">
        <v>76729.740000000005</v>
      </c>
      <c r="R31" s="2" t="s">
        <v>43</v>
      </c>
      <c r="S31" s="2" t="s">
        <v>34</v>
      </c>
      <c r="T31" s="9" t="s">
        <v>1709</v>
      </c>
      <c r="U31" s="10" t="s">
        <v>52</v>
      </c>
      <c r="V31" s="2" t="s">
        <v>53</v>
      </c>
      <c r="W31" s="2">
        <v>2</v>
      </c>
      <c r="X31" s="2" t="s">
        <v>44</v>
      </c>
      <c r="Y31" s="2">
        <v>3</v>
      </c>
      <c r="Z31" s="2" t="s">
        <v>54</v>
      </c>
    </row>
    <row r="32" spans="1:26" x14ac:dyDescent="0.35">
      <c r="A32" s="2" t="s">
        <v>134</v>
      </c>
      <c r="B32" s="3">
        <v>45940</v>
      </c>
      <c r="C32" s="2" t="s">
        <v>135</v>
      </c>
      <c r="D32" s="2" t="s">
        <v>80</v>
      </c>
      <c r="E32" s="2" t="s">
        <v>29</v>
      </c>
      <c r="F32" s="2">
        <v>60</v>
      </c>
      <c r="G32" s="2" t="s">
        <v>30</v>
      </c>
      <c r="H32" s="2" t="s">
        <v>31</v>
      </c>
      <c r="I32" s="2" t="s">
        <v>30</v>
      </c>
      <c r="J32" s="2" t="s">
        <v>50</v>
      </c>
      <c r="K32" s="2">
        <v>5</v>
      </c>
      <c r="L32" s="2">
        <v>31394</v>
      </c>
      <c r="M32" s="2">
        <v>0</v>
      </c>
      <c r="N32" s="2">
        <v>0</v>
      </c>
      <c r="O32" s="2">
        <v>28254.6</v>
      </c>
      <c r="P32" s="2">
        <v>446</v>
      </c>
      <c r="Q32" s="2">
        <v>185670.6</v>
      </c>
      <c r="R32" s="2" t="s">
        <v>43</v>
      </c>
      <c r="S32" s="2" t="s">
        <v>34</v>
      </c>
      <c r="T32" s="9" t="s">
        <v>1708</v>
      </c>
      <c r="U32" s="10" t="s">
        <v>52</v>
      </c>
      <c r="V32" s="2" t="s">
        <v>77</v>
      </c>
      <c r="W32" s="2">
        <v>3</v>
      </c>
      <c r="X32" s="2" t="s">
        <v>36</v>
      </c>
      <c r="Y32" s="2">
        <v>2</v>
      </c>
      <c r="Z32" s="2" t="s">
        <v>54</v>
      </c>
    </row>
    <row r="33" spans="1:26" x14ac:dyDescent="0.35">
      <c r="A33" s="2" t="s">
        <v>136</v>
      </c>
      <c r="B33" s="3">
        <v>46068</v>
      </c>
      <c r="C33" s="2" t="s">
        <v>137</v>
      </c>
      <c r="D33" s="2" t="s">
        <v>80</v>
      </c>
      <c r="E33" s="2" t="s">
        <v>29</v>
      </c>
      <c r="F33" s="2">
        <v>57</v>
      </c>
      <c r="G33" s="2" t="s">
        <v>81</v>
      </c>
      <c r="H33" s="2" t="s">
        <v>31</v>
      </c>
      <c r="I33" s="2" t="s">
        <v>81</v>
      </c>
      <c r="J33" s="2" t="s">
        <v>138</v>
      </c>
      <c r="K33" s="2">
        <v>2</v>
      </c>
      <c r="L33" s="2">
        <v>35379</v>
      </c>
      <c r="M33" s="2">
        <v>0</v>
      </c>
      <c r="N33" s="2">
        <v>0</v>
      </c>
      <c r="O33" s="2">
        <v>12736.44</v>
      </c>
      <c r="P33" s="2">
        <v>53</v>
      </c>
      <c r="Q33" s="2">
        <v>83547.44</v>
      </c>
      <c r="R33" s="2" t="s">
        <v>51</v>
      </c>
      <c r="S33" s="2" t="s">
        <v>59</v>
      </c>
      <c r="T33" s="9" t="s">
        <v>1704</v>
      </c>
      <c r="U33" s="10" t="s">
        <v>52</v>
      </c>
      <c r="V33" s="2" t="s">
        <v>35</v>
      </c>
      <c r="W33" s="2">
        <v>4</v>
      </c>
      <c r="X33" s="2" t="s">
        <v>36</v>
      </c>
      <c r="Y33" s="2">
        <v>4</v>
      </c>
      <c r="Z33" s="2" t="s">
        <v>54</v>
      </c>
    </row>
    <row r="34" spans="1:26" x14ac:dyDescent="0.35">
      <c r="A34" s="2" t="s">
        <v>139</v>
      </c>
      <c r="B34" s="3">
        <v>45807</v>
      </c>
      <c r="C34" s="2" t="s">
        <v>140</v>
      </c>
      <c r="D34" s="2" t="s">
        <v>80</v>
      </c>
      <c r="E34" s="2" t="s">
        <v>29</v>
      </c>
      <c r="F34" s="2">
        <v>54</v>
      </c>
      <c r="G34" s="2" t="s">
        <v>48</v>
      </c>
      <c r="H34" s="2" t="s">
        <v>49</v>
      </c>
      <c r="I34" s="2" t="s">
        <v>48</v>
      </c>
      <c r="J34" s="2" t="s">
        <v>58</v>
      </c>
      <c r="K34" s="2">
        <v>1</v>
      </c>
      <c r="L34" s="2">
        <v>35566</v>
      </c>
      <c r="M34" s="2">
        <v>20</v>
      </c>
      <c r="N34" s="2">
        <v>7113.2</v>
      </c>
      <c r="O34" s="2">
        <v>5121.5</v>
      </c>
      <c r="P34" s="2">
        <v>467</v>
      </c>
      <c r="Q34" s="2">
        <v>34041.300000000003</v>
      </c>
      <c r="R34" s="2" t="s">
        <v>43</v>
      </c>
      <c r="S34" s="2" t="s">
        <v>34</v>
      </c>
      <c r="T34" s="9" t="s">
        <v>1708</v>
      </c>
      <c r="U34" s="10" t="s">
        <v>52</v>
      </c>
      <c r="V34" s="2" t="s">
        <v>77</v>
      </c>
      <c r="W34" s="2">
        <v>5</v>
      </c>
      <c r="X34" s="2" t="s">
        <v>36</v>
      </c>
      <c r="Y34" s="2">
        <v>2</v>
      </c>
      <c r="Z34" s="2" t="s">
        <v>37</v>
      </c>
    </row>
    <row r="35" spans="1:26" x14ac:dyDescent="0.35">
      <c r="A35" s="2" t="s">
        <v>141</v>
      </c>
      <c r="B35" s="3">
        <v>45874</v>
      </c>
      <c r="C35" s="2" t="s">
        <v>142</v>
      </c>
      <c r="D35" s="2" t="s">
        <v>62</v>
      </c>
      <c r="E35" s="2" t="s">
        <v>41</v>
      </c>
      <c r="F35" s="2">
        <v>47</v>
      </c>
      <c r="G35" s="2" t="s">
        <v>81</v>
      </c>
      <c r="H35" s="2" t="s">
        <v>31</v>
      </c>
      <c r="I35" s="2" t="s">
        <v>81</v>
      </c>
      <c r="J35" s="2" t="s">
        <v>138</v>
      </c>
      <c r="K35" s="2">
        <v>1</v>
      </c>
      <c r="L35" s="2">
        <v>20264</v>
      </c>
      <c r="M35" s="2">
        <v>15</v>
      </c>
      <c r="N35" s="2">
        <v>3039.6</v>
      </c>
      <c r="O35" s="2">
        <v>3100.39</v>
      </c>
      <c r="P35" s="2">
        <v>365</v>
      </c>
      <c r="Q35" s="2">
        <v>20689.79</v>
      </c>
      <c r="R35" s="2" t="s">
        <v>33</v>
      </c>
      <c r="S35" s="2" t="s">
        <v>34</v>
      </c>
      <c r="T35" s="9" t="s">
        <v>1710</v>
      </c>
      <c r="U35" s="10" t="s">
        <v>1711</v>
      </c>
      <c r="V35" s="2" t="s">
        <v>53</v>
      </c>
      <c r="W35" s="2">
        <v>10</v>
      </c>
      <c r="X35" s="2" t="s">
        <v>44</v>
      </c>
      <c r="Y35" s="2">
        <v>2</v>
      </c>
      <c r="Z35" s="2" t="s">
        <v>82</v>
      </c>
    </row>
    <row r="36" spans="1:26" x14ac:dyDescent="0.35">
      <c r="A36" s="2" t="s">
        <v>143</v>
      </c>
      <c r="B36" s="3">
        <v>45982</v>
      </c>
      <c r="C36" s="2" t="s">
        <v>144</v>
      </c>
      <c r="D36" s="2" t="s">
        <v>57</v>
      </c>
      <c r="E36" s="2" t="s">
        <v>41</v>
      </c>
      <c r="F36" s="2">
        <v>37</v>
      </c>
      <c r="G36" s="2" t="s">
        <v>42</v>
      </c>
      <c r="H36" s="2" t="s">
        <v>31</v>
      </c>
      <c r="I36" s="2" t="s">
        <v>42</v>
      </c>
      <c r="J36" s="2" t="s">
        <v>113</v>
      </c>
      <c r="K36" s="2">
        <v>3</v>
      </c>
      <c r="L36" s="2">
        <v>32124</v>
      </c>
      <c r="M36" s="2">
        <v>5</v>
      </c>
      <c r="N36" s="2">
        <v>4818.6000000000004</v>
      </c>
      <c r="O36" s="2">
        <v>16479.61</v>
      </c>
      <c r="P36" s="2">
        <v>285</v>
      </c>
      <c r="Q36" s="2">
        <v>108318.01</v>
      </c>
      <c r="R36" s="2" t="s">
        <v>33</v>
      </c>
      <c r="S36" s="2" t="s">
        <v>34</v>
      </c>
      <c r="T36" s="9" t="s">
        <v>1710</v>
      </c>
      <c r="U36" s="10" t="s">
        <v>1711</v>
      </c>
      <c r="V36" s="2" t="s">
        <v>53</v>
      </c>
      <c r="W36" s="2">
        <v>9</v>
      </c>
      <c r="X36" s="2" t="s">
        <v>36</v>
      </c>
      <c r="Y36" s="2">
        <v>2</v>
      </c>
      <c r="Z36" s="2" t="s">
        <v>82</v>
      </c>
    </row>
    <row r="37" spans="1:26" x14ac:dyDescent="0.35">
      <c r="A37" s="2" t="s">
        <v>145</v>
      </c>
      <c r="B37" s="3">
        <v>46026</v>
      </c>
      <c r="C37" s="2" t="s">
        <v>146</v>
      </c>
      <c r="D37" s="2" t="s">
        <v>80</v>
      </c>
      <c r="E37" s="2" t="s">
        <v>29</v>
      </c>
      <c r="F37" s="2">
        <v>53</v>
      </c>
      <c r="G37" s="2" t="s">
        <v>48</v>
      </c>
      <c r="H37" s="2" t="s">
        <v>49</v>
      </c>
      <c r="I37" s="2" t="s">
        <v>48</v>
      </c>
      <c r="J37" s="2" t="s">
        <v>138</v>
      </c>
      <c r="K37" s="2">
        <v>5</v>
      </c>
      <c r="L37" s="2">
        <v>18427</v>
      </c>
      <c r="M37" s="2">
        <v>5</v>
      </c>
      <c r="N37" s="2">
        <v>4606.75</v>
      </c>
      <c r="O37" s="2">
        <v>15755.08</v>
      </c>
      <c r="P37" s="2">
        <v>210</v>
      </c>
      <c r="Q37" s="2">
        <v>103493.33</v>
      </c>
      <c r="R37" s="2" t="s">
        <v>51</v>
      </c>
      <c r="S37" s="2" t="s">
        <v>34</v>
      </c>
      <c r="T37" s="9" t="s">
        <v>1708</v>
      </c>
      <c r="U37" s="10" t="s">
        <v>52</v>
      </c>
      <c r="V37" s="2" t="s">
        <v>77</v>
      </c>
      <c r="W37" s="2">
        <v>9</v>
      </c>
      <c r="X37" s="2" t="s">
        <v>44</v>
      </c>
      <c r="Y37" s="2">
        <v>2</v>
      </c>
      <c r="Z37" s="2" t="s">
        <v>44</v>
      </c>
    </row>
    <row r="38" spans="1:26" x14ac:dyDescent="0.35">
      <c r="A38" s="2" t="s">
        <v>147</v>
      </c>
      <c r="B38" s="3">
        <v>45821</v>
      </c>
      <c r="C38" s="2" t="s">
        <v>148</v>
      </c>
      <c r="D38" s="2" t="s">
        <v>28</v>
      </c>
      <c r="E38" s="2" t="s">
        <v>41</v>
      </c>
      <c r="F38" s="2">
        <v>57</v>
      </c>
      <c r="G38" s="2" t="s">
        <v>88</v>
      </c>
      <c r="H38" s="2" t="s">
        <v>49</v>
      </c>
      <c r="I38" s="2" t="s">
        <v>88</v>
      </c>
      <c r="J38" s="2" t="s">
        <v>100</v>
      </c>
      <c r="K38" s="2">
        <v>5</v>
      </c>
      <c r="L38" s="2">
        <v>43320</v>
      </c>
      <c r="M38" s="2">
        <v>10</v>
      </c>
      <c r="N38" s="2">
        <v>21660</v>
      </c>
      <c r="O38" s="2">
        <v>35089.199999999997</v>
      </c>
      <c r="P38" s="2">
        <v>103</v>
      </c>
      <c r="Q38" s="2">
        <v>230132.2</v>
      </c>
      <c r="R38" s="2" t="s">
        <v>51</v>
      </c>
      <c r="S38" s="2" t="s">
        <v>59</v>
      </c>
      <c r="T38" s="9" t="s">
        <v>1707</v>
      </c>
      <c r="U38" s="10" t="s">
        <v>1712</v>
      </c>
      <c r="V38" s="2" t="s">
        <v>53</v>
      </c>
      <c r="W38" s="2">
        <v>5</v>
      </c>
      <c r="X38" s="2" t="s">
        <v>36</v>
      </c>
      <c r="Y38" s="2">
        <v>5</v>
      </c>
      <c r="Z38" s="2" t="s">
        <v>44</v>
      </c>
    </row>
    <row r="39" spans="1:26" x14ac:dyDescent="0.35">
      <c r="A39" s="2" t="s">
        <v>149</v>
      </c>
      <c r="B39" s="3">
        <v>45911</v>
      </c>
      <c r="C39" s="2" t="s">
        <v>150</v>
      </c>
      <c r="D39" s="2" t="s">
        <v>99</v>
      </c>
      <c r="E39" s="2" t="s">
        <v>29</v>
      </c>
      <c r="F39" s="2">
        <v>52</v>
      </c>
      <c r="G39" s="2" t="s">
        <v>30</v>
      </c>
      <c r="H39" s="2" t="s">
        <v>31</v>
      </c>
      <c r="I39" s="2" t="s">
        <v>30</v>
      </c>
      <c r="J39" s="2" t="s">
        <v>138</v>
      </c>
      <c r="K39" s="2">
        <v>2</v>
      </c>
      <c r="L39" s="2">
        <v>2134</v>
      </c>
      <c r="M39" s="2">
        <v>0</v>
      </c>
      <c r="N39" s="2">
        <v>0</v>
      </c>
      <c r="O39" s="2">
        <v>768.24</v>
      </c>
      <c r="P39" s="2">
        <v>266</v>
      </c>
      <c r="Q39" s="2">
        <v>5302.24</v>
      </c>
      <c r="R39" s="2" t="s">
        <v>76</v>
      </c>
      <c r="S39" s="2" t="s">
        <v>59</v>
      </c>
      <c r="T39" s="9" t="s">
        <v>1703</v>
      </c>
      <c r="U39" s="10" t="s">
        <v>1701</v>
      </c>
      <c r="V39" s="2" t="s">
        <v>35</v>
      </c>
      <c r="W39" s="2">
        <v>10</v>
      </c>
      <c r="X39" s="2" t="s">
        <v>36</v>
      </c>
      <c r="Y39" s="2">
        <v>2</v>
      </c>
      <c r="Z39" s="2" t="s">
        <v>54</v>
      </c>
    </row>
    <row r="40" spans="1:26" x14ac:dyDescent="0.35">
      <c r="A40" s="2" t="s">
        <v>151</v>
      </c>
      <c r="B40" s="3">
        <v>45913</v>
      </c>
      <c r="C40" s="2" t="s">
        <v>152</v>
      </c>
      <c r="D40" s="2" t="s">
        <v>73</v>
      </c>
      <c r="E40" s="2" t="s">
        <v>29</v>
      </c>
      <c r="F40" s="2">
        <v>50</v>
      </c>
      <c r="G40" s="2" t="s">
        <v>48</v>
      </c>
      <c r="H40" s="2" t="s">
        <v>49</v>
      </c>
      <c r="I40" s="2" t="s">
        <v>48</v>
      </c>
      <c r="J40" s="2" t="s">
        <v>91</v>
      </c>
      <c r="K40" s="2">
        <v>2</v>
      </c>
      <c r="L40" s="2">
        <v>46564</v>
      </c>
      <c r="M40" s="2">
        <v>0</v>
      </c>
      <c r="N40" s="2">
        <v>0</v>
      </c>
      <c r="O40" s="2">
        <v>16763.04</v>
      </c>
      <c r="P40" s="2">
        <v>299</v>
      </c>
      <c r="Q40" s="2">
        <v>110190.04</v>
      </c>
      <c r="R40" s="2" t="s">
        <v>51</v>
      </c>
      <c r="S40" s="2" t="s">
        <v>34</v>
      </c>
      <c r="T40" s="9" t="s">
        <v>1704</v>
      </c>
      <c r="U40" s="10" t="s">
        <v>52</v>
      </c>
      <c r="V40" s="2" t="s">
        <v>35</v>
      </c>
      <c r="W40" s="2">
        <v>10</v>
      </c>
      <c r="X40" s="2" t="s">
        <v>36</v>
      </c>
      <c r="Y40" s="2">
        <v>3</v>
      </c>
      <c r="Z40" s="2" t="s">
        <v>54</v>
      </c>
    </row>
    <row r="41" spans="1:26" x14ac:dyDescent="0.35">
      <c r="A41" s="2" t="s">
        <v>153</v>
      </c>
      <c r="B41" s="3">
        <v>46120</v>
      </c>
      <c r="C41" s="2" t="s">
        <v>154</v>
      </c>
      <c r="D41" s="2" t="s">
        <v>62</v>
      </c>
      <c r="E41" s="2" t="s">
        <v>29</v>
      </c>
      <c r="F41" s="2">
        <v>50</v>
      </c>
      <c r="G41" s="2" t="s">
        <v>42</v>
      </c>
      <c r="H41" s="2" t="s">
        <v>31</v>
      </c>
      <c r="I41" s="2" t="s">
        <v>42</v>
      </c>
      <c r="J41" s="2" t="s">
        <v>65</v>
      </c>
      <c r="K41" s="2">
        <v>1</v>
      </c>
      <c r="L41" s="2">
        <v>18376</v>
      </c>
      <c r="M41" s="2">
        <v>15</v>
      </c>
      <c r="N41" s="2">
        <v>2756.4</v>
      </c>
      <c r="O41" s="2">
        <v>2811.53</v>
      </c>
      <c r="P41" s="2">
        <v>486</v>
      </c>
      <c r="Q41" s="2">
        <v>18917.13</v>
      </c>
      <c r="R41" s="2" t="s">
        <v>33</v>
      </c>
      <c r="S41" s="2" t="s">
        <v>34</v>
      </c>
      <c r="T41" s="9" t="s">
        <v>1706</v>
      </c>
      <c r="U41" s="10" t="s">
        <v>52</v>
      </c>
      <c r="V41" s="2" t="s">
        <v>53</v>
      </c>
      <c r="W41" s="2">
        <v>4</v>
      </c>
      <c r="X41" s="2" t="s">
        <v>36</v>
      </c>
      <c r="Y41" s="2">
        <v>2</v>
      </c>
      <c r="Z41" s="2" t="s">
        <v>82</v>
      </c>
    </row>
    <row r="42" spans="1:26" x14ac:dyDescent="0.35">
      <c r="A42" s="2" t="s">
        <v>155</v>
      </c>
      <c r="B42" s="3">
        <v>45776</v>
      </c>
      <c r="C42" s="2" t="s">
        <v>156</v>
      </c>
      <c r="D42" s="2" t="s">
        <v>57</v>
      </c>
      <c r="E42" s="2" t="s">
        <v>29</v>
      </c>
      <c r="F42" s="2">
        <v>31</v>
      </c>
      <c r="G42" s="2" t="s">
        <v>69</v>
      </c>
      <c r="H42" s="2" t="s">
        <v>31</v>
      </c>
      <c r="I42" s="2" t="s">
        <v>69</v>
      </c>
      <c r="J42" s="2" t="s">
        <v>113</v>
      </c>
      <c r="K42" s="2">
        <v>4</v>
      </c>
      <c r="L42" s="2">
        <v>27754</v>
      </c>
      <c r="M42" s="2">
        <v>20</v>
      </c>
      <c r="N42" s="2">
        <v>22203.200000000001</v>
      </c>
      <c r="O42" s="2">
        <v>15986.3</v>
      </c>
      <c r="P42" s="2">
        <v>275</v>
      </c>
      <c r="Q42" s="2">
        <v>105074.1</v>
      </c>
      <c r="R42" s="2" t="s">
        <v>43</v>
      </c>
      <c r="S42" s="2" t="s">
        <v>34</v>
      </c>
      <c r="T42" s="9" t="s">
        <v>1707</v>
      </c>
      <c r="U42" s="10" t="s">
        <v>1712</v>
      </c>
      <c r="V42" s="2" t="s">
        <v>53</v>
      </c>
      <c r="W42" s="2">
        <v>9</v>
      </c>
      <c r="X42" s="2" t="s">
        <v>36</v>
      </c>
      <c r="Y42" s="2">
        <v>3</v>
      </c>
      <c r="Z42" s="2" t="s">
        <v>54</v>
      </c>
    </row>
    <row r="43" spans="1:26" x14ac:dyDescent="0.35">
      <c r="A43" s="2" t="s">
        <v>157</v>
      </c>
      <c r="B43" s="3">
        <v>46061</v>
      </c>
      <c r="C43" s="2" t="s">
        <v>158</v>
      </c>
      <c r="D43" s="2" t="s">
        <v>96</v>
      </c>
      <c r="E43" s="2" t="s">
        <v>29</v>
      </c>
      <c r="F43" s="2">
        <v>48</v>
      </c>
      <c r="G43" s="2" t="s">
        <v>48</v>
      </c>
      <c r="H43" s="2" t="s">
        <v>49</v>
      </c>
      <c r="I43" s="2" t="s">
        <v>48</v>
      </c>
      <c r="J43" s="2" t="s">
        <v>58</v>
      </c>
      <c r="K43" s="2">
        <v>1</v>
      </c>
      <c r="L43" s="2">
        <v>13832</v>
      </c>
      <c r="M43" s="2">
        <v>5</v>
      </c>
      <c r="N43" s="2">
        <v>691.6</v>
      </c>
      <c r="O43" s="2">
        <v>2365.27</v>
      </c>
      <c r="P43" s="2">
        <v>391</v>
      </c>
      <c r="Q43" s="2">
        <v>15896.67</v>
      </c>
      <c r="R43" s="2" t="s">
        <v>51</v>
      </c>
      <c r="S43" s="2" t="s">
        <v>34</v>
      </c>
      <c r="T43" s="9" t="s">
        <v>1705</v>
      </c>
      <c r="U43" s="10" t="s">
        <v>1702</v>
      </c>
      <c r="V43" s="2" t="s">
        <v>53</v>
      </c>
      <c r="W43" s="2">
        <v>7</v>
      </c>
      <c r="X43" s="2" t="s">
        <v>36</v>
      </c>
      <c r="Y43" s="2">
        <v>2</v>
      </c>
      <c r="Z43" s="2" t="s">
        <v>37</v>
      </c>
    </row>
    <row r="44" spans="1:26" x14ac:dyDescent="0.35">
      <c r="A44" s="2" t="s">
        <v>159</v>
      </c>
      <c r="B44" s="3">
        <v>45980</v>
      </c>
      <c r="C44" s="2" t="s">
        <v>160</v>
      </c>
      <c r="D44" s="2" t="s">
        <v>57</v>
      </c>
      <c r="E44" s="2" t="s">
        <v>41</v>
      </c>
      <c r="F44" s="2">
        <v>57</v>
      </c>
      <c r="G44" s="2" t="s">
        <v>127</v>
      </c>
      <c r="H44" s="2" t="s">
        <v>31</v>
      </c>
      <c r="I44" s="2" t="s">
        <v>127</v>
      </c>
      <c r="J44" s="2" t="s">
        <v>100</v>
      </c>
      <c r="K44" s="2">
        <v>2</v>
      </c>
      <c r="L44" s="2">
        <v>48320</v>
      </c>
      <c r="M44" s="2">
        <v>0</v>
      </c>
      <c r="N44" s="2">
        <v>0</v>
      </c>
      <c r="O44" s="2">
        <v>17395.2</v>
      </c>
      <c r="P44" s="2">
        <v>415</v>
      </c>
      <c r="Q44" s="2">
        <v>114450.2</v>
      </c>
      <c r="R44" s="2" t="s">
        <v>76</v>
      </c>
      <c r="S44" s="2" t="s">
        <v>34</v>
      </c>
      <c r="T44" s="9" t="s">
        <v>1705</v>
      </c>
      <c r="U44" s="10" t="s">
        <v>1702</v>
      </c>
      <c r="V44" s="2" t="s">
        <v>53</v>
      </c>
      <c r="W44" s="2">
        <v>1</v>
      </c>
      <c r="X44" s="2" t="s">
        <v>44</v>
      </c>
      <c r="Y44" s="2">
        <v>4</v>
      </c>
      <c r="Z44" s="2" t="s">
        <v>37</v>
      </c>
    </row>
    <row r="45" spans="1:26" x14ac:dyDescent="0.35">
      <c r="A45" s="2" t="s">
        <v>161</v>
      </c>
      <c r="B45" s="3">
        <v>46019</v>
      </c>
      <c r="C45" s="2" t="s">
        <v>162</v>
      </c>
      <c r="D45" s="2" t="s">
        <v>47</v>
      </c>
      <c r="E45" s="2" t="s">
        <v>41</v>
      </c>
      <c r="F45" s="2">
        <v>35</v>
      </c>
      <c r="G45" s="2" t="s">
        <v>81</v>
      </c>
      <c r="H45" s="2" t="s">
        <v>31</v>
      </c>
      <c r="I45" s="2" t="s">
        <v>81</v>
      </c>
      <c r="J45" s="2" t="s">
        <v>91</v>
      </c>
      <c r="K45" s="2">
        <v>1</v>
      </c>
      <c r="L45" s="2">
        <v>2598</v>
      </c>
      <c r="M45" s="2">
        <v>5</v>
      </c>
      <c r="N45" s="2">
        <v>129.9</v>
      </c>
      <c r="O45" s="2">
        <v>444.26</v>
      </c>
      <c r="P45" s="2">
        <v>414</v>
      </c>
      <c r="Q45" s="2">
        <v>3326.36</v>
      </c>
      <c r="R45" s="2" t="s">
        <v>43</v>
      </c>
      <c r="S45" s="2" t="s">
        <v>34</v>
      </c>
      <c r="T45" s="9" t="s">
        <v>1709</v>
      </c>
      <c r="U45" s="10" t="s">
        <v>52</v>
      </c>
      <c r="V45" s="2" t="s">
        <v>53</v>
      </c>
      <c r="W45" s="2">
        <v>7</v>
      </c>
      <c r="X45" s="2" t="s">
        <v>44</v>
      </c>
      <c r="Y45" s="2">
        <v>2</v>
      </c>
      <c r="Z45" s="2" t="s">
        <v>82</v>
      </c>
    </row>
    <row r="46" spans="1:26" x14ac:dyDescent="0.35">
      <c r="A46" s="2" t="s">
        <v>163</v>
      </c>
      <c r="B46" s="3">
        <v>45808</v>
      </c>
      <c r="C46" s="2" t="s">
        <v>164</v>
      </c>
      <c r="D46" s="2" t="s">
        <v>28</v>
      </c>
      <c r="E46" s="2" t="s">
        <v>29</v>
      </c>
      <c r="F46" s="2">
        <v>27</v>
      </c>
      <c r="G46" s="2" t="s">
        <v>42</v>
      </c>
      <c r="H46" s="2" t="s">
        <v>31</v>
      </c>
      <c r="I46" s="2" t="s">
        <v>42</v>
      </c>
      <c r="J46" s="2" t="s">
        <v>50</v>
      </c>
      <c r="K46" s="2">
        <v>4</v>
      </c>
      <c r="L46" s="2">
        <v>46065</v>
      </c>
      <c r="M46" s="2">
        <v>10</v>
      </c>
      <c r="N46" s="2">
        <v>18426</v>
      </c>
      <c r="O46" s="2">
        <v>29850.12</v>
      </c>
      <c r="P46" s="2">
        <v>96</v>
      </c>
      <c r="Q46" s="2">
        <v>195780.12</v>
      </c>
      <c r="R46" s="2" t="s">
        <v>51</v>
      </c>
      <c r="S46" s="2" t="s">
        <v>59</v>
      </c>
      <c r="T46" s="9" t="s">
        <v>1705</v>
      </c>
      <c r="U46" s="10" t="s">
        <v>1702</v>
      </c>
      <c r="V46" s="2" t="s">
        <v>53</v>
      </c>
      <c r="W46" s="2">
        <v>5</v>
      </c>
      <c r="X46" s="2" t="s">
        <v>44</v>
      </c>
      <c r="Y46" s="2">
        <v>1</v>
      </c>
      <c r="Z46" s="2" t="s">
        <v>82</v>
      </c>
    </row>
    <row r="47" spans="1:26" x14ac:dyDescent="0.35">
      <c r="A47" s="2" t="s">
        <v>165</v>
      </c>
      <c r="B47" s="3">
        <v>45826</v>
      </c>
      <c r="C47" s="2" t="s">
        <v>166</v>
      </c>
      <c r="D47" s="2" t="s">
        <v>62</v>
      </c>
      <c r="E47" s="2" t="s">
        <v>41</v>
      </c>
      <c r="F47" s="2">
        <v>57</v>
      </c>
      <c r="G47" s="2" t="s">
        <v>88</v>
      </c>
      <c r="H47" s="2" t="s">
        <v>49</v>
      </c>
      <c r="I47" s="2" t="s">
        <v>88</v>
      </c>
      <c r="J47" s="2" t="s">
        <v>32</v>
      </c>
      <c r="K47" s="2">
        <v>2</v>
      </c>
      <c r="L47" s="2">
        <v>33957</v>
      </c>
      <c r="M47" s="2">
        <v>15</v>
      </c>
      <c r="N47" s="2">
        <v>10187.1</v>
      </c>
      <c r="O47" s="2">
        <v>10390.84</v>
      </c>
      <c r="P47" s="2">
        <v>493</v>
      </c>
      <c r="Q47" s="2">
        <v>68610.740000000005</v>
      </c>
      <c r="R47" s="2" t="s">
        <v>76</v>
      </c>
      <c r="S47" s="2" t="s">
        <v>59</v>
      </c>
      <c r="T47" s="9" t="s">
        <v>1703</v>
      </c>
      <c r="U47" s="10" t="s">
        <v>1701</v>
      </c>
      <c r="V47" s="2" t="s">
        <v>35</v>
      </c>
      <c r="W47" s="2">
        <v>9</v>
      </c>
      <c r="X47" s="2" t="s">
        <v>36</v>
      </c>
      <c r="Y47" s="2">
        <v>1</v>
      </c>
      <c r="Z47" s="2" t="s">
        <v>37</v>
      </c>
    </row>
    <row r="48" spans="1:26" x14ac:dyDescent="0.35">
      <c r="A48" s="2" t="s">
        <v>167</v>
      </c>
      <c r="B48" s="3">
        <v>45904</v>
      </c>
      <c r="C48" s="2" t="s">
        <v>168</v>
      </c>
      <c r="D48" s="2" t="s">
        <v>96</v>
      </c>
      <c r="E48" s="2" t="s">
        <v>41</v>
      </c>
      <c r="F48" s="2">
        <v>31</v>
      </c>
      <c r="G48" s="2" t="s">
        <v>85</v>
      </c>
      <c r="H48" s="2" t="s">
        <v>31</v>
      </c>
      <c r="I48" s="2" t="s">
        <v>85</v>
      </c>
      <c r="J48" s="2" t="s">
        <v>50</v>
      </c>
      <c r="K48" s="2">
        <v>4</v>
      </c>
      <c r="L48" s="2">
        <v>34160</v>
      </c>
      <c r="M48" s="2">
        <v>10</v>
      </c>
      <c r="N48" s="2">
        <v>13664</v>
      </c>
      <c r="O48" s="2">
        <v>22135.68</v>
      </c>
      <c r="P48" s="2">
        <v>174</v>
      </c>
      <c r="Q48" s="2">
        <v>145285.68</v>
      </c>
      <c r="R48" s="2" t="s">
        <v>51</v>
      </c>
      <c r="S48" s="2" t="s">
        <v>59</v>
      </c>
      <c r="T48" s="9" t="s">
        <v>1704</v>
      </c>
      <c r="U48" s="10" t="s">
        <v>52</v>
      </c>
      <c r="V48" s="2" t="s">
        <v>35</v>
      </c>
      <c r="W48" s="2">
        <v>6</v>
      </c>
      <c r="X48" s="2" t="s">
        <v>36</v>
      </c>
      <c r="Y48" s="2">
        <v>3</v>
      </c>
      <c r="Z48" s="2" t="s">
        <v>44</v>
      </c>
    </row>
    <row r="49" spans="1:26" x14ac:dyDescent="0.35">
      <c r="A49" s="2" t="s">
        <v>169</v>
      </c>
      <c r="B49" s="3">
        <v>45897</v>
      </c>
      <c r="C49" s="2" t="s">
        <v>170</v>
      </c>
      <c r="D49" s="2" t="s">
        <v>57</v>
      </c>
      <c r="E49" s="2" t="s">
        <v>41</v>
      </c>
      <c r="F49" s="2">
        <v>37</v>
      </c>
      <c r="G49" s="2" t="s">
        <v>85</v>
      </c>
      <c r="H49" s="2" t="s">
        <v>31</v>
      </c>
      <c r="I49" s="2" t="s">
        <v>85</v>
      </c>
      <c r="J49" s="2" t="s">
        <v>65</v>
      </c>
      <c r="K49" s="2">
        <v>2</v>
      </c>
      <c r="L49" s="2">
        <v>18482</v>
      </c>
      <c r="M49" s="2">
        <v>15</v>
      </c>
      <c r="N49" s="2">
        <v>5544.6</v>
      </c>
      <c r="O49" s="2">
        <v>5655.49</v>
      </c>
      <c r="P49" s="2">
        <v>78</v>
      </c>
      <c r="Q49" s="2">
        <v>37152.89</v>
      </c>
      <c r="R49" s="2" t="s">
        <v>33</v>
      </c>
      <c r="S49" s="2" t="s">
        <v>34</v>
      </c>
      <c r="T49" s="9" t="s">
        <v>1709</v>
      </c>
      <c r="U49" s="10" t="s">
        <v>52</v>
      </c>
      <c r="V49" s="2" t="s">
        <v>53</v>
      </c>
      <c r="W49" s="2">
        <v>5</v>
      </c>
      <c r="X49" s="2" t="s">
        <v>36</v>
      </c>
      <c r="Y49" s="2">
        <v>3</v>
      </c>
      <c r="Z49" s="2" t="s">
        <v>82</v>
      </c>
    </row>
    <row r="50" spans="1:26" x14ac:dyDescent="0.35">
      <c r="A50" s="2" t="s">
        <v>171</v>
      </c>
      <c r="B50" s="3">
        <v>45920</v>
      </c>
      <c r="C50" s="2" t="s">
        <v>172</v>
      </c>
      <c r="D50" s="2" t="s">
        <v>40</v>
      </c>
      <c r="E50" s="2" t="s">
        <v>41</v>
      </c>
      <c r="F50" s="2">
        <v>55</v>
      </c>
      <c r="G50" s="2" t="s">
        <v>42</v>
      </c>
      <c r="H50" s="2" t="s">
        <v>31</v>
      </c>
      <c r="I50" s="2" t="s">
        <v>42</v>
      </c>
      <c r="J50" s="2" t="s">
        <v>91</v>
      </c>
      <c r="K50" s="2">
        <v>2</v>
      </c>
      <c r="L50" s="2">
        <v>40666</v>
      </c>
      <c r="M50" s="2">
        <v>10</v>
      </c>
      <c r="N50" s="2">
        <v>8133.2</v>
      </c>
      <c r="O50" s="2">
        <v>13175.78</v>
      </c>
      <c r="P50" s="2">
        <v>334</v>
      </c>
      <c r="Q50" s="2">
        <v>86708.58</v>
      </c>
      <c r="R50" s="2" t="s">
        <v>43</v>
      </c>
      <c r="S50" s="2" t="s">
        <v>59</v>
      </c>
      <c r="T50" s="9" t="s">
        <v>1706</v>
      </c>
      <c r="U50" s="10" t="s">
        <v>52</v>
      </c>
      <c r="V50" s="2" t="s">
        <v>53</v>
      </c>
      <c r="W50" s="2">
        <v>8</v>
      </c>
      <c r="X50" s="2" t="s">
        <v>44</v>
      </c>
      <c r="Y50" s="2">
        <v>5</v>
      </c>
      <c r="Z50" s="2" t="s">
        <v>44</v>
      </c>
    </row>
    <row r="51" spans="1:26" x14ac:dyDescent="0.35">
      <c r="A51" s="2" t="s">
        <v>173</v>
      </c>
      <c r="B51" s="3">
        <v>45830</v>
      </c>
      <c r="C51" s="2" t="s">
        <v>140</v>
      </c>
      <c r="D51" s="2" t="s">
        <v>73</v>
      </c>
      <c r="E51" s="2" t="s">
        <v>41</v>
      </c>
      <c r="F51" s="2">
        <v>42</v>
      </c>
      <c r="G51" s="2" t="s">
        <v>69</v>
      </c>
      <c r="H51" s="2" t="s">
        <v>31</v>
      </c>
      <c r="I51" s="2" t="s">
        <v>69</v>
      </c>
      <c r="J51" s="2" t="s">
        <v>113</v>
      </c>
      <c r="K51" s="2">
        <v>4</v>
      </c>
      <c r="L51" s="2">
        <v>2535</v>
      </c>
      <c r="M51" s="2">
        <v>5</v>
      </c>
      <c r="N51" s="2">
        <v>507</v>
      </c>
      <c r="O51" s="2">
        <v>1733.94</v>
      </c>
      <c r="P51" s="2">
        <v>49</v>
      </c>
      <c r="Q51" s="2">
        <v>11415.94</v>
      </c>
      <c r="R51" s="2" t="s">
        <v>51</v>
      </c>
      <c r="S51" s="2" t="s">
        <v>34</v>
      </c>
      <c r="T51" s="9" t="s">
        <v>1707</v>
      </c>
      <c r="U51" s="10" t="s">
        <v>1712</v>
      </c>
      <c r="V51" s="2" t="s">
        <v>53</v>
      </c>
      <c r="W51" s="2">
        <v>3</v>
      </c>
      <c r="X51" s="2" t="s">
        <v>44</v>
      </c>
      <c r="Y51" s="2">
        <v>1</v>
      </c>
      <c r="Z51" s="2" t="s">
        <v>37</v>
      </c>
    </row>
    <row r="52" spans="1:26" x14ac:dyDescent="0.35">
      <c r="A52" s="2" t="s">
        <v>174</v>
      </c>
      <c r="B52" s="3">
        <v>45900</v>
      </c>
      <c r="C52" s="2" t="s">
        <v>175</v>
      </c>
      <c r="D52" s="2" t="s">
        <v>62</v>
      </c>
      <c r="E52" s="2" t="s">
        <v>29</v>
      </c>
      <c r="F52" s="2">
        <v>35</v>
      </c>
      <c r="G52" s="2" t="s">
        <v>81</v>
      </c>
      <c r="H52" s="2" t="s">
        <v>31</v>
      </c>
      <c r="I52" s="2" t="s">
        <v>81</v>
      </c>
      <c r="J52" s="2" t="s">
        <v>138</v>
      </c>
      <c r="K52" s="2">
        <v>3</v>
      </c>
      <c r="L52" s="2">
        <v>41574</v>
      </c>
      <c r="M52" s="2">
        <v>20</v>
      </c>
      <c r="N52" s="2">
        <v>24944.400000000001</v>
      </c>
      <c r="O52" s="2">
        <v>17959.97</v>
      </c>
      <c r="P52" s="2">
        <v>206</v>
      </c>
      <c r="Q52" s="2">
        <v>117943.57</v>
      </c>
      <c r="R52" s="2" t="s">
        <v>43</v>
      </c>
      <c r="S52" s="2" t="s">
        <v>34</v>
      </c>
      <c r="T52" s="9" t="s">
        <v>1703</v>
      </c>
      <c r="U52" s="10" t="s">
        <v>1701</v>
      </c>
      <c r="V52" s="2" t="s">
        <v>35</v>
      </c>
      <c r="W52" s="2">
        <v>10</v>
      </c>
      <c r="X52" s="2" t="s">
        <v>36</v>
      </c>
      <c r="Y52" s="2">
        <v>3</v>
      </c>
      <c r="Z52" s="2" t="s">
        <v>44</v>
      </c>
    </row>
    <row r="53" spans="1:26" x14ac:dyDescent="0.35">
      <c r="A53" s="2" t="s">
        <v>176</v>
      </c>
      <c r="B53" s="3">
        <v>45863</v>
      </c>
      <c r="C53" s="2" t="s">
        <v>177</v>
      </c>
      <c r="D53" s="2" t="s">
        <v>40</v>
      </c>
      <c r="E53" s="2" t="s">
        <v>41</v>
      </c>
      <c r="F53" s="2">
        <v>28</v>
      </c>
      <c r="G53" s="2" t="s">
        <v>69</v>
      </c>
      <c r="H53" s="2" t="s">
        <v>31</v>
      </c>
      <c r="I53" s="2" t="s">
        <v>69</v>
      </c>
      <c r="J53" s="2" t="s">
        <v>91</v>
      </c>
      <c r="K53" s="2">
        <v>3</v>
      </c>
      <c r="L53" s="2">
        <v>33177</v>
      </c>
      <c r="M53" s="2">
        <v>5</v>
      </c>
      <c r="N53" s="2">
        <v>4976.55</v>
      </c>
      <c r="O53" s="2">
        <v>17019.8</v>
      </c>
      <c r="P53" s="2">
        <v>56</v>
      </c>
      <c r="Q53" s="2">
        <v>111630.25</v>
      </c>
      <c r="R53" s="2" t="s">
        <v>76</v>
      </c>
      <c r="S53" s="2" t="s">
        <v>59</v>
      </c>
      <c r="T53" s="9" t="s">
        <v>1703</v>
      </c>
      <c r="U53" s="10" t="s">
        <v>1701</v>
      </c>
      <c r="V53" s="2" t="s">
        <v>35</v>
      </c>
      <c r="W53" s="2">
        <v>3</v>
      </c>
      <c r="X53" s="2" t="s">
        <v>44</v>
      </c>
      <c r="Y53" s="2">
        <v>3</v>
      </c>
      <c r="Z53" s="2" t="s">
        <v>54</v>
      </c>
    </row>
    <row r="54" spans="1:26" x14ac:dyDescent="0.35">
      <c r="A54" s="2" t="s">
        <v>178</v>
      </c>
      <c r="B54" s="3">
        <v>46019</v>
      </c>
      <c r="C54" s="2" t="s">
        <v>179</v>
      </c>
      <c r="D54" s="2" t="s">
        <v>40</v>
      </c>
      <c r="E54" s="2" t="s">
        <v>41</v>
      </c>
      <c r="F54" s="2">
        <v>47</v>
      </c>
      <c r="G54" s="2" t="s">
        <v>69</v>
      </c>
      <c r="H54" s="2" t="s">
        <v>31</v>
      </c>
      <c r="I54" s="2" t="s">
        <v>69</v>
      </c>
      <c r="J54" s="2" t="s">
        <v>138</v>
      </c>
      <c r="K54" s="2">
        <v>5</v>
      </c>
      <c r="L54" s="2">
        <v>1762</v>
      </c>
      <c r="M54" s="2">
        <v>20</v>
      </c>
      <c r="N54" s="2">
        <v>1762</v>
      </c>
      <c r="O54" s="2">
        <v>1268.6400000000001</v>
      </c>
      <c r="P54" s="2">
        <v>27</v>
      </c>
      <c r="Q54" s="2">
        <v>8343.64</v>
      </c>
      <c r="R54" s="2" t="s">
        <v>33</v>
      </c>
      <c r="S54" s="2" t="s">
        <v>59</v>
      </c>
      <c r="T54" s="9" t="s">
        <v>1705</v>
      </c>
      <c r="U54" s="10" t="s">
        <v>1702</v>
      </c>
      <c r="V54" s="2" t="s">
        <v>53</v>
      </c>
      <c r="W54" s="2">
        <v>4</v>
      </c>
      <c r="X54" s="2" t="s">
        <v>36</v>
      </c>
      <c r="Y54" s="2">
        <v>3</v>
      </c>
      <c r="Z54" s="2" t="s">
        <v>44</v>
      </c>
    </row>
    <row r="55" spans="1:26" x14ac:dyDescent="0.35">
      <c r="A55" s="2" t="s">
        <v>180</v>
      </c>
      <c r="B55" s="3">
        <v>45922</v>
      </c>
      <c r="C55" s="2" t="s">
        <v>181</v>
      </c>
      <c r="D55" s="2" t="s">
        <v>68</v>
      </c>
      <c r="E55" s="2" t="s">
        <v>41</v>
      </c>
      <c r="F55" s="2">
        <v>47</v>
      </c>
      <c r="G55" s="2" t="s">
        <v>85</v>
      </c>
      <c r="H55" s="2" t="s">
        <v>31</v>
      </c>
      <c r="I55" s="2" t="s">
        <v>182</v>
      </c>
      <c r="J55" s="2" t="s">
        <v>58</v>
      </c>
      <c r="K55" s="2">
        <v>2</v>
      </c>
      <c r="L55" s="2">
        <v>16428</v>
      </c>
      <c r="M55" s="2">
        <v>20</v>
      </c>
      <c r="N55" s="2">
        <v>6571.2</v>
      </c>
      <c r="O55" s="2">
        <v>4731.26</v>
      </c>
      <c r="P55" s="2">
        <v>94</v>
      </c>
      <c r="Q55" s="2">
        <v>31110.06</v>
      </c>
      <c r="R55" s="2" t="s">
        <v>43</v>
      </c>
      <c r="S55" s="2" t="s">
        <v>59</v>
      </c>
      <c r="T55" s="9" t="s">
        <v>1710</v>
      </c>
      <c r="U55" s="10" t="s">
        <v>1711</v>
      </c>
      <c r="V55" s="2" t="s">
        <v>53</v>
      </c>
      <c r="W55" s="2">
        <v>1</v>
      </c>
      <c r="X55" s="2" t="s">
        <v>36</v>
      </c>
      <c r="Y55" s="2">
        <v>4</v>
      </c>
      <c r="Z55" s="2" t="s">
        <v>37</v>
      </c>
    </row>
    <row r="56" spans="1:26" x14ac:dyDescent="0.35">
      <c r="A56" s="2" t="s">
        <v>183</v>
      </c>
      <c r="B56" s="3">
        <v>46087</v>
      </c>
      <c r="C56" s="2" t="s">
        <v>184</v>
      </c>
      <c r="D56" s="2" t="s">
        <v>47</v>
      </c>
      <c r="E56" s="2" t="s">
        <v>29</v>
      </c>
      <c r="F56" s="2">
        <v>27</v>
      </c>
      <c r="G56" s="2" t="s">
        <v>85</v>
      </c>
      <c r="H56" s="2" t="s">
        <v>31</v>
      </c>
      <c r="I56" s="2" t="s">
        <v>85</v>
      </c>
      <c r="J56" s="2" t="s">
        <v>100</v>
      </c>
      <c r="K56" s="2">
        <v>3</v>
      </c>
      <c r="L56" s="2">
        <v>17615</v>
      </c>
      <c r="M56" s="2">
        <v>0</v>
      </c>
      <c r="N56" s="2">
        <v>0</v>
      </c>
      <c r="O56" s="2">
        <v>9512.1</v>
      </c>
      <c r="P56" s="2">
        <v>128</v>
      </c>
      <c r="Q56" s="2">
        <v>62485.1</v>
      </c>
      <c r="R56" s="2" t="s">
        <v>33</v>
      </c>
      <c r="S56" s="2" t="s">
        <v>34</v>
      </c>
      <c r="T56" s="9" t="s">
        <v>1706</v>
      </c>
      <c r="U56" s="10" t="s">
        <v>52</v>
      </c>
      <c r="V56" s="2" t="s">
        <v>53</v>
      </c>
      <c r="W56" s="2">
        <v>5</v>
      </c>
      <c r="X56" s="2" t="s">
        <v>36</v>
      </c>
      <c r="Y56" s="2">
        <v>4</v>
      </c>
      <c r="Z56" s="2" t="s">
        <v>54</v>
      </c>
    </row>
    <row r="57" spans="1:26" x14ac:dyDescent="0.35">
      <c r="A57" s="2" t="s">
        <v>185</v>
      </c>
      <c r="B57" s="3">
        <v>45819</v>
      </c>
      <c r="C57" s="2" t="s">
        <v>135</v>
      </c>
      <c r="D57" s="2" t="s">
        <v>73</v>
      </c>
      <c r="E57" s="2" t="s">
        <v>29</v>
      </c>
      <c r="F57" s="2">
        <v>50</v>
      </c>
      <c r="G57" s="2" t="s">
        <v>88</v>
      </c>
      <c r="H57" s="2" t="s">
        <v>49</v>
      </c>
      <c r="I57" s="2" t="s">
        <v>88</v>
      </c>
      <c r="J57" s="2" t="s">
        <v>32</v>
      </c>
      <c r="K57" s="2">
        <v>2</v>
      </c>
      <c r="L57" s="2">
        <v>18078</v>
      </c>
      <c r="M57" s="2">
        <v>10</v>
      </c>
      <c r="N57" s="2">
        <v>3615.6</v>
      </c>
      <c r="O57" s="2">
        <v>5857.27</v>
      </c>
      <c r="P57" s="2">
        <v>92</v>
      </c>
      <c r="Q57" s="2">
        <v>38489.67</v>
      </c>
      <c r="R57" s="2" t="s">
        <v>33</v>
      </c>
      <c r="S57" s="2" t="s">
        <v>59</v>
      </c>
      <c r="T57" s="9" t="s">
        <v>1707</v>
      </c>
      <c r="U57" s="10" t="s">
        <v>1712</v>
      </c>
      <c r="V57" s="2" t="s">
        <v>53</v>
      </c>
      <c r="W57" s="2">
        <v>9</v>
      </c>
      <c r="X57" s="2" t="s">
        <v>36</v>
      </c>
      <c r="Y57" s="2">
        <v>2</v>
      </c>
      <c r="Z57" s="2" t="s">
        <v>44</v>
      </c>
    </row>
    <row r="58" spans="1:26" x14ac:dyDescent="0.35">
      <c r="A58" s="2" t="s">
        <v>186</v>
      </c>
      <c r="B58" s="3">
        <v>45860</v>
      </c>
      <c r="C58" s="2" t="s">
        <v>187</v>
      </c>
      <c r="D58" s="2" t="s">
        <v>57</v>
      </c>
      <c r="E58" s="2" t="s">
        <v>41</v>
      </c>
      <c r="F58" s="2">
        <v>33</v>
      </c>
      <c r="G58" s="2" t="s">
        <v>81</v>
      </c>
      <c r="H58" s="2" t="s">
        <v>31</v>
      </c>
      <c r="I58" s="2" t="s">
        <v>81</v>
      </c>
      <c r="J58" s="2" t="s">
        <v>91</v>
      </c>
      <c r="K58" s="2">
        <v>1</v>
      </c>
      <c r="L58" s="2">
        <v>4209</v>
      </c>
      <c r="M58" s="2">
        <v>20</v>
      </c>
      <c r="N58" s="2">
        <v>841.8</v>
      </c>
      <c r="O58" s="2">
        <v>606.1</v>
      </c>
      <c r="P58" s="2">
        <v>108</v>
      </c>
      <c r="Q58" s="2">
        <v>4081.3</v>
      </c>
      <c r="R58" s="2" t="s">
        <v>33</v>
      </c>
      <c r="S58" s="2" t="s">
        <v>34</v>
      </c>
      <c r="T58" s="9" t="s">
        <v>1707</v>
      </c>
      <c r="U58" s="10" t="s">
        <v>1712</v>
      </c>
      <c r="V58" s="2" t="s">
        <v>53</v>
      </c>
      <c r="W58" s="2">
        <v>8</v>
      </c>
      <c r="X58" s="2" t="s">
        <v>36</v>
      </c>
      <c r="Y58" s="2">
        <v>5</v>
      </c>
      <c r="Z58" s="2" t="s">
        <v>82</v>
      </c>
    </row>
    <row r="59" spans="1:26" x14ac:dyDescent="0.35">
      <c r="A59" s="2" t="s">
        <v>188</v>
      </c>
      <c r="B59" s="3">
        <v>45817</v>
      </c>
      <c r="C59" s="2" t="s">
        <v>189</v>
      </c>
      <c r="D59" s="2" t="s">
        <v>62</v>
      </c>
      <c r="E59" s="2" t="s">
        <v>29</v>
      </c>
      <c r="F59" s="2">
        <v>20</v>
      </c>
      <c r="G59" s="2" t="s">
        <v>81</v>
      </c>
      <c r="H59" s="2" t="s">
        <v>31</v>
      </c>
      <c r="I59" s="2" t="s">
        <v>81</v>
      </c>
      <c r="J59" s="2" t="s">
        <v>190</v>
      </c>
      <c r="K59" s="2">
        <v>5</v>
      </c>
      <c r="L59" s="2">
        <v>32244</v>
      </c>
      <c r="M59" s="2">
        <v>5</v>
      </c>
      <c r="N59" s="2">
        <v>8061</v>
      </c>
      <c r="O59" s="2">
        <v>27568.62</v>
      </c>
      <c r="P59" s="2">
        <v>248</v>
      </c>
      <c r="Q59" s="2">
        <v>180975.62</v>
      </c>
      <c r="R59" s="2" t="s">
        <v>33</v>
      </c>
      <c r="S59" s="2" t="s">
        <v>34</v>
      </c>
      <c r="T59" s="9" t="s">
        <v>1704</v>
      </c>
      <c r="U59" s="10" t="s">
        <v>52</v>
      </c>
      <c r="V59" s="2" t="s">
        <v>35</v>
      </c>
      <c r="W59" s="2">
        <v>6</v>
      </c>
      <c r="X59" s="2" t="s">
        <v>36</v>
      </c>
      <c r="Y59" s="2">
        <v>2</v>
      </c>
      <c r="Z59" s="2" t="s">
        <v>54</v>
      </c>
    </row>
    <row r="60" spans="1:26" x14ac:dyDescent="0.35">
      <c r="A60" s="2" t="s">
        <v>191</v>
      </c>
      <c r="B60" s="3">
        <v>46037</v>
      </c>
      <c r="C60" s="2" t="s">
        <v>192</v>
      </c>
      <c r="D60" s="2" t="s">
        <v>40</v>
      </c>
      <c r="E60" s="2" t="s">
        <v>41</v>
      </c>
      <c r="F60" s="2">
        <v>40</v>
      </c>
      <c r="G60" s="2" t="s">
        <v>63</v>
      </c>
      <c r="H60" s="2" t="s">
        <v>64</v>
      </c>
      <c r="I60" s="2" t="s">
        <v>63</v>
      </c>
      <c r="J60" s="2" t="s">
        <v>138</v>
      </c>
      <c r="K60" s="2">
        <v>2</v>
      </c>
      <c r="L60" s="2">
        <v>17758</v>
      </c>
      <c r="M60" s="2">
        <v>10</v>
      </c>
      <c r="N60" s="2">
        <v>3551.6</v>
      </c>
      <c r="O60" s="2">
        <v>5753.59</v>
      </c>
      <c r="P60" s="2">
        <v>218</v>
      </c>
      <c r="Q60" s="2">
        <v>37935.99</v>
      </c>
      <c r="R60" s="2" t="s">
        <v>43</v>
      </c>
      <c r="S60" s="2" t="s">
        <v>59</v>
      </c>
      <c r="T60" s="9" t="s">
        <v>1704</v>
      </c>
      <c r="U60" s="10" t="s">
        <v>52</v>
      </c>
      <c r="V60" s="2" t="s">
        <v>35</v>
      </c>
      <c r="W60" s="2">
        <v>9</v>
      </c>
      <c r="X60" s="2" t="s">
        <v>44</v>
      </c>
      <c r="Y60" s="2">
        <v>4</v>
      </c>
      <c r="Z60" s="2" t="s">
        <v>54</v>
      </c>
    </row>
    <row r="61" spans="1:26" x14ac:dyDescent="0.35">
      <c r="A61" s="2" t="s">
        <v>193</v>
      </c>
      <c r="B61" s="3">
        <v>46032</v>
      </c>
      <c r="C61" s="2" t="s">
        <v>194</v>
      </c>
      <c r="D61" s="2" t="s">
        <v>96</v>
      </c>
      <c r="E61" s="2" t="s">
        <v>41</v>
      </c>
      <c r="F61" s="2">
        <v>26</v>
      </c>
      <c r="G61" s="2" t="s">
        <v>127</v>
      </c>
      <c r="H61" s="2" t="s">
        <v>31</v>
      </c>
      <c r="I61" s="2" t="s">
        <v>127</v>
      </c>
      <c r="J61" s="2" t="s">
        <v>91</v>
      </c>
      <c r="K61" s="2">
        <v>3</v>
      </c>
      <c r="L61" s="2">
        <v>49447</v>
      </c>
      <c r="M61" s="2">
        <v>0</v>
      </c>
      <c r="N61" s="2">
        <v>0</v>
      </c>
      <c r="O61" s="2">
        <v>26701.38</v>
      </c>
      <c r="P61" s="2">
        <v>5</v>
      </c>
      <c r="Q61" s="2">
        <v>175047.38</v>
      </c>
      <c r="R61" s="2" t="s">
        <v>33</v>
      </c>
      <c r="S61" s="2" t="s">
        <v>34</v>
      </c>
      <c r="T61" s="9" t="s">
        <v>1707</v>
      </c>
      <c r="U61" s="10" t="s">
        <v>1712</v>
      </c>
      <c r="V61" s="2" t="s">
        <v>53</v>
      </c>
      <c r="W61" s="2">
        <v>3</v>
      </c>
      <c r="X61" s="2" t="s">
        <v>36</v>
      </c>
      <c r="Y61" s="2">
        <v>1</v>
      </c>
      <c r="Z61" s="2" t="s">
        <v>54</v>
      </c>
    </row>
    <row r="62" spans="1:26" x14ac:dyDescent="0.35">
      <c r="A62" s="2" t="s">
        <v>195</v>
      </c>
      <c r="B62" s="3">
        <v>45997</v>
      </c>
      <c r="C62" s="2" t="s">
        <v>196</v>
      </c>
      <c r="D62" s="2" t="s">
        <v>96</v>
      </c>
      <c r="E62" s="2" t="s">
        <v>29</v>
      </c>
      <c r="F62" s="2">
        <v>55</v>
      </c>
      <c r="G62" s="2" t="s">
        <v>85</v>
      </c>
      <c r="H62" s="2" t="s">
        <v>31</v>
      </c>
      <c r="I62" s="2" t="s">
        <v>85</v>
      </c>
      <c r="J62" s="2" t="s">
        <v>50</v>
      </c>
      <c r="K62" s="2">
        <v>4</v>
      </c>
      <c r="L62" s="2">
        <v>44629</v>
      </c>
      <c r="M62" s="2">
        <v>0</v>
      </c>
      <c r="N62" s="2">
        <v>0</v>
      </c>
      <c r="O62" s="2">
        <v>32132.880000000001</v>
      </c>
      <c r="P62" s="2">
        <v>182</v>
      </c>
      <c r="Q62" s="2">
        <v>210830.88</v>
      </c>
      <c r="R62" s="2" t="s">
        <v>76</v>
      </c>
      <c r="S62" s="2" t="s">
        <v>34</v>
      </c>
      <c r="T62" s="9" t="s">
        <v>1709</v>
      </c>
      <c r="U62" s="10" t="s">
        <v>52</v>
      </c>
      <c r="V62" s="2" t="s">
        <v>53</v>
      </c>
      <c r="W62" s="2">
        <v>6</v>
      </c>
      <c r="X62" s="2" t="s">
        <v>44</v>
      </c>
      <c r="Y62" s="2">
        <v>2</v>
      </c>
      <c r="Z62" s="2" t="s">
        <v>44</v>
      </c>
    </row>
    <row r="63" spans="1:26" x14ac:dyDescent="0.35">
      <c r="A63" s="2" t="s">
        <v>197</v>
      </c>
      <c r="B63" s="3">
        <v>45927</v>
      </c>
      <c r="C63" s="2" t="s">
        <v>198</v>
      </c>
      <c r="D63" s="2" t="s">
        <v>57</v>
      </c>
      <c r="E63" s="2" t="s">
        <v>29</v>
      </c>
      <c r="F63" s="2">
        <v>43</v>
      </c>
      <c r="G63" s="2" t="s">
        <v>122</v>
      </c>
      <c r="H63" s="2" t="s">
        <v>31</v>
      </c>
      <c r="I63" s="2" t="s">
        <v>122</v>
      </c>
      <c r="J63" s="2" t="s">
        <v>65</v>
      </c>
      <c r="K63" s="2">
        <v>2</v>
      </c>
      <c r="L63" s="2">
        <v>35049</v>
      </c>
      <c r="M63" s="2">
        <v>10</v>
      </c>
      <c r="N63" s="2">
        <v>7009.8</v>
      </c>
      <c r="O63" s="2">
        <v>11355.88</v>
      </c>
      <c r="P63" s="2">
        <v>249</v>
      </c>
      <c r="Q63" s="2">
        <v>74693.08</v>
      </c>
      <c r="R63" s="2" t="s">
        <v>33</v>
      </c>
      <c r="S63" s="2" t="s">
        <v>34</v>
      </c>
      <c r="T63" s="9" t="s">
        <v>1703</v>
      </c>
      <c r="U63" s="10" t="s">
        <v>1701</v>
      </c>
      <c r="V63" s="2" t="s">
        <v>35</v>
      </c>
      <c r="W63" s="2">
        <v>1</v>
      </c>
      <c r="X63" s="2" t="s">
        <v>44</v>
      </c>
      <c r="Y63" s="2">
        <v>1</v>
      </c>
      <c r="Z63" s="2" t="s">
        <v>54</v>
      </c>
    </row>
    <row r="64" spans="1:26" x14ac:dyDescent="0.35">
      <c r="A64" s="2" t="s">
        <v>199</v>
      </c>
      <c r="B64" s="3">
        <v>45881</v>
      </c>
      <c r="C64" s="2" t="s">
        <v>200</v>
      </c>
      <c r="D64" s="2" t="s">
        <v>47</v>
      </c>
      <c r="E64" s="2" t="s">
        <v>41</v>
      </c>
      <c r="F64" s="2">
        <v>49</v>
      </c>
      <c r="G64" s="2" t="s">
        <v>42</v>
      </c>
      <c r="H64" s="2" t="s">
        <v>31</v>
      </c>
      <c r="I64" s="2" t="s">
        <v>42</v>
      </c>
      <c r="J64" s="2" t="s">
        <v>32</v>
      </c>
      <c r="K64" s="2">
        <v>4</v>
      </c>
      <c r="L64" s="2">
        <v>15260</v>
      </c>
      <c r="M64" s="2">
        <v>5</v>
      </c>
      <c r="N64" s="2">
        <v>3052</v>
      </c>
      <c r="O64" s="2">
        <v>10437.84</v>
      </c>
      <c r="P64" s="2">
        <v>466</v>
      </c>
      <c r="Q64" s="2">
        <v>68891.839999999997</v>
      </c>
      <c r="R64" s="2" t="s">
        <v>51</v>
      </c>
      <c r="S64" s="2" t="s">
        <v>34</v>
      </c>
      <c r="T64" s="9" t="s">
        <v>1703</v>
      </c>
      <c r="U64" s="10" t="s">
        <v>1701</v>
      </c>
      <c r="V64" s="2" t="s">
        <v>35</v>
      </c>
      <c r="W64" s="2">
        <v>2</v>
      </c>
      <c r="X64" s="2" t="s">
        <v>44</v>
      </c>
      <c r="Y64" s="2">
        <v>2</v>
      </c>
      <c r="Z64" s="2" t="s">
        <v>37</v>
      </c>
    </row>
    <row r="65" spans="1:26" x14ac:dyDescent="0.35">
      <c r="A65" s="2" t="s">
        <v>201</v>
      </c>
      <c r="B65" s="3">
        <v>46094</v>
      </c>
      <c r="C65" s="2" t="s">
        <v>202</v>
      </c>
      <c r="D65" s="2" t="s">
        <v>73</v>
      </c>
      <c r="E65" s="2" t="s">
        <v>29</v>
      </c>
      <c r="F65" s="2">
        <v>24</v>
      </c>
      <c r="G65" s="2" t="s">
        <v>127</v>
      </c>
      <c r="H65" s="2" t="s">
        <v>31</v>
      </c>
      <c r="I65" s="2" t="s">
        <v>127</v>
      </c>
      <c r="J65" s="2" t="s">
        <v>113</v>
      </c>
      <c r="K65" s="2">
        <v>4</v>
      </c>
      <c r="L65" s="2">
        <v>45316</v>
      </c>
      <c r="M65" s="2">
        <v>15</v>
      </c>
      <c r="N65" s="2">
        <v>27189.599999999999</v>
      </c>
      <c r="O65" s="2">
        <v>27733.39</v>
      </c>
      <c r="P65" s="2">
        <v>203</v>
      </c>
      <c r="Q65" s="2">
        <v>182010.79</v>
      </c>
      <c r="R65" s="2" t="s">
        <v>33</v>
      </c>
      <c r="S65" s="2" t="s">
        <v>34</v>
      </c>
      <c r="T65" s="9" t="s">
        <v>1709</v>
      </c>
      <c r="U65" s="10" t="s">
        <v>52</v>
      </c>
      <c r="V65" s="2" t="s">
        <v>53</v>
      </c>
      <c r="W65" s="2">
        <v>5</v>
      </c>
      <c r="X65" s="2" t="s">
        <v>36</v>
      </c>
      <c r="Y65" s="2">
        <v>4</v>
      </c>
      <c r="Z65" s="2" t="s">
        <v>37</v>
      </c>
    </row>
    <row r="66" spans="1:26" x14ac:dyDescent="0.35">
      <c r="A66" s="2" t="s">
        <v>203</v>
      </c>
      <c r="B66" s="3">
        <v>45801</v>
      </c>
      <c r="C66" s="2" t="s">
        <v>204</v>
      </c>
      <c r="D66" s="2" t="s">
        <v>68</v>
      </c>
      <c r="E66" s="2" t="s">
        <v>41</v>
      </c>
      <c r="F66" s="2">
        <v>34</v>
      </c>
      <c r="G66" s="2" t="s">
        <v>69</v>
      </c>
      <c r="H66" s="2" t="s">
        <v>31</v>
      </c>
      <c r="I66" s="2" t="s">
        <v>69</v>
      </c>
      <c r="J66" s="2" t="s">
        <v>70</v>
      </c>
      <c r="K66" s="2">
        <v>3</v>
      </c>
      <c r="L66" s="2">
        <v>1028</v>
      </c>
      <c r="M66" s="2">
        <v>5</v>
      </c>
      <c r="N66" s="2">
        <v>154.19999999999999</v>
      </c>
      <c r="O66" s="2">
        <v>527.36</v>
      </c>
      <c r="P66" s="2">
        <v>194</v>
      </c>
      <c r="Q66" s="2">
        <v>3651.16</v>
      </c>
      <c r="R66" s="2" t="s">
        <v>76</v>
      </c>
      <c r="S66" s="2" t="s">
        <v>59</v>
      </c>
      <c r="T66" s="9" t="s">
        <v>1704</v>
      </c>
      <c r="U66" s="10" t="s">
        <v>52</v>
      </c>
      <c r="V66" s="2" t="s">
        <v>35</v>
      </c>
      <c r="W66" s="2">
        <v>2</v>
      </c>
      <c r="X66" s="2" t="s">
        <v>44</v>
      </c>
      <c r="Y66" s="2">
        <v>2</v>
      </c>
      <c r="Z66" s="2" t="s">
        <v>54</v>
      </c>
    </row>
    <row r="67" spans="1:26" x14ac:dyDescent="0.35">
      <c r="A67" s="2" t="s">
        <v>205</v>
      </c>
      <c r="B67" s="3">
        <v>45886</v>
      </c>
      <c r="C67" s="2" t="s">
        <v>206</v>
      </c>
      <c r="D67" s="2" t="s">
        <v>40</v>
      </c>
      <c r="E67" s="2" t="s">
        <v>41</v>
      </c>
      <c r="F67" s="2">
        <v>56</v>
      </c>
      <c r="G67" s="2" t="s">
        <v>42</v>
      </c>
      <c r="H67" s="2" t="s">
        <v>31</v>
      </c>
      <c r="I67" s="2" t="s">
        <v>42</v>
      </c>
      <c r="J67" s="2" t="s">
        <v>70</v>
      </c>
      <c r="K67" s="2">
        <v>1</v>
      </c>
      <c r="L67" s="2">
        <v>32156</v>
      </c>
      <c r="M67" s="2">
        <v>10</v>
      </c>
      <c r="N67" s="2">
        <v>3215.6</v>
      </c>
      <c r="O67" s="2">
        <v>5209.2700000000004</v>
      </c>
      <c r="P67" s="2">
        <v>312</v>
      </c>
      <c r="Q67" s="2">
        <v>34461.67</v>
      </c>
      <c r="R67" s="2" t="s">
        <v>43</v>
      </c>
      <c r="S67" s="2" t="s">
        <v>34</v>
      </c>
      <c r="T67" s="9" t="s">
        <v>1709</v>
      </c>
      <c r="U67" s="10" t="s">
        <v>52</v>
      </c>
      <c r="V67" s="2" t="s">
        <v>53</v>
      </c>
      <c r="W67" s="2">
        <v>9</v>
      </c>
      <c r="X67" s="2" t="s">
        <v>36</v>
      </c>
      <c r="Y67" s="2">
        <v>4</v>
      </c>
      <c r="Z67" s="2" t="s">
        <v>44</v>
      </c>
    </row>
    <row r="68" spans="1:26" x14ac:dyDescent="0.35">
      <c r="A68" s="2" t="s">
        <v>207</v>
      </c>
      <c r="B68" s="3">
        <v>46019</v>
      </c>
      <c r="C68" s="2" t="s">
        <v>208</v>
      </c>
      <c r="D68" s="2" t="s">
        <v>73</v>
      </c>
      <c r="E68" s="2" t="s">
        <v>41</v>
      </c>
      <c r="F68" s="2">
        <v>23</v>
      </c>
      <c r="G68" s="2" t="s">
        <v>127</v>
      </c>
      <c r="H68" s="2" t="s">
        <v>31</v>
      </c>
      <c r="I68" s="2" t="s">
        <v>127</v>
      </c>
      <c r="J68" s="2" t="s">
        <v>32</v>
      </c>
      <c r="K68" s="2">
        <v>1</v>
      </c>
      <c r="L68" s="2">
        <v>33064</v>
      </c>
      <c r="M68" s="2">
        <v>0</v>
      </c>
      <c r="N68" s="2">
        <v>0</v>
      </c>
      <c r="O68" s="2">
        <v>5951.52</v>
      </c>
      <c r="P68" s="2">
        <v>426</v>
      </c>
      <c r="Q68" s="2">
        <v>39441.519999999997</v>
      </c>
      <c r="R68" s="2" t="s">
        <v>33</v>
      </c>
      <c r="S68" s="2" t="s">
        <v>34</v>
      </c>
      <c r="T68" s="9" t="s">
        <v>1705</v>
      </c>
      <c r="U68" s="10" t="s">
        <v>1702</v>
      </c>
      <c r="V68" s="2" t="s">
        <v>53</v>
      </c>
      <c r="W68" s="2">
        <v>9</v>
      </c>
      <c r="X68" s="2" t="s">
        <v>36</v>
      </c>
      <c r="Y68" s="2">
        <v>4</v>
      </c>
      <c r="Z68" s="2" t="s">
        <v>54</v>
      </c>
    </row>
    <row r="69" spans="1:26" x14ac:dyDescent="0.35">
      <c r="A69" s="2" t="s">
        <v>209</v>
      </c>
      <c r="B69" s="3">
        <v>45918</v>
      </c>
      <c r="C69" s="2" t="s">
        <v>210</v>
      </c>
      <c r="D69" s="2" t="s">
        <v>73</v>
      </c>
      <c r="E69" s="2" t="s">
        <v>29</v>
      </c>
      <c r="F69" s="2">
        <v>36</v>
      </c>
      <c r="G69" s="2" t="s">
        <v>48</v>
      </c>
      <c r="H69" s="2" t="s">
        <v>49</v>
      </c>
      <c r="I69" s="2" t="s">
        <v>48</v>
      </c>
      <c r="J69" s="2" t="s">
        <v>58</v>
      </c>
      <c r="K69" s="2">
        <v>1</v>
      </c>
      <c r="L69" s="2">
        <v>1059</v>
      </c>
      <c r="M69" s="2">
        <v>0</v>
      </c>
      <c r="N69" s="2">
        <v>0</v>
      </c>
      <c r="O69" s="2">
        <v>190.62</v>
      </c>
      <c r="P69" s="2">
        <v>48</v>
      </c>
      <c r="Q69" s="2">
        <v>1297.6199999999999</v>
      </c>
      <c r="R69" s="2" t="s">
        <v>51</v>
      </c>
      <c r="S69" s="2" t="s">
        <v>59</v>
      </c>
      <c r="T69" s="9" t="s">
        <v>1709</v>
      </c>
      <c r="U69" s="10" t="s">
        <v>52</v>
      </c>
      <c r="V69" s="2" t="s">
        <v>53</v>
      </c>
      <c r="W69" s="2">
        <v>5</v>
      </c>
      <c r="X69" s="2" t="s">
        <v>36</v>
      </c>
      <c r="Y69" s="2">
        <v>2</v>
      </c>
      <c r="Z69" s="2" t="s">
        <v>44</v>
      </c>
    </row>
    <row r="70" spans="1:26" x14ac:dyDescent="0.35">
      <c r="A70" s="2" t="s">
        <v>211</v>
      </c>
      <c r="B70" s="3">
        <v>45909</v>
      </c>
      <c r="C70" s="2" t="s">
        <v>212</v>
      </c>
      <c r="D70" s="2" t="s">
        <v>47</v>
      </c>
      <c r="E70" s="2" t="s">
        <v>29</v>
      </c>
      <c r="F70" s="2">
        <v>30</v>
      </c>
      <c r="G70" s="2" t="s">
        <v>88</v>
      </c>
      <c r="H70" s="2" t="s">
        <v>49</v>
      </c>
      <c r="I70" s="2" t="s">
        <v>88</v>
      </c>
      <c r="J70" s="2" t="s">
        <v>113</v>
      </c>
      <c r="K70" s="2">
        <v>4</v>
      </c>
      <c r="L70" s="2">
        <v>7089</v>
      </c>
      <c r="M70" s="2">
        <v>20</v>
      </c>
      <c r="N70" s="2">
        <v>5671.2</v>
      </c>
      <c r="O70" s="2">
        <v>4083.26</v>
      </c>
      <c r="P70" s="2">
        <v>403</v>
      </c>
      <c r="Q70" s="2">
        <v>27171.06</v>
      </c>
      <c r="R70" s="2" t="s">
        <v>33</v>
      </c>
      <c r="S70" s="2" t="s">
        <v>59</v>
      </c>
      <c r="T70" s="9" t="s">
        <v>1710</v>
      </c>
      <c r="U70" s="10" t="s">
        <v>1711</v>
      </c>
      <c r="V70" s="2" t="s">
        <v>53</v>
      </c>
      <c r="W70" s="2">
        <v>9</v>
      </c>
      <c r="X70" s="2" t="s">
        <v>44</v>
      </c>
      <c r="Y70" s="2">
        <v>2</v>
      </c>
      <c r="Z70" s="2" t="s">
        <v>37</v>
      </c>
    </row>
    <row r="71" spans="1:26" x14ac:dyDescent="0.35">
      <c r="A71" s="2" t="s">
        <v>213</v>
      </c>
      <c r="B71" s="3">
        <v>45905</v>
      </c>
      <c r="C71" s="2" t="s">
        <v>214</v>
      </c>
      <c r="D71" s="2" t="s">
        <v>62</v>
      </c>
      <c r="E71" s="2" t="s">
        <v>29</v>
      </c>
      <c r="F71" s="2">
        <v>55</v>
      </c>
      <c r="G71" s="2" t="s">
        <v>122</v>
      </c>
      <c r="H71" s="2" t="s">
        <v>31</v>
      </c>
      <c r="I71" s="2" t="s">
        <v>122</v>
      </c>
      <c r="J71" s="2" t="s">
        <v>190</v>
      </c>
      <c r="K71" s="2">
        <v>4</v>
      </c>
      <c r="L71" s="2">
        <v>11996</v>
      </c>
      <c r="M71" s="2">
        <v>5</v>
      </c>
      <c r="N71" s="2">
        <v>2399.1999999999998</v>
      </c>
      <c r="O71" s="2">
        <v>8205.26</v>
      </c>
      <c r="P71" s="2">
        <v>466</v>
      </c>
      <c r="Q71" s="2">
        <v>54256.06</v>
      </c>
      <c r="R71" s="2" t="s">
        <v>43</v>
      </c>
      <c r="S71" s="2" t="s">
        <v>34</v>
      </c>
      <c r="T71" s="9" t="s">
        <v>1705</v>
      </c>
      <c r="U71" s="10" t="s">
        <v>1702</v>
      </c>
      <c r="V71" s="2" t="s">
        <v>53</v>
      </c>
      <c r="W71" s="2">
        <v>4</v>
      </c>
      <c r="X71" s="2" t="s">
        <v>44</v>
      </c>
      <c r="Y71" s="2">
        <v>4</v>
      </c>
      <c r="Z71" s="2" t="s">
        <v>44</v>
      </c>
    </row>
    <row r="72" spans="1:26" x14ac:dyDescent="0.35">
      <c r="A72" s="2" t="s">
        <v>215</v>
      </c>
      <c r="B72" s="3">
        <v>45846</v>
      </c>
      <c r="C72" s="2" t="s">
        <v>216</v>
      </c>
      <c r="D72" s="2" t="s">
        <v>80</v>
      </c>
      <c r="E72" s="2" t="s">
        <v>41</v>
      </c>
      <c r="F72" s="2">
        <v>19</v>
      </c>
      <c r="G72" s="2" t="s">
        <v>48</v>
      </c>
      <c r="H72" s="2" t="s">
        <v>49</v>
      </c>
      <c r="I72" s="2" t="s">
        <v>48</v>
      </c>
      <c r="J72" s="2" t="s">
        <v>58</v>
      </c>
      <c r="K72" s="2">
        <v>1</v>
      </c>
      <c r="L72" s="2">
        <v>15786</v>
      </c>
      <c r="M72" s="2">
        <v>20</v>
      </c>
      <c r="N72" s="2">
        <v>3157.2</v>
      </c>
      <c r="O72" s="2">
        <v>2273.1799999999998</v>
      </c>
      <c r="P72" s="2">
        <v>268</v>
      </c>
      <c r="Q72" s="2">
        <v>15169.98</v>
      </c>
      <c r="R72" s="2" t="s">
        <v>43</v>
      </c>
      <c r="S72" s="2" t="s">
        <v>34</v>
      </c>
      <c r="T72" s="9" t="s">
        <v>1706</v>
      </c>
      <c r="U72" s="10" t="s">
        <v>52</v>
      </c>
      <c r="V72" s="2" t="s">
        <v>53</v>
      </c>
      <c r="W72" s="2">
        <v>10</v>
      </c>
      <c r="X72" s="2" t="s">
        <v>36</v>
      </c>
      <c r="Y72" s="2">
        <v>5</v>
      </c>
      <c r="Z72" s="2" t="s">
        <v>37</v>
      </c>
    </row>
    <row r="73" spans="1:26" x14ac:dyDescent="0.35">
      <c r="A73" s="2" t="s">
        <v>217</v>
      </c>
      <c r="B73" s="3">
        <v>46061</v>
      </c>
      <c r="C73" s="2" t="s">
        <v>218</v>
      </c>
      <c r="D73" s="2" t="s">
        <v>68</v>
      </c>
      <c r="E73" s="2" t="s">
        <v>41</v>
      </c>
      <c r="F73" s="2">
        <v>26</v>
      </c>
      <c r="G73" s="2" t="s">
        <v>63</v>
      </c>
      <c r="H73" s="2" t="s">
        <v>64</v>
      </c>
      <c r="I73" s="2" t="s">
        <v>63</v>
      </c>
      <c r="J73" s="2" t="s">
        <v>65</v>
      </c>
      <c r="K73" s="2">
        <v>1</v>
      </c>
      <c r="L73" s="2">
        <v>16943</v>
      </c>
      <c r="M73" s="2">
        <v>15</v>
      </c>
      <c r="N73" s="2">
        <v>2541.4499999999998</v>
      </c>
      <c r="O73" s="2">
        <v>2592.2800000000002</v>
      </c>
      <c r="P73" s="2">
        <v>242</v>
      </c>
      <c r="Q73" s="2">
        <v>17235.830000000002</v>
      </c>
      <c r="R73" s="2" t="s">
        <v>76</v>
      </c>
      <c r="S73" s="2" t="s">
        <v>34</v>
      </c>
      <c r="T73" s="9" t="s">
        <v>1708</v>
      </c>
      <c r="U73" s="10" t="s">
        <v>52</v>
      </c>
      <c r="V73" s="2" t="s">
        <v>77</v>
      </c>
      <c r="W73" s="2">
        <v>5</v>
      </c>
      <c r="X73" s="2" t="s">
        <v>36</v>
      </c>
      <c r="Y73" s="2">
        <v>2</v>
      </c>
      <c r="Z73" s="2" t="s">
        <v>37</v>
      </c>
    </row>
    <row r="74" spans="1:26" x14ac:dyDescent="0.35">
      <c r="A74" s="2" t="s">
        <v>219</v>
      </c>
      <c r="B74" s="3">
        <v>45975</v>
      </c>
      <c r="C74" s="2" t="s">
        <v>220</v>
      </c>
      <c r="D74" s="2" t="s">
        <v>47</v>
      </c>
      <c r="E74" s="2" t="s">
        <v>29</v>
      </c>
      <c r="F74" s="2">
        <v>31</v>
      </c>
      <c r="G74" s="2" t="s">
        <v>48</v>
      </c>
      <c r="H74" s="2" t="s">
        <v>49</v>
      </c>
      <c r="I74" s="2" t="s">
        <v>48</v>
      </c>
      <c r="J74" s="2" t="s">
        <v>113</v>
      </c>
      <c r="K74" s="2">
        <v>3</v>
      </c>
      <c r="L74" s="2">
        <v>810</v>
      </c>
      <c r="M74" s="2">
        <v>10</v>
      </c>
      <c r="N74" s="2">
        <v>243</v>
      </c>
      <c r="O74" s="2">
        <v>393.66</v>
      </c>
      <c r="P74" s="2">
        <v>202</v>
      </c>
      <c r="Q74" s="2">
        <v>2782.66</v>
      </c>
      <c r="R74" s="2" t="s">
        <v>43</v>
      </c>
      <c r="S74" s="2" t="s">
        <v>34</v>
      </c>
      <c r="T74" s="9" t="s">
        <v>1703</v>
      </c>
      <c r="U74" s="10" t="s">
        <v>1701</v>
      </c>
      <c r="V74" s="2" t="s">
        <v>35</v>
      </c>
      <c r="W74" s="2">
        <v>6</v>
      </c>
      <c r="X74" s="2" t="s">
        <v>36</v>
      </c>
      <c r="Y74" s="2">
        <v>5</v>
      </c>
      <c r="Z74" s="2" t="s">
        <v>54</v>
      </c>
    </row>
    <row r="75" spans="1:26" x14ac:dyDescent="0.35">
      <c r="A75" s="2" t="s">
        <v>221</v>
      </c>
      <c r="B75" s="3">
        <v>45953</v>
      </c>
      <c r="C75" s="2" t="s">
        <v>222</v>
      </c>
      <c r="D75" s="2" t="s">
        <v>28</v>
      </c>
      <c r="E75" s="2" t="s">
        <v>41</v>
      </c>
      <c r="F75" s="2">
        <v>26</v>
      </c>
      <c r="G75" s="2" t="s">
        <v>81</v>
      </c>
      <c r="H75" s="2" t="s">
        <v>31</v>
      </c>
      <c r="I75" s="2" t="s">
        <v>81</v>
      </c>
      <c r="J75" s="2" t="s">
        <v>58</v>
      </c>
      <c r="K75" s="2">
        <v>3</v>
      </c>
      <c r="L75" s="2">
        <v>22771</v>
      </c>
      <c r="M75" s="2">
        <v>15</v>
      </c>
      <c r="N75" s="2">
        <v>10246.950000000001</v>
      </c>
      <c r="O75" s="2">
        <v>10451.89</v>
      </c>
      <c r="P75" s="2">
        <v>196</v>
      </c>
      <c r="Q75" s="2">
        <v>68713.94</v>
      </c>
      <c r="R75" s="2" t="s">
        <v>76</v>
      </c>
      <c r="S75" s="2" t="s">
        <v>34</v>
      </c>
      <c r="T75" s="9" t="s">
        <v>1703</v>
      </c>
      <c r="U75" s="10" t="s">
        <v>1701</v>
      </c>
      <c r="V75" s="2" t="s">
        <v>35</v>
      </c>
      <c r="W75" s="2">
        <v>1</v>
      </c>
      <c r="X75" s="2" t="s">
        <v>44</v>
      </c>
      <c r="Y75" s="2">
        <v>2</v>
      </c>
      <c r="Z75" s="2" t="s">
        <v>44</v>
      </c>
    </row>
    <row r="76" spans="1:26" x14ac:dyDescent="0.35">
      <c r="A76" s="2" t="s">
        <v>223</v>
      </c>
      <c r="B76" s="3">
        <v>46034</v>
      </c>
      <c r="C76" s="2" t="s">
        <v>224</v>
      </c>
      <c r="D76" s="2" t="s">
        <v>62</v>
      </c>
      <c r="E76" s="2" t="s">
        <v>41</v>
      </c>
      <c r="F76" s="2">
        <v>27</v>
      </c>
      <c r="G76" s="2" t="s">
        <v>127</v>
      </c>
      <c r="H76" s="2" t="s">
        <v>31</v>
      </c>
      <c r="I76" s="2" t="s">
        <v>127</v>
      </c>
      <c r="J76" s="2" t="s">
        <v>70</v>
      </c>
      <c r="K76" s="2">
        <v>1</v>
      </c>
      <c r="L76" s="2">
        <v>49814</v>
      </c>
      <c r="M76" s="2">
        <v>15</v>
      </c>
      <c r="N76" s="2">
        <v>7472.1</v>
      </c>
      <c r="O76" s="2">
        <v>7621.54</v>
      </c>
      <c r="P76" s="2">
        <v>331</v>
      </c>
      <c r="Q76" s="2">
        <v>50294.44</v>
      </c>
      <c r="R76" s="2" t="s">
        <v>43</v>
      </c>
      <c r="S76" s="2" t="s">
        <v>59</v>
      </c>
      <c r="T76" s="9" t="s">
        <v>1710</v>
      </c>
      <c r="U76" s="10" t="s">
        <v>1711</v>
      </c>
      <c r="V76" s="2" t="s">
        <v>53</v>
      </c>
      <c r="W76" s="2">
        <v>10</v>
      </c>
      <c r="X76" s="2" t="s">
        <v>44</v>
      </c>
      <c r="Y76" s="2">
        <v>4</v>
      </c>
      <c r="Z76" s="2" t="s">
        <v>44</v>
      </c>
    </row>
    <row r="77" spans="1:26" x14ac:dyDescent="0.35">
      <c r="A77" s="2" t="s">
        <v>225</v>
      </c>
      <c r="B77" s="3">
        <v>45873</v>
      </c>
      <c r="C77" s="2" t="s">
        <v>226</v>
      </c>
      <c r="D77" s="2" t="s">
        <v>28</v>
      </c>
      <c r="E77" s="2" t="s">
        <v>29</v>
      </c>
      <c r="F77" s="2">
        <v>24</v>
      </c>
      <c r="G77" s="2" t="s">
        <v>48</v>
      </c>
      <c r="H77" s="2" t="s">
        <v>49</v>
      </c>
      <c r="I77" s="2" t="s">
        <v>48</v>
      </c>
      <c r="J77" s="2" t="s">
        <v>70</v>
      </c>
      <c r="K77" s="2">
        <v>2</v>
      </c>
      <c r="L77" s="2">
        <v>17710</v>
      </c>
      <c r="M77" s="2">
        <v>20</v>
      </c>
      <c r="N77" s="2">
        <v>7084</v>
      </c>
      <c r="O77" s="2">
        <v>5100.4799999999996</v>
      </c>
      <c r="P77" s="2">
        <v>267</v>
      </c>
      <c r="Q77" s="2">
        <v>33703.480000000003</v>
      </c>
      <c r="R77" s="2" t="s">
        <v>33</v>
      </c>
      <c r="S77" s="2" t="s">
        <v>34</v>
      </c>
      <c r="T77" s="9" t="s">
        <v>1704</v>
      </c>
      <c r="U77" s="10" t="s">
        <v>52</v>
      </c>
      <c r="V77" s="2" t="s">
        <v>35</v>
      </c>
      <c r="W77" s="2">
        <v>1</v>
      </c>
      <c r="X77" s="2" t="s">
        <v>36</v>
      </c>
      <c r="Y77" s="2">
        <v>1</v>
      </c>
      <c r="Z77" s="2" t="s">
        <v>54</v>
      </c>
    </row>
    <row r="78" spans="1:26" x14ac:dyDescent="0.35">
      <c r="A78" s="2" t="s">
        <v>227</v>
      </c>
      <c r="B78" s="3">
        <v>45943</v>
      </c>
      <c r="C78" s="2" t="s">
        <v>228</v>
      </c>
      <c r="D78" s="2" t="s">
        <v>96</v>
      </c>
      <c r="E78" s="2" t="s">
        <v>29</v>
      </c>
      <c r="F78" s="2">
        <v>45</v>
      </c>
      <c r="G78" s="2" t="s">
        <v>42</v>
      </c>
      <c r="H78" s="2" t="s">
        <v>31</v>
      </c>
      <c r="I78" s="2" t="s">
        <v>42</v>
      </c>
      <c r="J78" s="2" t="s">
        <v>65</v>
      </c>
      <c r="K78" s="2">
        <v>5</v>
      </c>
      <c r="L78" s="2">
        <v>24572</v>
      </c>
      <c r="M78" s="2">
        <v>10</v>
      </c>
      <c r="N78" s="2">
        <v>12286</v>
      </c>
      <c r="O78" s="2">
        <v>19903.32</v>
      </c>
      <c r="P78" s="2">
        <v>152</v>
      </c>
      <c r="Q78" s="2">
        <v>130629.32</v>
      </c>
      <c r="R78" s="2" t="s">
        <v>76</v>
      </c>
      <c r="S78" s="2" t="s">
        <v>34</v>
      </c>
      <c r="T78" s="9" t="s">
        <v>1709</v>
      </c>
      <c r="U78" s="10" t="s">
        <v>52</v>
      </c>
      <c r="V78" s="2" t="s">
        <v>53</v>
      </c>
      <c r="W78" s="2">
        <v>5</v>
      </c>
      <c r="X78" s="2" t="s">
        <v>44</v>
      </c>
      <c r="Y78" s="2">
        <v>5</v>
      </c>
      <c r="Z78" s="2" t="s">
        <v>82</v>
      </c>
    </row>
    <row r="79" spans="1:26" x14ac:dyDescent="0.35">
      <c r="A79" s="2" t="s">
        <v>229</v>
      </c>
      <c r="B79" s="3">
        <v>45879</v>
      </c>
      <c r="C79" s="2" t="s">
        <v>230</v>
      </c>
      <c r="D79" s="2" t="s">
        <v>62</v>
      </c>
      <c r="E79" s="2" t="s">
        <v>29</v>
      </c>
      <c r="F79" s="2">
        <v>47</v>
      </c>
      <c r="G79" s="2" t="s">
        <v>42</v>
      </c>
      <c r="H79" s="2" t="s">
        <v>31</v>
      </c>
      <c r="I79" s="2" t="s">
        <v>42</v>
      </c>
      <c r="J79" s="2" t="s">
        <v>58</v>
      </c>
      <c r="K79" s="2">
        <v>3</v>
      </c>
      <c r="L79" s="2">
        <v>49144</v>
      </c>
      <c r="M79" s="2">
        <v>15</v>
      </c>
      <c r="N79" s="2">
        <v>22114.799999999999</v>
      </c>
      <c r="O79" s="2">
        <v>22557.1</v>
      </c>
      <c r="P79" s="2">
        <v>324</v>
      </c>
      <c r="Q79" s="2">
        <v>148198.29999999999</v>
      </c>
      <c r="R79" s="2" t="s">
        <v>43</v>
      </c>
      <c r="S79" s="2" t="s">
        <v>34</v>
      </c>
      <c r="T79" s="9" t="s">
        <v>1710</v>
      </c>
      <c r="U79" s="10" t="s">
        <v>1711</v>
      </c>
      <c r="V79" s="2" t="s">
        <v>53</v>
      </c>
      <c r="W79" s="2">
        <v>2</v>
      </c>
      <c r="X79" s="2" t="s">
        <v>44</v>
      </c>
      <c r="Y79" s="2">
        <v>4</v>
      </c>
      <c r="Z79" s="2" t="s">
        <v>54</v>
      </c>
    </row>
    <row r="80" spans="1:26" x14ac:dyDescent="0.35">
      <c r="A80" s="2" t="s">
        <v>231</v>
      </c>
      <c r="B80" s="3">
        <v>45847</v>
      </c>
      <c r="C80" s="2" t="s">
        <v>232</v>
      </c>
      <c r="D80" s="2" t="s">
        <v>68</v>
      </c>
      <c r="E80" s="2" t="s">
        <v>29</v>
      </c>
      <c r="F80" s="2">
        <v>56</v>
      </c>
      <c r="G80" s="2" t="s">
        <v>69</v>
      </c>
      <c r="H80" s="2" t="s">
        <v>31</v>
      </c>
      <c r="I80" s="2" t="s">
        <v>69</v>
      </c>
      <c r="J80" s="2" t="s">
        <v>65</v>
      </c>
      <c r="K80" s="2">
        <v>3</v>
      </c>
      <c r="L80" s="2">
        <v>38503</v>
      </c>
      <c r="M80" s="2">
        <v>15</v>
      </c>
      <c r="N80" s="2">
        <v>17326.349999999999</v>
      </c>
      <c r="O80" s="2">
        <v>17672.88</v>
      </c>
      <c r="P80" s="2">
        <v>380</v>
      </c>
      <c r="Q80" s="2">
        <v>116235.53</v>
      </c>
      <c r="R80" s="2" t="s">
        <v>33</v>
      </c>
      <c r="S80" s="2" t="s">
        <v>59</v>
      </c>
      <c r="T80" s="9" t="s">
        <v>1707</v>
      </c>
      <c r="U80" s="10" t="s">
        <v>1712</v>
      </c>
      <c r="V80" s="2" t="s">
        <v>53</v>
      </c>
      <c r="W80" s="2">
        <v>7</v>
      </c>
      <c r="X80" s="2" t="s">
        <v>36</v>
      </c>
      <c r="Y80" s="2">
        <v>5</v>
      </c>
      <c r="Z80" s="2" t="s">
        <v>44</v>
      </c>
    </row>
    <row r="81" spans="1:26" x14ac:dyDescent="0.35">
      <c r="A81" s="2" t="s">
        <v>233</v>
      </c>
      <c r="B81" s="3">
        <v>45804</v>
      </c>
      <c r="C81" s="2" t="s">
        <v>234</v>
      </c>
      <c r="D81" s="2" t="s">
        <v>68</v>
      </c>
      <c r="E81" s="2" t="s">
        <v>29</v>
      </c>
      <c r="F81" s="2">
        <v>28</v>
      </c>
      <c r="G81" s="2" t="s">
        <v>81</v>
      </c>
      <c r="H81" s="2" t="s">
        <v>31</v>
      </c>
      <c r="I81" s="2" t="s">
        <v>81</v>
      </c>
      <c r="J81" s="2" t="s">
        <v>113</v>
      </c>
      <c r="K81" s="2">
        <v>5</v>
      </c>
      <c r="L81" s="2">
        <v>39230</v>
      </c>
      <c r="M81" s="2">
        <v>20</v>
      </c>
      <c r="N81" s="2">
        <v>39230</v>
      </c>
      <c r="O81" s="2">
        <v>28245.599999999999</v>
      </c>
      <c r="P81" s="2">
        <v>225</v>
      </c>
      <c r="Q81" s="2">
        <v>185390.6</v>
      </c>
      <c r="R81" s="2" t="s">
        <v>76</v>
      </c>
      <c r="S81" s="2" t="s">
        <v>34</v>
      </c>
      <c r="T81" s="9" t="s">
        <v>1705</v>
      </c>
      <c r="U81" s="10" t="s">
        <v>1702</v>
      </c>
      <c r="V81" s="2" t="s">
        <v>53</v>
      </c>
      <c r="W81" s="2">
        <v>4</v>
      </c>
      <c r="X81" s="2" t="s">
        <v>44</v>
      </c>
      <c r="Y81" s="2">
        <v>2</v>
      </c>
      <c r="Z81" s="2" t="s">
        <v>82</v>
      </c>
    </row>
    <row r="82" spans="1:26" x14ac:dyDescent="0.35">
      <c r="A82" s="2" t="s">
        <v>235</v>
      </c>
      <c r="B82" s="3">
        <v>45965</v>
      </c>
      <c r="C82" s="2" t="s">
        <v>236</v>
      </c>
      <c r="D82" s="2" t="s">
        <v>57</v>
      </c>
      <c r="E82" s="2" t="s">
        <v>29</v>
      </c>
      <c r="F82" s="2">
        <v>43</v>
      </c>
      <c r="G82" s="2" t="s">
        <v>88</v>
      </c>
      <c r="H82" s="2" t="s">
        <v>49</v>
      </c>
      <c r="I82" s="2" t="s">
        <v>88</v>
      </c>
      <c r="J82" s="2" t="s">
        <v>58</v>
      </c>
      <c r="K82" s="2">
        <v>5</v>
      </c>
      <c r="L82" s="2">
        <v>2002</v>
      </c>
      <c r="M82" s="2">
        <v>5</v>
      </c>
      <c r="N82" s="2">
        <v>500.5</v>
      </c>
      <c r="O82" s="2">
        <v>1711.71</v>
      </c>
      <c r="P82" s="2">
        <v>358</v>
      </c>
      <c r="Q82" s="2">
        <v>11579.21</v>
      </c>
      <c r="R82" s="2" t="s">
        <v>51</v>
      </c>
      <c r="S82" s="2" t="s">
        <v>34</v>
      </c>
      <c r="T82" s="9" t="s">
        <v>1703</v>
      </c>
      <c r="U82" s="10" t="s">
        <v>1701</v>
      </c>
      <c r="V82" s="2" t="s">
        <v>35</v>
      </c>
      <c r="W82" s="2">
        <v>3</v>
      </c>
      <c r="X82" s="2" t="s">
        <v>36</v>
      </c>
      <c r="Y82" s="2">
        <v>4</v>
      </c>
      <c r="Z82" s="2" t="s">
        <v>54</v>
      </c>
    </row>
    <row r="83" spans="1:26" x14ac:dyDescent="0.35">
      <c r="A83" s="2" t="s">
        <v>237</v>
      </c>
      <c r="B83" s="3">
        <v>45886</v>
      </c>
      <c r="C83" s="2" t="s">
        <v>238</v>
      </c>
      <c r="D83" s="2" t="s">
        <v>99</v>
      </c>
      <c r="E83" s="2" t="s">
        <v>41</v>
      </c>
      <c r="F83" s="2">
        <v>19</v>
      </c>
      <c r="G83" s="2" t="s">
        <v>42</v>
      </c>
      <c r="H83" s="2" t="s">
        <v>31</v>
      </c>
      <c r="I83" s="2" t="s">
        <v>42</v>
      </c>
      <c r="J83" s="2" t="s">
        <v>190</v>
      </c>
      <c r="K83" s="2">
        <v>2</v>
      </c>
      <c r="L83" s="2">
        <v>44220</v>
      </c>
      <c r="M83" s="2">
        <v>15</v>
      </c>
      <c r="N83" s="2">
        <v>13266</v>
      </c>
      <c r="O83" s="2">
        <v>13531.32</v>
      </c>
      <c r="P83" s="2">
        <v>258</v>
      </c>
      <c r="Q83" s="2">
        <v>88963.32</v>
      </c>
      <c r="R83" s="2" t="s">
        <v>51</v>
      </c>
      <c r="S83" s="2" t="s">
        <v>59</v>
      </c>
      <c r="T83" s="9" t="s">
        <v>1704</v>
      </c>
      <c r="U83" s="10" t="s">
        <v>52</v>
      </c>
      <c r="V83" s="2" t="s">
        <v>35</v>
      </c>
      <c r="W83" s="2">
        <v>7</v>
      </c>
      <c r="X83" s="2" t="s">
        <v>44</v>
      </c>
      <c r="Y83" s="2">
        <v>2</v>
      </c>
      <c r="Z83" s="2" t="s">
        <v>44</v>
      </c>
    </row>
    <row r="84" spans="1:26" x14ac:dyDescent="0.35">
      <c r="A84" s="2" t="s">
        <v>239</v>
      </c>
      <c r="B84" s="3">
        <v>45857</v>
      </c>
      <c r="C84" s="2" t="s">
        <v>240</v>
      </c>
      <c r="D84" s="2" t="s">
        <v>80</v>
      </c>
      <c r="E84" s="2" t="s">
        <v>29</v>
      </c>
      <c r="F84" s="2">
        <v>39</v>
      </c>
      <c r="G84" s="2" t="s">
        <v>81</v>
      </c>
      <c r="H84" s="2" t="s">
        <v>31</v>
      </c>
      <c r="I84" s="2" t="s">
        <v>81</v>
      </c>
      <c r="J84" s="2" t="s">
        <v>138</v>
      </c>
      <c r="K84" s="2">
        <v>1</v>
      </c>
      <c r="L84" s="2">
        <v>41458</v>
      </c>
      <c r="M84" s="2">
        <v>10</v>
      </c>
      <c r="N84" s="2">
        <v>4145.8</v>
      </c>
      <c r="O84" s="2">
        <v>6716.2</v>
      </c>
      <c r="P84" s="2">
        <v>255</v>
      </c>
      <c r="Q84" s="2">
        <v>44283.4</v>
      </c>
      <c r="R84" s="2" t="s">
        <v>51</v>
      </c>
      <c r="S84" s="2" t="s">
        <v>34</v>
      </c>
      <c r="T84" s="9" t="s">
        <v>1708</v>
      </c>
      <c r="U84" s="10" t="s">
        <v>52</v>
      </c>
      <c r="V84" s="2" t="s">
        <v>77</v>
      </c>
      <c r="W84" s="2">
        <v>9</v>
      </c>
      <c r="X84" s="2" t="s">
        <v>44</v>
      </c>
      <c r="Y84" s="2">
        <v>2</v>
      </c>
      <c r="Z84" s="2" t="s">
        <v>44</v>
      </c>
    </row>
    <row r="85" spans="1:26" x14ac:dyDescent="0.35">
      <c r="A85" s="2" t="s">
        <v>241</v>
      </c>
      <c r="B85" s="3">
        <v>46114</v>
      </c>
      <c r="C85" s="2" t="s">
        <v>242</v>
      </c>
      <c r="D85" s="2" t="s">
        <v>28</v>
      </c>
      <c r="E85" s="2" t="s">
        <v>41</v>
      </c>
      <c r="F85" s="2">
        <v>28</v>
      </c>
      <c r="G85" s="2" t="s">
        <v>122</v>
      </c>
      <c r="H85" s="2" t="s">
        <v>31</v>
      </c>
      <c r="I85" s="2" t="s">
        <v>122</v>
      </c>
      <c r="J85" s="2" t="s">
        <v>91</v>
      </c>
      <c r="K85" s="2">
        <v>4</v>
      </c>
      <c r="L85" s="2">
        <v>15002</v>
      </c>
      <c r="M85" s="2">
        <v>20</v>
      </c>
      <c r="N85" s="2">
        <v>12001.6</v>
      </c>
      <c r="O85" s="2">
        <v>8641.15</v>
      </c>
      <c r="P85" s="2">
        <v>259</v>
      </c>
      <c r="Q85" s="2">
        <v>56906.55</v>
      </c>
      <c r="R85" s="2" t="s">
        <v>33</v>
      </c>
      <c r="S85" s="2" t="s">
        <v>59</v>
      </c>
      <c r="T85" s="9" t="s">
        <v>1708</v>
      </c>
      <c r="U85" s="10" t="s">
        <v>52</v>
      </c>
      <c r="V85" s="2" t="s">
        <v>77</v>
      </c>
      <c r="W85" s="2">
        <v>1</v>
      </c>
      <c r="X85" s="2" t="s">
        <v>36</v>
      </c>
      <c r="Y85" s="2">
        <v>3</v>
      </c>
      <c r="Z85" s="2" t="s">
        <v>82</v>
      </c>
    </row>
    <row r="86" spans="1:26" x14ac:dyDescent="0.35">
      <c r="A86" s="2" t="s">
        <v>243</v>
      </c>
      <c r="B86" s="3">
        <v>45908</v>
      </c>
      <c r="C86" s="2" t="s">
        <v>244</v>
      </c>
      <c r="D86" s="2" t="s">
        <v>80</v>
      </c>
      <c r="E86" s="2" t="s">
        <v>41</v>
      </c>
      <c r="F86" s="2">
        <v>29</v>
      </c>
      <c r="G86" s="2" t="s">
        <v>81</v>
      </c>
      <c r="H86" s="2" t="s">
        <v>31</v>
      </c>
      <c r="I86" s="2" t="s">
        <v>81</v>
      </c>
      <c r="J86" s="2" t="s">
        <v>32</v>
      </c>
      <c r="K86" s="2">
        <v>3</v>
      </c>
      <c r="L86" s="2">
        <v>27664</v>
      </c>
      <c r="M86" s="2">
        <v>10</v>
      </c>
      <c r="N86" s="2">
        <v>8299.2000000000007</v>
      </c>
      <c r="O86" s="2">
        <v>13444.7</v>
      </c>
      <c r="P86" s="2">
        <v>52</v>
      </c>
      <c r="Q86" s="2">
        <v>88189.5</v>
      </c>
      <c r="R86" s="2" t="s">
        <v>51</v>
      </c>
      <c r="S86" s="2" t="s">
        <v>34</v>
      </c>
      <c r="T86" s="9" t="s">
        <v>1705</v>
      </c>
      <c r="U86" s="10" t="s">
        <v>1702</v>
      </c>
      <c r="V86" s="2" t="s">
        <v>53</v>
      </c>
      <c r="W86" s="2">
        <v>4</v>
      </c>
      <c r="X86" s="2" t="s">
        <v>44</v>
      </c>
      <c r="Y86" s="2">
        <v>3</v>
      </c>
      <c r="Z86" s="2" t="s">
        <v>54</v>
      </c>
    </row>
    <row r="87" spans="1:26" x14ac:dyDescent="0.35">
      <c r="A87" s="2" t="s">
        <v>245</v>
      </c>
      <c r="B87" s="3">
        <v>45809</v>
      </c>
      <c r="C87" s="2" t="s">
        <v>246</v>
      </c>
      <c r="D87" s="2" t="s">
        <v>28</v>
      </c>
      <c r="E87" s="2" t="s">
        <v>29</v>
      </c>
      <c r="F87" s="2">
        <v>23</v>
      </c>
      <c r="G87" s="2" t="s">
        <v>69</v>
      </c>
      <c r="H87" s="2" t="s">
        <v>31</v>
      </c>
      <c r="I87" s="2" t="s">
        <v>69</v>
      </c>
      <c r="J87" s="2" t="s">
        <v>50</v>
      </c>
      <c r="K87" s="2">
        <v>1</v>
      </c>
      <c r="L87" s="2">
        <v>23710</v>
      </c>
      <c r="M87" s="2">
        <v>5</v>
      </c>
      <c r="N87" s="2">
        <v>1185.5</v>
      </c>
      <c r="O87" s="2">
        <v>4054.41</v>
      </c>
      <c r="P87" s="2">
        <v>33</v>
      </c>
      <c r="Q87" s="2">
        <v>26611.91</v>
      </c>
      <c r="R87" s="2" t="s">
        <v>76</v>
      </c>
      <c r="S87" s="2" t="s">
        <v>59</v>
      </c>
      <c r="T87" s="9" t="s">
        <v>1704</v>
      </c>
      <c r="U87" s="10" t="s">
        <v>52</v>
      </c>
      <c r="V87" s="2" t="s">
        <v>35</v>
      </c>
      <c r="W87" s="2">
        <v>1</v>
      </c>
      <c r="X87" s="2" t="s">
        <v>36</v>
      </c>
      <c r="Y87" s="2">
        <v>1</v>
      </c>
      <c r="Z87" s="2" t="s">
        <v>54</v>
      </c>
    </row>
    <row r="88" spans="1:26" x14ac:dyDescent="0.35">
      <c r="A88" s="2" t="s">
        <v>247</v>
      </c>
      <c r="B88" s="3">
        <v>45761</v>
      </c>
      <c r="C88" s="2" t="s">
        <v>248</v>
      </c>
      <c r="D88" s="2" t="s">
        <v>57</v>
      </c>
      <c r="E88" s="2" t="s">
        <v>29</v>
      </c>
      <c r="F88" s="2">
        <v>50</v>
      </c>
      <c r="G88" s="2" t="s">
        <v>122</v>
      </c>
      <c r="H88" s="2" t="s">
        <v>31</v>
      </c>
      <c r="I88" s="2" t="s">
        <v>122</v>
      </c>
      <c r="J88" s="2" t="s">
        <v>58</v>
      </c>
      <c r="K88" s="2">
        <v>5</v>
      </c>
      <c r="L88" s="2">
        <v>2722</v>
      </c>
      <c r="M88" s="2">
        <v>5</v>
      </c>
      <c r="N88" s="2">
        <v>680.5</v>
      </c>
      <c r="O88" s="2">
        <v>2327.31</v>
      </c>
      <c r="P88" s="2">
        <v>444</v>
      </c>
      <c r="Q88" s="2">
        <v>15700.81</v>
      </c>
      <c r="R88" s="2" t="s">
        <v>43</v>
      </c>
      <c r="S88" s="2" t="s">
        <v>34</v>
      </c>
      <c r="T88" s="9" t="s">
        <v>1704</v>
      </c>
      <c r="U88" s="10" t="s">
        <v>52</v>
      </c>
      <c r="V88" s="2" t="s">
        <v>35</v>
      </c>
      <c r="W88" s="2">
        <v>3</v>
      </c>
      <c r="X88" s="2" t="s">
        <v>44</v>
      </c>
      <c r="Y88" s="2">
        <v>1</v>
      </c>
      <c r="Z88" s="2" t="s">
        <v>54</v>
      </c>
    </row>
    <row r="89" spans="1:26" x14ac:dyDescent="0.35">
      <c r="A89" s="2" t="s">
        <v>249</v>
      </c>
      <c r="B89" s="3">
        <v>46061</v>
      </c>
      <c r="C89" s="2" t="s">
        <v>234</v>
      </c>
      <c r="D89" s="2" t="s">
        <v>62</v>
      </c>
      <c r="E89" s="2" t="s">
        <v>41</v>
      </c>
      <c r="F89" s="2">
        <v>53</v>
      </c>
      <c r="G89" s="2" t="s">
        <v>69</v>
      </c>
      <c r="H89" s="2" t="s">
        <v>31</v>
      </c>
      <c r="I89" s="2" t="s">
        <v>69</v>
      </c>
      <c r="J89" s="2" t="s">
        <v>113</v>
      </c>
      <c r="K89" s="2">
        <v>3</v>
      </c>
      <c r="L89" s="2">
        <v>26078</v>
      </c>
      <c r="M89" s="2">
        <v>10</v>
      </c>
      <c r="N89" s="2">
        <v>7823.4</v>
      </c>
      <c r="O89" s="2">
        <v>12673.91</v>
      </c>
      <c r="P89" s="2">
        <v>236</v>
      </c>
      <c r="Q89" s="2">
        <v>83320.509999999995</v>
      </c>
      <c r="R89" s="2" t="s">
        <v>43</v>
      </c>
      <c r="S89" s="2" t="s">
        <v>34</v>
      </c>
      <c r="T89" s="9" t="s">
        <v>1704</v>
      </c>
      <c r="U89" s="10" t="s">
        <v>52</v>
      </c>
      <c r="V89" s="2" t="s">
        <v>35</v>
      </c>
      <c r="W89" s="2">
        <v>5</v>
      </c>
      <c r="X89" s="2" t="s">
        <v>44</v>
      </c>
      <c r="Y89" s="2">
        <v>5</v>
      </c>
      <c r="Z89" s="2" t="s">
        <v>54</v>
      </c>
    </row>
    <row r="90" spans="1:26" x14ac:dyDescent="0.35">
      <c r="A90" s="2" t="s">
        <v>250</v>
      </c>
      <c r="B90" s="3">
        <v>46053</v>
      </c>
      <c r="C90" s="2" t="s">
        <v>251</v>
      </c>
      <c r="D90" s="2" t="s">
        <v>57</v>
      </c>
      <c r="E90" s="2" t="s">
        <v>29</v>
      </c>
      <c r="F90" s="2">
        <v>56</v>
      </c>
      <c r="G90" s="2" t="s">
        <v>30</v>
      </c>
      <c r="H90" s="2" t="s">
        <v>31</v>
      </c>
      <c r="I90" s="2" t="s">
        <v>30</v>
      </c>
      <c r="J90" s="2" t="s">
        <v>70</v>
      </c>
      <c r="K90" s="2">
        <v>3</v>
      </c>
      <c r="L90" s="2">
        <v>15789</v>
      </c>
      <c r="M90" s="2">
        <v>15</v>
      </c>
      <c r="N90" s="2">
        <v>7105.05</v>
      </c>
      <c r="O90" s="2">
        <v>7247.15</v>
      </c>
      <c r="P90" s="2">
        <v>301</v>
      </c>
      <c r="Q90" s="2">
        <v>47810.1</v>
      </c>
      <c r="R90" s="2" t="s">
        <v>76</v>
      </c>
      <c r="S90" s="2" t="s">
        <v>34</v>
      </c>
      <c r="T90" s="9" t="s">
        <v>1710</v>
      </c>
      <c r="U90" s="10" t="s">
        <v>1711</v>
      </c>
      <c r="V90" s="2" t="s">
        <v>53</v>
      </c>
      <c r="W90" s="2">
        <v>4</v>
      </c>
      <c r="X90" s="2" t="s">
        <v>36</v>
      </c>
      <c r="Y90" s="2">
        <v>3</v>
      </c>
      <c r="Z90" s="2" t="s">
        <v>44</v>
      </c>
    </row>
    <row r="91" spans="1:26" x14ac:dyDescent="0.35">
      <c r="A91" s="2" t="s">
        <v>252</v>
      </c>
      <c r="B91" s="3">
        <v>45968</v>
      </c>
      <c r="C91" s="2" t="s">
        <v>253</v>
      </c>
      <c r="D91" s="2" t="s">
        <v>28</v>
      </c>
      <c r="E91" s="2" t="s">
        <v>29</v>
      </c>
      <c r="F91" s="2">
        <v>32</v>
      </c>
      <c r="G91" s="2" t="s">
        <v>127</v>
      </c>
      <c r="H91" s="2" t="s">
        <v>31</v>
      </c>
      <c r="I91" s="2" t="s">
        <v>127</v>
      </c>
      <c r="J91" s="2" t="s">
        <v>113</v>
      </c>
      <c r="K91" s="2">
        <v>2</v>
      </c>
      <c r="L91" s="2">
        <v>23965</v>
      </c>
      <c r="M91" s="2">
        <v>20</v>
      </c>
      <c r="N91" s="2">
        <v>9586</v>
      </c>
      <c r="O91" s="2">
        <v>6901.92</v>
      </c>
      <c r="P91" s="2">
        <v>167</v>
      </c>
      <c r="Q91" s="2">
        <v>45412.92</v>
      </c>
      <c r="R91" s="2" t="s">
        <v>76</v>
      </c>
      <c r="S91" s="2" t="s">
        <v>59</v>
      </c>
      <c r="T91" s="9" t="s">
        <v>1707</v>
      </c>
      <c r="U91" s="10" t="s">
        <v>1712</v>
      </c>
      <c r="V91" s="2" t="s">
        <v>53</v>
      </c>
      <c r="W91" s="2">
        <v>1</v>
      </c>
      <c r="X91" s="2" t="s">
        <v>44</v>
      </c>
      <c r="Y91" s="2">
        <v>1</v>
      </c>
      <c r="Z91" s="2" t="s">
        <v>44</v>
      </c>
    </row>
    <row r="92" spans="1:26" x14ac:dyDescent="0.35">
      <c r="A92" s="2" t="s">
        <v>254</v>
      </c>
      <c r="B92" s="3">
        <v>45897</v>
      </c>
      <c r="C92" s="2" t="s">
        <v>255</v>
      </c>
      <c r="D92" s="2" t="s">
        <v>68</v>
      </c>
      <c r="E92" s="2" t="s">
        <v>41</v>
      </c>
      <c r="F92" s="2">
        <v>34</v>
      </c>
      <c r="G92" s="2" t="s">
        <v>88</v>
      </c>
      <c r="H92" s="2" t="s">
        <v>49</v>
      </c>
      <c r="I92" s="2" t="s">
        <v>88</v>
      </c>
      <c r="J92" s="2" t="s">
        <v>65</v>
      </c>
      <c r="K92" s="2">
        <v>1</v>
      </c>
      <c r="L92" s="2">
        <v>29036</v>
      </c>
      <c r="M92" s="2">
        <v>10</v>
      </c>
      <c r="N92" s="2">
        <v>2903.6</v>
      </c>
      <c r="O92" s="2">
        <v>4703.83</v>
      </c>
      <c r="P92" s="2">
        <v>336</v>
      </c>
      <c r="Q92" s="2">
        <v>31172.23</v>
      </c>
      <c r="R92" s="2" t="s">
        <v>43</v>
      </c>
      <c r="S92" s="2" t="s">
        <v>59</v>
      </c>
      <c r="T92" s="9" t="s">
        <v>1710</v>
      </c>
      <c r="U92" s="10" t="s">
        <v>1711</v>
      </c>
      <c r="V92" s="2" t="s">
        <v>53</v>
      </c>
      <c r="W92" s="2">
        <v>7</v>
      </c>
      <c r="X92" s="2" t="s">
        <v>44</v>
      </c>
      <c r="Y92" s="2">
        <v>2</v>
      </c>
      <c r="Z92" s="2" t="s">
        <v>37</v>
      </c>
    </row>
    <row r="93" spans="1:26" x14ac:dyDescent="0.35">
      <c r="A93" s="2" t="s">
        <v>256</v>
      </c>
      <c r="B93" s="3">
        <v>45867</v>
      </c>
      <c r="C93" s="2" t="s">
        <v>257</v>
      </c>
      <c r="D93" s="2" t="s">
        <v>62</v>
      </c>
      <c r="E93" s="2" t="s">
        <v>29</v>
      </c>
      <c r="F93" s="2">
        <v>55</v>
      </c>
      <c r="G93" s="2" t="s">
        <v>81</v>
      </c>
      <c r="H93" s="2" t="s">
        <v>31</v>
      </c>
      <c r="I93" s="2" t="s">
        <v>81</v>
      </c>
      <c r="J93" s="2" t="s">
        <v>190</v>
      </c>
      <c r="K93" s="2">
        <v>4</v>
      </c>
      <c r="L93" s="2">
        <v>24259</v>
      </c>
      <c r="M93" s="2">
        <v>20</v>
      </c>
      <c r="N93" s="2">
        <v>19407.2</v>
      </c>
      <c r="O93" s="2">
        <v>13973.18</v>
      </c>
      <c r="P93" s="2">
        <v>445</v>
      </c>
      <c r="Q93" s="2">
        <v>92046.98</v>
      </c>
      <c r="R93" s="2" t="s">
        <v>43</v>
      </c>
      <c r="S93" s="2" t="s">
        <v>59</v>
      </c>
      <c r="T93" s="9" t="s">
        <v>1704</v>
      </c>
      <c r="U93" s="10" t="s">
        <v>52</v>
      </c>
      <c r="V93" s="2" t="s">
        <v>35</v>
      </c>
      <c r="W93" s="2">
        <v>1</v>
      </c>
      <c r="X93" s="2" t="s">
        <v>36</v>
      </c>
      <c r="Y93" s="2">
        <v>5</v>
      </c>
      <c r="Z93" s="2" t="s">
        <v>82</v>
      </c>
    </row>
    <row r="94" spans="1:26" x14ac:dyDescent="0.35">
      <c r="A94" s="2" t="s">
        <v>258</v>
      </c>
      <c r="B94" s="3">
        <v>45865</v>
      </c>
      <c r="C94" s="2" t="s">
        <v>259</v>
      </c>
      <c r="D94" s="2" t="s">
        <v>28</v>
      </c>
      <c r="E94" s="2" t="s">
        <v>41</v>
      </c>
      <c r="F94" s="2">
        <v>55</v>
      </c>
      <c r="G94" s="2" t="s">
        <v>30</v>
      </c>
      <c r="H94" s="2" t="s">
        <v>31</v>
      </c>
      <c r="I94" s="2" t="s">
        <v>30</v>
      </c>
      <c r="J94" s="2" t="s">
        <v>50</v>
      </c>
      <c r="K94" s="2">
        <v>4</v>
      </c>
      <c r="L94" s="2">
        <v>27999</v>
      </c>
      <c r="M94" s="2">
        <v>0</v>
      </c>
      <c r="N94" s="2">
        <v>0</v>
      </c>
      <c r="O94" s="2">
        <v>20159.28</v>
      </c>
      <c r="P94" s="2">
        <v>169</v>
      </c>
      <c r="Q94" s="2">
        <v>132324.28</v>
      </c>
      <c r="R94" s="2" t="s">
        <v>33</v>
      </c>
      <c r="S94" s="2" t="s">
        <v>59</v>
      </c>
      <c r="T94" s="9" t="s">
        <v>1708</v>
      </c>
      <c r="U94" s="10" t="s">
        <v>52</v>
      </c>
      <c r="V94" s="2" t="s">
        <v>77</v>
      </c>
      <c r="W94" s="2">
        <v>8</v>
      </c>
      <c r="X94" s="2" t="s">
        <v>44</v>
      </c>
      <c r="Y94" s="2">
        <v>2</v>
      </c>
      <c r="Z94" s="2" t="s">
        <v>82</v>
      </c>
    </row>
    <row r="95" spans="1:26" x14ac:dyDescent="0.35">
      <c r="A95" s="2" t="s">
        <v>260</v>
      </c>
      <c r="B95" s="3">
        <v>45865</v>
      </c>
      <c r="C95" s="2" t="s">
        <v>95</v>
      </c>
      <c r="D95" s="2" t="s">
        <v>62</v>
      </c>
      <c r="E95" s="2" t="s">
        <v>29</v>
      </c>
      <c r="F95" s="2">
        <v>54</v>
      </c>
      <c r="G95" s="2" t="s">
        <v>122</v>
      </c>
      <c r="H95" s="2" t="s">
        <v>31</v>
      </c>
      <c r="I95" s="2" t="s">
        <v>122</v>
      </c>
      <c r="J95" s="2" t="s">
        <v>32</v>
      </c>
      <c r="K95" s="2">
        <v>5</v>
      </c>
      <c r="L95" s="2">
        <v>44136</v>
      </c>
      <c r="M95" s="2">
        <v>10</v>
      </c>
      <c r="N95" s="2">
        <v>22068</v>
      </c>
      <c r="O95" s="2">
        <v>35750.160000000003</v>
      </c>
      <c r="P95" s="2">
        <v>127</v>
      </c>
      <c r="Q95" s="2">
        <v>234489.16</v>
      </c>
      <c r="R95" s="2" t="s">
        <v>43</v>
      </c>
      <c r="S95" s="2" t="s">
        <v>34</v>
      </c>
      <c r="T95" s="9" t="s">
        <v>1704</v>
      </c>
      <c r="U95" s="10" t="s">
        <v>52</v>
      </c>
      <c r="V95" s="2" t="s">
        <v>35</v>
      </c>
      <c r="W95" s="2">
        <v>8</v>
      </c>
      <c r="X95" s="2" t="s">
        <v>36</v>
      </c>
      <c r="Y95" s="2">
        <v>5</v>
      </c>
      <c r="Z95" s="2" t="s">
        <v>44</v>
      </c>
    </row>
    <row r="96" spans="1:26" x14ac:dyDescent="0.35">
      <c r="A96" s="2" t="s">
        <v>261</v>
      </c>
      <c r="B96" s="3">
        <v>46031</v>
      </c>
      <c r="C96" s="2" t="s">
        <v>262</v>
      </c>
      <c r="D96" s="2" t="s">
        <v>99</v>
      </c>
      <c r="E96" s="2" t="s">
        <v>41</v>
      </c>
      <c r="F96" s="2">
        <v>55</v>
      </c>
      <c r="G96" s="2" t="s">
        <v>81</v>
      </c>
      <c r="H96" s="2" t="s">
        <v>31</v>
      </c>
      <c r="I96" s="2" t="s">
        <v>81</v>
      </c>
      <c r="J96" s="2" t="s">
        <v>50</v>
      </c>
      <c r="K96" s="2">
        <v>5</v>
      </c>
      <c r="L96" s="2">
        <v>34596</v>
      </c>
      <c r="M96" s="2">
        <v>15</v>
      </c>
      <c r="N96" s="2">
        <v>25947</v>
      </c>
      <c r="O96" s="2">
        <v>26465.94</v>
      </c>
      <c r="P96" s="2">
        <v>316</v>
      </c>
      <c r="Q96" s="2">
        <v>173814.94</v>
      </c>
      <c r="R96" s="2" t="s">
        <v>51</v>
      </c>
      <c r="S96" s="2" t="s">
        <v>59</v>
      </c>
      <c r="T96" s="9" t="s">
        <v>1703</v>
      </c>
      <c r="U96" s="10" t="s">
        <v>1701</v>
      </c>
      <c r="V96" s="2" t="s">
        <v>35</v>
      </c>
      <c r="W96" s="2">
        <v>7</v>
      </c>
      <c r="X96" s="2" t="s">
        <v>36</v>
      </c>
      <c r="Y96" s="2">
        <v>1</v>
      </c>
      <c r="Z96" s="2" t="s">
        <v>44</v>
      </c>
    </row>
    <row r="97" spans="1:26" x14ac:dyDescent="0.35">
      <c r="A97" s="2" t="s">
        <v>263</v>
      </c>
      <c r="B97" s="3">
        <v>45762</v>
      </c>
      <c r="C97" s="2" t="s">
        <v>264</v>
      </c>
      <c r="D97" s="2" t="s">
        <v>73</v>
      </c>
      <c r="E97" s="2" t="s">
        <v>29</v>
      </c>
      <c r="F97" s="2">
        <v>51</v>
      </c>
      <c r="G97" s="2" t="s">
        <v>81</v>
      </c>
      <c r="H97" s="2" t="s">
        <v>31</v>
      </c>
      <c r="I97" s="2" t="s">
        <v>81</v>
      </c>
      <c r="J97" s="2" t="s">
        <v>58</v>
      </c>
      <c r="K97" s="2">
        <v>1</v>
      </c>
      <c r="L97" s="2">
        <v>30323</v>
      </c>
      <c r="M97" s="2">
        <v>15</v>
      </c>
      <c r="N97" s="2">
        <v>4548.45</v>
      </c>
      <c r="O97" s="2">
        <v>4639.42</v>
      </c>
      <c r="P97" s="2">
        <v>45</v>
      </c>
      <c r="Q97" s="2">
        <v>30458.97</v>
      </c>
      <c r="R97" s="2" t="s">
        <v>76</v>
      </c>
      <c r="S97" s="2" t="s">
        <v>59</v>
      </c>
      <c r="T97" s="9" t="s">
        <v>1704</v>
      </c>
      <c r="U97" s="10" t="s">
        <v>52</v>
      </c>
      <c r="V97" s="2" t="s">
        <v>35</v>
      </c>
      <c r="W97" s="2">
        <v>1</v>
      </c>
      <c r="X97" s="2" t="s">
        <v>44</v>
      </c>
      <c r="Y97" s="2">
        <v>4</v>
      </c>
      <c r="Z97" s="2" t="s">
        <v>54</v>
      </c>
    </row>
    <row r="98" spans="1:26" x14ac:dyDescent="0.35">
      <c r="A98" s="2" t="s">
        <v>265</v>
      </c>
      <c r="B98" s="3">
        <v>46001</v>
      </c>
      <c r="C98" s="2" t="s">
        <v>266</v>
      </c>
      <c r="D98" s="2" t="s">
        <v>62</v>
      </c>
      <c r="E98" s="2" t="s">
        <v>29</v>
      </c>
      <c r="F98" s="2">
        <v>27</v>
      </c>
      <c r="G98" s="2" t="s">
        <v>127</v>
      </c>
      <c r="H98" s="2" t="s">
        <v>31</v>
      </c>
      <c r="I98" s="2" t="s">
        <v>127</v>
      </c>
      <c r="J98" s="2" t="s">
        <v>91</v>
      </c>
      <c r="K98" s="2">
        <v>4</v>
      </c>
      <c r="L98" s="2">
        <v>14331</v>
      </c>
      <c r="M98" s="2">
        <v>0</v>
      </c>
      <c r="N98" s="2">
        <v>0</v>
      </c>
      <c r="O98" s="2">
        <v>10318.32</v>
      </c>
      <c r="P98" s="2">
        <v>41</v>
      </c>
      <c r="Q98" s="2">
        <v>67683.320000000007</v>
      </c>
      <c r="R98" s="2" t="s">
        <v>76</v>
      </c>
      <c r="S98" s="2" t="s">
        <v>34</v>
      </c>
      <c r="T98" s="9" t="s">
        <v>1709</v>
      </c>
      <c r="U98" s="10" t="s">
        <v>52</v>
      </c>
      <c r="V98" s="2" t="s">
        <v>53</v>
      </c>
      <c r="W98" s="2">
        <v>1</v>
      </c>
      <c r="X98" s="2" t="s">
        <v>44</v>
      </c>
      <c r="Y98" s="2">
        <v>4</v>
      </c>
      <c r="Z98" s="2" t="s">
        <v>37</v>
      </c>
    </row>
    <row r="99" spans="1:26" x14ac:dyDescent="0.35">
      <c r="A99" s="2" t="s">
        <v>267</v>
      </c>
      <c r="B99" s="3">
        <v>45812</v>
      </c>
      <c r="C99" s="2" t="s">
        <v>268</v>
      </c>
      <c r="D99" s="2" t="s">
        <v>47</v>
      </c>
      <c r="E99" s="2" t="s">
        <v>29</v>
      </c>
      <c r="F99" s="2">
        <v>24</v>
      </c>
      <c r="G99" s="2" t="s">
        <v>48</v>
      </c>
      <c r="H99" s="2" t="s">
        <v>49</v>
      </c>
      <c r="I99" s="2" t="s">
        <v>48</v>
      </c>
      <c r="J99" s="2" t="s">
        <v>113</v>
      </c>
      <c r="K99" s="2">
        <v>3</v>
      </c>
      <c r="L99" s="2">
        <v>3679</v>
      </c>
      <c r="M99" s="2">
        <v>10</v>
      </c>
      <c r="N99" s="2">
        <v>1103.7</v>
      </c>
      <c r="O99" s="2">
        <v>1787.99</v>
      </c>
      <c r="P99" s="2">
        <v>262</v>
      </c>
      <c r="Q99" s="2">
        <v>11983.29</v>
      </c>
      <c r="R99" s="2" t="s">
        <v>43</v>
      </c>
      <c r="S99" s="2" t="s">
        <v>59</v>
      </c>
      <c r="T99" s="9" t="s">
        <v>1703</v>
      </c>
      <c r="U99" s="10" t="s">
        <v>1701</v>
      </c>
      <c r="V99" s="2" t="s">
        <v>35</v>
      </c>
      <c r="W99" s="2">
        <v>4</v>
      </c>
      <c r="X99" s="2" t="s">
        <v>44</v>
      </c>
      <c r="Y99" s="2">
        <v>1</v>
      </c>
      <c r="Z99" s="2" t="s">
        <v>37</v>
      </c>
    </row>
    <row r="100" spans="1:26" x14ac:dyDescent="0.35">
      <c r="A100" s="2" t="s">
        <v>269</v>
      </c>
      <c r="B100" s="3">
        <v>45821</v>
      </c>
      <c r="C100" s="2" t="s">
        <v>270</v>
      </c>
      <c r="D100" s="2" t="s">
        <v>80</v>
      </c>
      <c r="E100" s="2" t="s">
        <v>29</v>
      </c>
      <c r="F100" s="2">
        <v>56</v>
      </c>
      <c r="G100" s="2" t="s">
        <v>69</v>
      </c>
      <c r="H100" s="2" t="s">
        <v>31</v>
      </c>
      <c r="I100" s="2" t="s">
        <v>69</v>
      </c>
      <c r="J100" s="2" t="s">
        <v>70</v>
      </c>
      <c r="K100" s="2">
        <v>3</v>
      </c>
      <c r="L100" s="2">
        <v>25123</v>
      </c>
      <c r="M100" s="2">
        <v>20</v>
      </c>
      <c r="N100" s="2">
        <v>15073.8</v>
      </c>
      <c r="O100" s="2">
        <v>10853.14</v>
      </c>
      <c r="P100" s="2">
        <v>393</v>
      </c>
      <c r="Q100" s="2">
        <v>71541.34</v>
      </c>
      <c r="R100" s="2" t="s">
        <v>33</v>
      </c>
      <c r="S100" s="2" t="s">
        <v>34</v>
      </c>
      <c r="T100" s="9" t="s">
        <v>1708</v>
      </c>
      <c r="U100" s="10" t="s">
        <v>52</v>
      </c>
      <c r="V100" s="2" t="s">
        <v>77</v>
      </c>
      <c r="W100" s="2">
        <v>10</v>
      </c>
      <c r="X100" s="2" t="s">
        <v>44</v>
      </c>
      <c r="Y100" s="2">
        <v>5</v>
      </c>
      <c r="Z100" s="2" t="s">
        <v>37</v>
      </c>
    </row>
    <row r="101" spans="1:26" x14ac:dyDescent="0.35">
      <c r="A101" s="2" t="s">
        <v>271</v>
      </c>
      <c r="B101" s="3">
        <v>45891</v>
      </c>
      <c r="C101" s="2" t="s">
        <v>272</v>
      </c>
      <c r="D101" s="2" t="s">
        <v>57</v>
      </c>
      <c r="E101" s="2" t="s">
        <v>41</v>
      </c>
      <c r="F101" s="2">
        <v>41</v>
      </c>
      <c r="G101" s="2" t="s">
        <v>88</v>
      </c>
      <c r="H101" s="2" t="s">
        <v>49</v>
      </c>
      <c r="I101" s="2" t="s">
        <v>88</v>
      </c>
      <c r="J101" s="2" t="s">
        <v>91</v>
      </c>
      <c r="K101" s="2">
        <v>4</v>
      </c>
      <c r="L101" s="2">
        <v>46566</v>
      </c>
      <c r="M101" s="2">
        <v>10</v>
      </c>
      <c r="N101" s="2">
        <v>18626.400000000001</v>
      </c>
      <c r="O101" s="2">
        <v>30174.77</v>
      </c>
      <c r="P101" s="2">
        <v>402</v>
      </c>
      <c r="Q101" s="2">
        <v>198214.37</v>
      </c>
      <c r="R101" s="2" t="s">
        <v>51</v>
      </c>
      <c r="S101" s="2" t="s">
        <v>34</v>
      </c>
      <c r="T101" s="9" t="s">
        <v>1705</v>
      </c>
      <c r="U101" s="10" t="s">
        <v>1702</v>
      </c>
      <c r="V101" s="2" t="s">
        <v>53</v>
      </c>
      <c r="W101" s="2">
        <v>7</v>
      </c>
      <c r="X101" s="2" t="s">
        <v>44</v>
      </c>
      <c r="Y101" s="2">
        <v>4</v>
      </c>
      <c r="Z101" s="2" t="s">
        <v>37</v>
      </c>
    </row>
    <row r="102" spans="1:26" x14ac:dyDescent="0.35">
      <c r="A102" s="2" t="s">
        <v>273</v>
      </c>
      <c r="B102" s="3">
        <v>45905</v>
      </c>
      <c r="C102" s="2" t="s">
        <v>274</v>
      </c>
      <c r="D102" s="2" t="s">
        <v>47</v>
      </c>
      <c r="E102" s="2" t="s">
        <v>29</v>
      </c>
      <c r="F102" s="2">
        <v>60</v>
      </c>
      <c r="G102" s="2" t="s">
        <v>122</v>
      </c>
      <c r="H102" s="2" t="s">
        <v>31</v>
      </c>
      <c r="I102" s="2" t="s">
        <v>122</v>
      </c>
      <c r="J102" s="2" t="s">
        <v>58</v>
      </c>
      <c r="K102" s="2">
        <v>1</v>
      </c>
      <c r="L102" s="2">
        <v>42289</v>
      </c>
      <c r="M102" s="2">
        <v>20</v>
      </c>
      <c r="N102" s="2">
        <v>8457.7999999999993</v>
      </c>
      <c r="O102" s="2">
        <v>6089.62</v>
      </c>
      <c r="P102" s="2">
        <v>250</v>
      </c>
      <c r="Q102" s="2">
        <v>40170.82</v>
      </c>
      <c r="R102" s="2" t="s">
        <v>43</v>
      </c>
      <c r="S102" s="2" t="s">
        <v>59</v>
      </c>
      <c r="T102" s="9" t="s">
        <v>1710</v>
      </c>
      <c r="U102" s="10" t="s">
        <v>1711</v>
      </c>
      <c r="V102" s="2" t="s">
        <v>53</v>
      </c>
      <c r="W102" s="2">
        <v>1</v>
      </c>
      <c r="X102" s="2" t="s">
        <v>36</v>
      </c>
      <c r="Y102" s="2">
        <v>2</v>
      </c>
      <c r="Z102" s="2" t="s">
        <v>44</v>
      </c>
    </row>
    <row r="103" spans="1:26" x14ac:dyDescent="0.35">
      <c r="A103" s="2" t="s">
        <v>275</v>
      </c>
      <c r="B103" s="3">
        <v>46108</v>
      </c>
      <c r="C103" s="2" t="s">
        <v>276</v>
      </c>
      <c r="D103" s="2" t="s">
        <v>80</v>
      </c>
      <c r="E103" s="2" t="s">
        <v>29</v>
      </c>
      <c r="F103" s="2">
        <v>31</v>
      </c>
      <c r="G103" s="2" t="s">
        <v>48</v>
      </c>
      <c r="H103" s="2" t="s">
        <v>49</v>
      </c>
      <c r="I103" s="2" t="s">
        <v>48</v>
      </c>
      <c r="J103" s="2" t="s">
        <v>70</v>
      </c>
      <c r="K103" s="2">
        <v>5</v>
      </c>
      <c r="L103" s="2">
        <v>4012</v>
      </c>
      <c r="M103" s="2">
        <v>0</v>
      </c>
      <c r="N103" s="2">
        <v>0</v>
      </c>
      <c r="O103" s="2">
        <v>3610.8</v>
      </c>
      <c r="P103" s="2">
        <v>329</v>
      </c>
      <c r="Q103" s="2">
        <v>23999.8</v>
      </c>
      <c r="R103" s="2" t="s">
        <v>76</v>
      </c>
      <c r="S103" s="2" t="s">
        <v>59</v>
      </c>
      <c r="T103" s="9" t="s">
        <v>1708</v>
      </c>
      <c r="U103" s="10" t="s">
        <v>52</v>
      </c>
      <c r="V103" s="2" t="s">
        <v>77</v>
      </c>
      <c r="W103" s="2">
        <v>8</v>
      </c>
      <c r="X103" s="2" t="s">
        <v>44</v>
      </c>
      <c r="Y103" s="2">
        <v>4</v>
      </c>
      <c r="Z103" s="2" t="s">
        <v>37</v>
      </c>
    </row>
    <row r="104" spans="1:26" x14ac:dyDescent="0.35">
      <c r="A104" s="2" t="s">
        <v>277</v>
      </c>
      <c r="B104" s="3">
        <v>45793</v>
      </c>
      <c r="C104" s="2" t="s">
        <v>278</v>
      </c>
      <c r="D104" s="2" t="s">
        <v>57</v>
      </c>
      <c r="E104" s="2" t="s">
        <v>29</v>
      </c>
      <c r="F104" s="2">
        <v>52</v>
      </c>
      <c r="G104" s="2" t="s">
        <v>69</v>
      </c>
      <c r="H104" s="2" t="s">
        <v>31</v>
      </c>
      <c r="I104" s="2" t="s">
        <v>69</v>
      </c>
      <c r="J104" s="2" t="s">
        <v>138</v>
      </c>
      <c r="K104" s="2">
        <v>2</v>
      </c>
      <c r="L104" s="2">
        <v>30405</v>
      </c>
      <c r="M104" s="2">
        <v>0</v>
      </c>
      <c r="N104" s="2">
        <v>0</v>
      </c>
      <c r="O104" s="2">
        <v>10945.8</v>
      </c>
      <c r="P104" s="2">
        <v>301</v>
      </c>
      <c r="Q104" s="2">
        <v>72056.800000000003</v>
      </c>
      <c r="R104" s="2" t="s">
        <v>33</v>
      </c>
      <c r="S104" s="2" t="s">
        <v>59</v>
      </c>
      <c r="T104" s="9" t="s">
        <v>1707</v>
      </c>
      <c r="U104" s="10" t="s">
        <v>1712</v>
      </c>
      <c r="V104" s="2" t="s">
        <v>53</v>
      </c>
      <c r="W104" s="2">
        <v>8</v>
      </c>
      <c r="X104" s="2" t="s">
        <v>36</v>
      </c>
      <c r="Y104" s="2">
        <v>5</v>
      </c>
      <c r="Z104" s="2" t="s">
        <v>54</v>
      </c>
    </row>
    <row r="105" spans="1:26" x14ac:dyDescent="0.35">
      <c r="A105" s="2" t="s">
        <v>279</v>
      </c>
      <c r="B105" s="3">
        <v>46023</v>
      </c>
      <c r="C105" s="2" t="s">
        <v>280</v>
      </c>
      <c r="D105" s="2" t="s">
        <v>96</v>
      </c>
      <c r="E105" s="2" t="s">
        <v>29</v>
      </c>
      <c r="F105" s="2">
        <v>23</v>
      </c>
      <c r="G105" s="2" t="s">
        <v>85</v>
      </c>
      <c r="H105" s="2" t="s">
        <v>31</v>
      </c>
      <c r="I105" s="2" t="s">
        <v>85</v>
      </c>
      <c r="J105" s="2" t="s">
        <v>91</v>
      </c>
      <c r="K105" s="2">
        <v>4</v>
      </c>
      <c r="L105" s="2">
        <v>19141</v>
      </c>
      <c r="M105" s="2">
        <v>20</v>
      </c>
      <c r="N105" s="2">
        <v>15312.8</v>
      </c>
      <c r="O105" s="2">
        <v>11025.22</v>
      </c>
      <c r="P105" s="2">
        <v>482</v>
      </c>
      <c r="Q105" s="2">
        <v>72758.42</v>
      </c>
      <c r="R105" s="2" t="s">
        <v>76</v>
      </c>
      <c r="S105" s="2" t="s">
        <v>34</v>
      </c>
      <c r="T105" s="9" t="s">
        <v>1710</v>
      </c>
      <c r="U105" s="10" t="s">
        <v>1711</v>
      </c>
      <c r="V105" s="2" t="s">
        <v>53</v>
      </c>
      <c r="W105" s="2">
        <v>5</v>
      </c>
      <c r="X105" s="2" t="s">
        <v>44</v>
      </c>
      <c r="Y105" s="2">
        <v>4</v>
      </c>
      <c r="Z105" s="2" t="s">
        <v>44</v>
      </c>
    </row>
    <row r="106" spans="1:26" x14ac:dyDescent="0.35">
      <c r="A106" s="2" t="s">
        <v>281</v>
      </c>
      <c r="B106" s="3">
        <v>46087</v>
      </c>
      <c r="C106" s="2" t="s">
        <v>282</v>
      </c>
      <c r="D106" s="2" t="s">
        <v>47</v>
      </c>
      <c r="E106" s="2" t="s">
        <v>41</v>
      </c>
      <c r="F106" s="2">
        <v>22</v>
      </c>
      <c r="G106" s="2" t="s">
        <v>63</v>
      </c>
      <c r="H106" s="2" t="s">
        <v>64</v>
      </c>
      <c r="I106" s="2" t="s">
        <v>63</v>
      </c>
      <c r="J106" s="2" t="s">
        <v>70</v>
      </c>
      <c r="K106" s="2">
        <v>4</v>
      </c>
      <c r="L106" s="2">
        <v>19962</v>
      </c>
      <c r="M106" s="2">
        <v>5</v>
      </c>
      <c r="N106" s="2">
        <v>3992.4</v>
      </c>
      <c r="O106" s="2">
        <v>13654.01</v>
      </c>
      <c r="P106" s="2">
        <v>104</v>
      </c>
      <c r="Q106" s="2">
        <v>89613.61</v>
      </c>
      <c r="R106" s="2" t="s">
        <v>43</v>
      </c>
      <c r="S106" s="2" t="s">
        <v>34</v>
      </c>
      <c r="T106" s="9" t="s">
        <v>1704</v>
      </c>
      <c r="U106" s="10" t="s">
        <v>52</v>
      </c>
      <c r="V106" s="2" t="s">
        <v>35</v>
      </c>
      <c r="W106" s="2">
        <v>7</v>
      </c>
      <c r="X106" s="2" t="s">
        <v>44</v>
      </c>
      <c r="Y106" s="2">
        <v>5</v>
      </c>
      <c r="Z106" s="2" t="s">
        <v>44</v>
      </c>
    </row>
    <row r="107" spans="1:26" x14ac:dyDescent="0.35">
      <c r="A107" s="2" t="s">
        <v>283</v>
      </c>
      <c r="B107" s="3">
        <v>45765</v>
      </c>
      <c r="C107" s="2" t="s">
        <v>284</v>
      </c>
      <c r="D107" s="2" t="s">
        <v>68</v>
      </c>
      <c r="E107" s="2" t="s">
        <v>29</v>
      </c>
      <c r="F107" s="2">
        <v>46</v>
      </c>
      <c r="G107" s="2" t="s">
        <v>63</v>
      </c>
      <c r="H107" s="2" t="s">
        <v>64</v>
      </c>
      <c r="I107" s="2" t="s">
        <v>63</v>
      </c>
      <c r="J107" s="2" t="s">
        <v>58</v>
      </c>
      <c r="K107" s="2">
        <v>5</v>
      </c>
      <c r="L107" s="2">
        <v>30045</v>
      </c>
      <c r="M107" s="2">
        <v>0</v>
      </c>
      <c r="N107" s="2">
        <v>0</v>
      </c>
      <c r="O107" s="2">
        <v>27040.5</v>
      </c>
      <c r="P107" s="2">
        <v>295</v>
      </c>
      <c r="Q107" s="2">
        <v>177560.5</v>
      </c>
      <c r="R107" s="2" t="s">
        <v>43</v>
      </c>
      <c r="S107" s="2" t="s">
        <v>59</v>
      </c>
      <c r="T107" s="9" t="s">
        <v>1706</v>
      </c>
      <c r="U107" s="10" t="s">
        <v>52</v>
      </c>
      <c r="V107" s="2" t="s">
        <v>53</v>
      </c>
      <c r="W107" s="2">
        <v>9</v>
      </c>
      <c r="X107" s="2" t="s">
        <v>36</v>
      </c>
      <c r="Y107" s="2">
        <v>2</v>
      </c>
      <c r="Z107" s="2" t="s">
        <v>82</v>
      </c>
    </row>
    <row r="108" spans="1:26" x14ac:dyDescent="0.35">
      <c r="A108" s="2" t="s">
        <v>285</v>
      </c>
      <c r="B108" s="3">
        <v>45980</v>
      </c>
      <c r="C108" s="2" t="s">
        <v>286</v>
      </c>
      <c r="D108" s="2" t="s">
        <v>80</v>
      </c>
      <c r="E108" s="2" t="s">
        <v>29</v>
      </c>
      <c r="F108" s="2">
        <v>33</v>
      </c>
      <c r="G108" s="2" t="s">
        <v>30</v>
      </c>
      <c r="H108" s="2" t="s">
        <v>31</v>
      </c>
      <c r="I108" s="2" t="s">
        <v>30</v>
      </c>
      <c r="J108" s="2" t="s">
        <v>138</v>
      </c>
      <c r="K108" s="2">
        <v>1</v>
      </c>
      <c r="L108" s="2">
        <v>30617</v>
      </c>
      <c r="M108" s="2">
        <v>0</v>
      </c>
      <c r="N108" s="2">
        <v>0</v>
      </c>
      <c r="O108" s="2">
        <v>5511.06</v>
      </c>
      <c r="P108" s="2">
        <v>291</v>
      </c>
      <c r="Q108" s="2">
        <v>36419.06</v>
      </c>
      <c r="R108" s="2" t="s">
        <v>33</v>
      </c>
      <c r="S108" s="2" t="s">
        <v>34</v>
      </c>
      <c r="T108" s="9" t="s">
        <v>1703</v>
      </c>
      <c r="U108" s="10" t="s">
        <v>1701</v>
      </c>
      <c r="V108" s="2" t="s">
        <v>35</v>
      </c>
      <c r="W108" s="2">
        <v>9</v>
      </c>
      <c r="X108" s="2" t="s">
        <v>44</v>
      </c>
      <c r="Y108" s="2">
        <v>5</v>
      </c>
      <c r="Z108" s="2" t="s">
        <v>54</v>
      </c>
    </row>
    <row r="109" spans="1:26" x14ac:dyDescent="0.35">
      <c r="A109" s="2" t="s">
        <v>287</v>
      </c>
      <c r="B109" s="3">
        <v>45856</v>
      </c>
      <c r="C109" s="2" t="s">
        <v>288</v>
      </c>
      <c r="D109" s="2" t="s">
        <v>68</v>
      </c>
      <c r="E109" s="2" t="s">
        <v>41</v>
      </c>
      <c r="F109" s="2">
        <v>29</v>
      </c>
      <c r="G109" s="2" t="s">
        <v>122</v>
      </c>
      <c r="H109" s="2" t="s">
        <v>31</v>
      </c>
      <c r="I109" s="2" t="s">
        <v>122</v>
      </c>
      <c r="J109" s="2" t="s">
        <v>50</v>
      </c>
      <c r="K109" s="2">
        <v>1</v>
      </c>
      <c r="L109" s="2">
        <v>36884</v>
      </c>
      <c r="M109" s="2">
        <v>5</v>
      </c>
      <c r="N109" s="2">
        <v>1844.2</v>
      </c>
      <c r="O109" s="2">
        <v>6307.16</v>
      </c>
      <c r="P109" s="2">
        <v>88</v>
      </c>
      <c r="Q109" s="2">
        <v>41434.959999999999</v>
      </c>
      <c r="R109" s="2" t="s">
        <v>43</v>
      </c>
      <c r="S109" s="2" t="s">
        <v>59</v>
      </c>
      <c r="T109" s="9" t="s">
        <v>1706</v>
      </c>
      <c r="U109" s="10" t="s">
        <v>52</v>
      </c>
      <c r="V109" s="2" t="s">
        <v>53</v>
      </c>
      <c r="W109" s="2">
        <v>2</v>
      </c>
      <c r="X109" s="2" t="s">
        <v>44</v>
      </c>
      <c r="Y109" s="2">
        <v>2</v>
      </c>
      <c r="Z109" s="2" t="s">
        <v>82</v>
      </c>
    </row>
    <row r="110" spans="1:26" x14ac:dyDescent="0.35">
      <c r="A110" s="2" t="s">
        <v>289</v>
      </c>
      <c r="B110" s="3">
        <v>45948</v>
      </c>
      <c r="C110" s="2" t="s">
        <v>290</v>
      </c>
      <c r="D110" s="2" t="s">
        <v>96</v>
      </c>
      <c r="E110" s="2" t="s">
        <v>41</v>
      </c>
      <c r="F110" s="2">
        <v>35</v>
      </c>
      <c r="G110" s="2" t="s">
        <v>88</v>
      </c>
      <c r="H110" s="2" t="s">
        <v>49</v>
      </c>
      <c r="I110" s="2" t="s">
        <v>88</v>
      </c>
      <c r="J110" s="2" t="s">
        <v>113</v>
      </c>
      <c r="K110" s="2">
        <v>2</v>
      </c>
      <c r="L110" s="2">
        <v>44392</v>
      </c>
      <c r="M110" s="2">
        <v>10</v>
      </c>
      <c r="N110" s="2">
        <v>8878.4</v>
      </c>
      <c r="O110" s="2">
        <v>14383.01</v>
      </c>
      <c r="P110" s="2">
        <v>36</v>
      </c>
      <c r="Q110" s="2">
        <v>94324.61</v>
      </c>
      <c r="R110" s="2" t="s">
        <v>76</v>
      </c>
      <c r="S110" s="2" t="s">
        <v>34</v>
      </c>
      <c r="T110" s="9" t="s">
        <v>1703</v>
      </c>
      <c r="U110" s="10" t="s">
        <v>1701</v>
      </c>
      <c r="V110" s="2" t="s">
        <v>35</v>
      </c>
      <c r="W110" s="2">
        <v>4</v>
      </c>
      <c r="X110" s="2" t="s">
        <v>44</v>
      </c>
      <c r="Y110" s="2">
        <v>3</v>
      </c>
      <c r="Z110" s="2" t="s">
        <v>44</v>
      </c>
    </row>
    <row r="111" spans="1:26" x14ac:dyDescent="0.35">
      <c r="A111" s="2" t="s">
        <v>291</v>
      </c>
      <c r="B111" s="3">
        <v>45950</v>
      </c>
      <c r="C111" s="2" t="s">
        <v>292</v>
      </c>
      <c r="D111" s="2" t="s">
        <v>99</v>
      </c>
      <c r="E111" s="2" t="s">
        <v>29</v>
      </c>
      <c r="F111" s="2">
        <v>49</v>
      </c>
      <c r="G111" s="2" t="s">
        <v>63</v>
      </c>
      <c r="H111" s="2" t="s">
        <v>64</v>
      </c>
      <c r="I111" s="2" t="s">
        <v>63</v>
      </c>
      <c r="J111" s="2" t="s">
        <v>50</v>
      </c>
      <c r="K111" s="2">
        <v>2</v>
      </c>
      <c r="L111" s="2">
        <v>45616</v>
      </c>
      <c r="M111" s="2">
        <v>15</v>
      </c>
      <c r="N111" s="2">
        <v>13684.8</v>
      </c>
      <c r="O111" s="2">
        <v>13958.5</v>
      </c>
      <c r="P111" s="2">
        <v>173</v>
      </c>
      <c r="Q111" s="2">
        <v>91678.7</v>
      </c>
      <c r="R111" s="2" t="s">
        <v>33</v>
      </c>
      <c r="S111" s="2" t="s">
        <v>59</v>
      </c>
      <c r="T111" s="9" t="s">
        <v>1708</v>
      </c>
      <c r="U111" s="10" t="s">
        <v>52</v>
      </c>
      <c r="V111" s="2" t="s">
        <v>77</v>
      </c>
      <c r="W111" s="2">
        <v>4</v>
      </c>
      <c r="X111" s="2" t="s">
        <v>44</v>
      </c>
      <c r="Y111" s="2">
        <v>5</v>
      </c>
      <c r="Z111" s="2" t="s">
        <v>54</v>
      </c>
    </row>
    <row r="112" spans="1:26" x14ac:dyDescent="0.35">
      <c r="A112" s="2" t="s">
        <v>293</v>
      </c>
      <c r="B112" s="3">
        <v>45935</v>
      </c>
      <c r="C112" s="2" t="s">
        <v>294</v>
      </c>
      <c r="D112" s="2" t="s">
        <v>47</v>
      </c>
      <c r="E112" s="2" t="s">
        <v>41</v>
      </c>
      <c r="F112" s="2">
        <v>25</v>
      </c>
      <c r="G112" s="2" t="s">
        <v>85</v>
      </c>
      <c r="H112" s="2" t="s">
        <v>31</v>
      </c>
      <c r="I112" s="2" t="s">
        <v>85</v>
      </c>
      <c r="J112" s="2" t="s">
        <v>91</v>
      </c>
      <c r="K112" s="2">
        <v>4</v>
      </c>
      <c r="L112" s="2">
        <v>13466</v>
      </c>
      <c r="M112" s="2">
        <v>15</v>
      </c>
      <c r="N112" s="2">
        <v>8079.6</v>
      </c>
      <c r="O112" s="2">
        <v>8241.19</v>
      </c>
      <c r="P112" s="2">
        <v>298</v>
      </c>
      <c r="Q112" s="2">
        <v>54323.59</v>
      </c>
      <c r="R112" s="2" t="s">
        <v>76</v>
      </c>
      <c r="S112" s="2" t="s">
        <v>59</v>
      </c>
      <c r="T112" s="9" t="s">
        <v>1709</v>
      </c>
      <c r="U112" s="10" t="s">
        <v>52</v>
      </c>
      <c r="V112" s="2" t="s">
        <v>53</v>
      </c>
      <c r="W112" s="2">
        <v>6</v>
      </c>
      <c r="X112" s="2" t="s">
        <v>36</v>
      </c>
      <c r="Y112" s="2">
        <v>5</v>
      </c>
      <c r="Z112" s="2" t="s">
        <v>54</v>
      </c>
    </row>
    <row r="113" spans="1:26" x14ac:dyDescent="0.35">
      <c r="A113" s="2" t="s">
        <v>295</v>
      </c>
      <c r="B113" s="3">
        <v>46039</v>
      </c>
      <c r="C113" s="2" t="s">
        <v>296</v>
      </c>
      <c r="D113" s="2" t="s">
        <v>47</v>
      </c>
      <c r="E113" s="2" t="s">
        <v>29</v>
      </c>
      <c r="F113" s="2">
        <v>53</v>
      </c>
      <c r="G113" s="2" t="s">
        <v>42</v>
      </c>
      <c r="H113" s="2" t="s">
        <v>31</v>
      </c>
      <c r="I113" s="2" t="s">
        <v>42</v>
      </c>
      <c r="J113" s="2" t="s">
        <v>32</v>
      </c>
      <c r="K113" s="2">
        <v>3</v>
      </c>
      <c r="L113" s="2">
        <v>10297</v>
      </c>
      <c r="M113" s="2">
        <v>5</v>
      </c>
      <c r="N113" s="2">
        <v>1544.55</v>
      </c>
      <c r="O113" s="2">
        <v>5282.36</v>
      </c>
      <c r="P113" s="2">
        <v>382</v>
      </c>
      <c r="Q113" s="2">
        <v>35010.81</v>
      </c>
      <c r="R113" s="2" t="s">
        <v>51</v>
      </c>
      <c r="S113" s="2" t="s">
        <v>59</v>
      </c>
      <c r="T113" s="9" t="s">
        <v>1707</v>
      </c>
      <c r="U113" s="10" t="s">
        <v>1712</v>
      </c>
      <c r="V113" s="2" t="s">
        <v>53</v>
      </c>
      <c r="W113" s="2">
        <v>4</v>
      </c>
      <c r="X113" s="2" t="s">
        <v>36</v>
      </c>
      <c r="Y113" s="2">
        <v>1</v>
      </c>
      <c r="Z113" s="2" t="s">
        <v>44</v>
      </c>
    </row>
    <row r="114" spans="1:26" x14ac:dyDescent="0.35">
      <c r="A114" s="2" t="s">
        <v>297</v>
      </c>
      <c r="B114" s="3">
        <v>45845</v>
      </c>
      <c r="C114" s="2" t="s">
        <v>90</v>
      </c>
      <c r="D114" s="2" t="s">
        <v>40</v>
      </c>
      <c r="E114" s="2" t="s">
        <v>29</v>
      </c>
      <c r="F114" s="2">
        <v>38</v>
      </c>
      <c r="G114" s="2" t="s">
        <v>127</v>
      </c>
      <c r="H114" s="2" t="s">
        <v>31</v>
      </c>
      <c r="I114" s="2" t="s">
        <v>127</v>
      </c>
      <c r="J114" s="2" t="s">
        <v>91</v>
      </c>
      <c r="K114" s="2">
        <v>2</v>
      </c>
      <c r="L114" s="2">
        <v>20743</v>
      </c>
      <c r="M114" s="2">
        <v>20</v>
      </c>
      <c r="N114" s="2">
        <v>8297.2000000000007</v>
      </c>
      <c r="O114" s="2">
        <v>5973.98</v>
      </c>
      <c r="P114" s="2">
        <v>397</v>
      </c>
      <c r="Q114" s="2">
        <v>39559.78</v>
      </c>
      <c r="R114" s="2" t="s">
        <v>51</v>
      </c>
      <c r="S114" s="2" t="s">
        <v>34</v>
      </c>
      <c r="T114" s="9" t="s">
        <v>1703</v>
      </c>
      <c r="U114" s="10" t="s">
        <v>1701</v>
      </c>
      <c r="V114" s="2" t="s">
        <v>35</v>
      </c>
      <c r="W114" s="2">
        <v>8</v>
      </c>
      <c r="X114" s="2" t="s">
        <v>36</v>
      </c>
      <c r="Y114" s="2">
        <v>1</v>
      </c>
      <c r="Z114" s="2" t="s">
        <v>37</v>
      </c>
    </row>
    <row r="115" spans="1:26" x14ac:dyDescent="0.35">
      <c r="A115" s="2" t="s">
        <v>298</v>
      </c>
      <c r="B115" s="3">
        <v>45993</v>
      </c>
      <c r="C115" s="2" t="s">
        <v>299</v>
      </c>
      <c r="D115" s="2" t="s">
        <v>40</v>
      </c>
      <c r="E115" s="2" t="s">
        <v>41</v>
      </c>
      <c r="F115" s="2">
        <v>56</v>
      </c>
      <c r="G115" s="2" t="s">
        <v>127</v>
      </c>
      <c r="H115" s="2" t="s">
        <v>31</v>
      </c>
      <c r="I115" s="2" t="s">
        <v>127</v>
      </c>
      <c r="J115" s="2" t="s">
        <v>113</v>
      </c>
      <c r="K115" s="2">
        <v>3</v>
      </c>
      <c r="L115" s="2">
        <v>45793</v>
      </c>
      <c r="M115" s="2">
        <v>0</v>
      </c>
      <c r="N115" s="2">
        <v>0</v>
      </c>
      <c r="O115" s="2">
        <v>24728.22</v>
      </c>
      <c r="P115" s="2">
        <v>20</v>
      </c>
      <c r="Q115" s="2">
        <v>162127.22</v>
      </c>
      <c r="R115" s="2" t="s">
        <v>51</v>
      </c>
      <c r="S115" s="2" t="s">
        <v>34</v>
      </c>
      <c r="T115" s="9" t="s">
        <v>1704</v>
      </c>
      <c r="U115" s="10" t="s">
        <v>52</v>
      </c>
      <c r="V115" s="2" t="s">
        <v>35</v>
      </c>
      <c r="W115" s="2">
        <v>5</v>
      </c>
      <c r="X115" s="2" t="s">
        <v>36</v>
      </c>
      <c r="Y115" s="2">
        <v>5</v>
      </c>
      <c r="Z115" s="2" t="s">
        <v>37</v>
      </c>
    </row>
    <row r="116" spans="1:26" x14ac:dyDescent="0.35">
      <c r="A116" s="2" t="s">
        <v>300</v>
      </c>
      <c r="B116" s="3">
        <v>45983</v>
      </c>
      <c r="C116" s="2" t="s">
        <v>301</v>
      </c>
      <c r="D116" s="2" t="s">
        <v>80</v>
      </c>
      <c r="E116" s="2" t="s">
        <v>29</v>
      </c>
      <c r="F116" s="2">
        <v>24</v>
      </c>
      <c r="G116" s="2" t="s">
        <v>63</v>
      </c>
      <c r="H116" s="2" t="s">
        <v>64</v>
      </c>
      <c r="I116" s="2" t="s">
        <v>63</v>
      </c>
      <c r="J116" s="2" t="s">
        <v>58</v>
      </c>
      <c r="K116" s="2">
        <v>5</v>
      </c>
      <c r="L116" s="2">
        <v>39903</v>
      </c>
      <c r="M116" s="2">
        <v>20</v>
      </c>
      <c r="N116" s="2">
        <v>39903</v>
      </c>
      <c r="O116" s="2">
        <v>28730.16</v>
      </c>
      <c r="P116" s="2">
        <v>492</v>
      </c>
      <c r="Q116" s="2">
        <v>188834.16</v>
      </c>
      <c r="R116" s="2" t="s">
        <v>76</v>
      </c>
      <c r="S116" s="2" t="s">
        <v>59</v>
      </c>
      <c r="T116" s="9" t="s">
        <v>1706</v>
      </c>
      <c r="U116" s="10" t="s">
        <v>52</v>
      </c>
      <c r="V116" s="2" t="s">
        <v>53</v>
      </c>
      <c r="W116" s="2">
        <v>2</v>
      </c>
      <c r="X116" s="2" t="s">
        <v>44</v>
      </c>
      <c r="Y116" s="2">
        <v>5</v>
      </c>
      <c r="Z116" s="2" t="s">
        <v>44</v>
      </c>
    </row>
    <row r="117" spans="1:26" x14ac:dyDescent="0.35">
      <c r="A117" s="2" t="s">
        <v>302</v>
      </c>
      <c r="B117" s="3">
        <v>46095</v>
      </c>
      <c r="C117" s="2" t="s">
        <v>303</v>
      </c>
      <c r="D117" s="2" t="s">
        <v>47</v>
      </c>
      <c r="E117" s="2" t="s">
        <v>41</v>
      </c>
      <c r="F117" s="2">
        <v>58</v>
      </c>
      <c r="G117" s="2" t="s">
        <v>30</v>
      </c>
      <c r="H117" s="2" t="s">
        <v>31</v>
      </c>
      <c r="I117" s="2" t="s">
        <v>30</v>
      </c>
      <c r="J117" s="2" t="s">
        <v>50</v>
      </c>
      <c r="K117" s="2">
        <v>3</v>
      </c>
      <c r="L117" s="2">
        <v>22776</v>
      </c>
      <c r="M117" s="2">
        <v>0</v>
      </c>
      <c r="N117" s="2">
        <v>0</v>
      </c>
      <c r="O117" s="2">
        <v>12299.04</v>
      </c>
      <c r="P117" s="2">
        <v>94</v>
      </c>
      <c r="Q117" s="2">
        <v>80721.039999999994</v>
      </c>
      <c r="R117" s="2" t="s">
        <v>51</v>
      </c>
      <c r="S117" s="2" t="s">
        <v>59</v>
      </c>
      <c r="T117" s="9" t="s">
        <v>1707</v>
      </c>
      <c r="U117" s="10" t="s">
        <v>1712</v>
      </c>
      <c r="V117" s="2" t="s">
        <v>53</v>
      </c>
      <c r="W117" s="2">
        <v>6</v>
      </c>
      <c r="X117" s="2" t="s">
        <v>36</v>
      </c>
      <c r="Y117" s="2">
        <v>1</v>
      </c>
      <c r="Z117" s="2" t="s">
        <v>37</v>
      </c>
    </row>
    <row r="118" spans="1:26" x14ac:dyDescent="0.35">
      <c r="A118" s="2" t="s">
        <v>304</v>
      </c>
      <c r="B118" s="3">
        <v>45809</v>
      </c>
      <c r="C118" s="2" t="s">
        <v>305</v>
      </c>
      <c r="D118" s="2" t="s">
        <v>99</v>
      </c>
      <c r="E118" s="2" t="s">
        <v>41</v>
      </c>
      <c r="F118" s="2">
        <v>30</v>
      </c>
      <c r="G118" s="2" t="s">
        <v>122</v>
      </c>
      <c r="H118" s="2" t="s">
        <v>31</v>
      </c>
      <c r="I118" s="2" t="s">
        <v>122</v>
      </c>
      <c r="J118" s="2" t="s">
        <v>113</v>
      </c>
      <c r="K118" s="2">
        <v>5</v>
      </c>
      <c r="L118" s="2">
        <v>18787</v>
      </c>
      <c r="M118" s="2">
        <v>20</v>
      </c>
      <c r="N118" s="2">
        <v>18787</v>
      </c>
      <c r="O118" s="2">
        <v>13526.64</v>
      </c>
      <c r="P118" s="2">
        <v>101</v>
      </c>
      <c r="Q118" s="2">
        <v>88775.64</v>
      </c>
      <c r="R118" s="2" t="s">
        <v>76</v>
      </c>
      <c r="S118" s="2" t="s">
        <v>59</v>
      </c>
      <c r="T118" s="9" t="s">
        <v>1704</v>
      </c>
      <c r="U118" s="10" t="s">
        <v>52</v>
      </c>
      <c r="V118" s="2" t="s">
        <v>35</v>
      </c>
      <c r="W118" s="2">
        <v>4</v>
      </c>
      <c r="X118" s="2" t="s">
        <v>44</v>
      </c>
      <c r="Y118" s="2">
        <v>5</v>
      </c>
      <c r="Z118" s="2" t="s">
        <v>37</v>
      </c>
    </row>
    <row r="119" spans="1:26" x14ac:dyDescent="0.35">
      <c r="A119" s="2" t="s">
        <v>306</v>
      </c>
      <c r="B119" s="3">
        <v>45834</v>
      </c>
      <c r="C119" s="2" t="s">
        <v>307</v>
      </c>
      <c r="D119" s="2" t="s">
        <v>40</v>
      </c>
      <c r="E119" s="2" t="s">
        <v>29</v>
      </c>
      <c r="F119" s="2">
        <v>28</v>
      </c>
      <c r="G119" s="2" t="s">
        <v>30</v>
      </c>
      <c r="H119" s="2" t="s">
        <v>31</v>
      </c>
      <c r="I119" s="2" t="s">
        <v>30</v>
      </c>
      <c r="J119" s="2" t="s">
        <v>32</v>
      </c>
      <c r="K119" s="2">
        <v>1</v>
      </c>
      <c r="L119" s="2">
        <v>956</v>
      </c>
      <c r="M119" s="2">
        <v>20</v>
      </c>
      <c r="N119" s="2">
        <v>191.2</v>
      </c>
      <c r="O119" s="2">
        <v>137.66</v>
      </c>
      <c r="P119" s="2">
        <v>446</v>
      </c>
      <c r="Q119" s="2">
        <v>1348.46</v>
      </c>
      <c r="R119" s="2" t="s">
        <v>43</v>
      </c>
      <c r="S119" s="2" t="s">
        <v>59</v>
      </c>
      <c r="T119" s="9" t="s">
        <v>1704</v>
      </c>
      <c r="U119" s="10" t="s">
        <v>52</v>
      </c>
      <c r="V119" s="2" t="s">
        <v>35</v>
      </c>
      <c r="W119" s="2">
        <v>3</v>
      </c>
      <c r="X119" s="2" t="s">
        <v>44</v>
      </c>
      <c r="Y119" s="2">
        <v>2</v>
      </c>
      <c r="Z119" s="2" t="s">
        <v>44</v>
      </c>
    </row>
    <row r="120" spans="1:26" x14ac:dyDescent="0.35">
      <c r="A120" s="2" t="s">
        <v>308</v>
      </c>
      <c r="B120" s="3">
        <v>46080</v>
      </c>
      <c r="C120" s="2" t="s">
        <v>90</v>
      </c>
      <c r="D120" s="2" t="s">
        <v>96</v>
      </c>
      <c r="E120" s="2" t="s">
        <v>41</v>
      </c>
      <c r="F120" s="2">
        <v>20</v>
      </c>
      <c r="G120" s="2" t="s">
        <v>85</v>
      </c>
      <c r="H120" s="2" t="s">
        <v>31</v>
      </c>
      <c r="I120" s="2" t="s">
        <v>85</v>
      </c>
      <c r="J120" s="2" t="s">
        <v>70</v>
      </c>
      <c r="K120" s="2">
        <v>5</v>
      </c>
      <c r="L120" s="2">
        <v>28102</v>
      </c>
      <c r="M120" s="2">
        <v>5</v>
      </c>
      <c r="N120" s="2">
        <v>7025.5</v>
      </c>
      <c r="O120" s="2">
        <v>24027.21</v>
      </c>
      <c r="P120" s="2">
        <v>281</v>
      </c>
      <c r="Q120" s="2">
        <v>157792.71</v>
      </c>
      <c r="R120" s="2" t="s">
        <v>76</v>
      </c>
      <c r="S120" s="2" t="s">
        <v>34</v>
      </c>
      <c r="T120" s="9" t="s">
        <v>1706</v>
      </c>
      <c r="U120" s="10" t="s">
        <v>52</v>
      </c>
      <c r="V120" s="2" t="s">
        <v>53</v>
      </c>
      <c r="W120" s="2">
        <v>5</v>
      </c>
      <c r="X120" s="2" t="s">
        <v>36</v>
      </c>
      <c r="Y120" s="2">
        <v>3</v>
      </c>
      <c r="Z120" s="2" t="s">
        <v>37</v>
      </c>
    </row>
    <row r="121" spans="1:26" x14ac:dyDescent="0.35">
      <c r="A121" s="2" t="s">
        <v>309</v>
      </c>
      <c r="B121" s="3">
        <v>45985</v>
      </c>
      <c r="C121" s="2" t="s">
        <v>310</v>
      </c>
      <c r="D121" s="2" t="s">
        <v>73</v>
      </c>
      <c r="E121" s="2" t="s">
        <v>29</v>
      </c>
      <c r="F121" s="2">
        <v>29</v>
      </c>
      <c r="G121" s="2" t="s">
        <v>122</v>
      </c>
      <c r="H121" s="2" t="s">
        <v>31</v>
      </c>
      <c r="I121" s="2" t="s">
        <v>122</v>
      </c>
      <c r="J121" s="2" t="s">
        <v>138</v>
      </c>
      <c r="K121" s="2">
        <v>4</v>
      </c>
      <c r="L121" s="2">
        <v>2455</v>
      </c>
      <c r="M121" s="2">
        <v>5</v>
      </c>
      <c r="N121" s="2">
        <v>491</v>
      </c>
      <c r="O121" s="2">
        <v>1679.22</v>
      </c>
      <c r="P121" s="2">
        <v>255</v>
      </c>
      <c r="Q121" s="2">
        <v>11263.22</v>
      </c>
      <c r="R121" s="2" t="s">
        <v>51</v>
      </c>
      <c r="S121" s="2" t="s">
        <v>59</v>
      </c>
      <c r="T121" s="9" t="s">
        <v>1706</v>
      </c>
      <c r="U121" s="10" t="s">
        <v>52</v>
      </c>
      <c r="V121" s="2" t="s">
        <v>53</v>
      </c>
      <c r="W121" s="2">
        <v>4</v>
      </c>
      <c r="X121" s="2" t="s">
        <v>36</v>
      </c>
      <c r="Y121" s="2">
        <v>4</v>
      </c>
      <c r="Z121" s="2" t="s">
        <v>37</v>
      </c>
    </row>
    <row r="122" spans="1:26" x14ac:dyDescent="0.35">
      <c r="A122" s="2" t="s">
        <v>311</v>
      </c>
      <c r="B122" s="3">
        <v>46002</v>
      </c>
      <c r="C122" s="2" t="s">
        <v>312</v>
      </c>
      <c r="D122" s="2" t="s">
        <v>73</v>
      </c>
      <c r="E122" s="2" t="s">
        <v>29</v>
      </c>
      <c r="F122" s="2">
        <v>39</v>
      </c>
      <c r="G122" s="2" t="s">
        <v>63</v>
      </c>
      <c r="H122" s="2" t="s">
        <v>64</v>
      </c>
      <c r="I122" s="2" t="s">
        <v>63</v>
      </c>
      <c r="J122" s="2" t="s">
        <v>113</v>
      </c>
      <c r="K122" s="2">
        <v>2</v>
      </c>
      <c r="L122" s="2">
        <v>14902</v>
      </c>
      <c r="M122" s="2">
        <v>20</v>
      </c>
      <c r="N122" s="2">
        <v>5960.8</v>
      </c>
      <c r="O122" s="2">
        <v>4291.78</v>
      </c>
      <c r="P122" s="2">
        <v>348</v>
      </c>
      <c r="Q122" s="2">
        <v>28482.98</v>
      </c>
      <c r="R122" s="2" t="s">
        <v>76</v>
      </c>
      <c r="S122" s="2" t="s">
        <v>59</v>
      </c>
      <c r="T122" s="9" t="s">
        <v>1707</v>
      </c>
      <c r="U122" s="10" t="s">
        <v>1712</v>
      </c>
      <c r="V122" s="2" t="s">
        <v>53</v>
      </c>
      <c r="W122" s="2">
        <v>8</v>
      </c>
      <c r="X122" s="2" t="s">
        <v>36</v>
      </c>
      <c r="Y122" s="2">
        <v>1</v>
      </c>
      <c r="Z122" s="2" t="s">
        <v>54</v>
      </c>
    </row>
    <row r="123" spans="1:26" x14ac:dyDescent="0.35">
      <c r="A123" s="2" t="s">
        <v>313</v>
      </c>
      <c r="B123" s="3">
        <v>45898</v>
      </c>
      <c r="C123" s="2" t="s">
        <v>314</v>
      </c>
      <c r="D123" s="2" t="s">
        <v>80</v>
      </c>
      <c r="E123" s="2" t="s">
        <v>29</v>
      </c>
      <c r="F123" s="2">
        <v>30</v>
      </c>
      <c r="G123" s="2" t="s">
        <v>48</v>
      </c>
      <c r="H123" s="2" t="s">
        <v>49</v>
      </c>
      <c r="I123" s="2" t="s">
        <v>48</v>
      </c>
      <c r="J123" s="2" t="s">
        <v>138</v>
      </c>
      <c r="K123" s="2">
        <v>2</v>
      </c>
      <c r="L123" s="2">
        <v>13003</v>
      </c>
      <c r="M123" s="2">
        <v>5</v>
      </c>
      <c r="N123" s="2">
        <v>1300.3</v>
      </c>
      <c r="O123" s="2">
        <v>4447.03</v>
      </c>
      <c r="P123" s="2">
        <v>199</v>
      </c>
      <c r="Q123" s="2">
        <v>29351.73</v>
      </c>
      <c r="R123" s="2" t="s">
        <v>33</v>
      </c>
      <c r="S123" s="2" t="s">
        <v>59</v>
      </c>
      <c r="T123" s="9" t="s">
        <v>1704</v>
      </c>
      <c r="U123" s="10" t="s">
        <v>52</v>
      </c>
      <c r="V123" s="2" t="s">
        <v>35</v>
      </c>
      <c r="W123" s="2">
        <v>1</v>
      </c>
      <c r="X123" s="2" t="s">
        <v>44</v>
      </c>
      <c r="Y123" s="2">
        <v>5</v>
      </c>
      <c r="Z123" s="2" t="s">
        <v>37</v>
      </c>
    </row>
    <row r="124" spans="1:26" x14ac:dyDescent="0.35">
      <c r="A124" s="2" t="s">
        <v>315</v>
      </c>
      <c r="B124" s="3">
        <v>45907</v>
      </c>
      <c r="C124" s="2" t="s">
        <v>316</v>
      </c>
      <c r="D124" s="2" t="s">
        <v>47</v>
      </c>
      <c r="E124" s="2" t="s">
        <v>41</v>
      </c>
      <c r="F124" s="2">
        <v>44</v>
      </c>
      <c r="G124" s="2" t="s">
        <v>69</v>
      </c>
      <c r="H124" s="2" t="s">
        <v>31</v>
      </c>
      <c r="I124" s="2" t="s">
        <v>69</v>
      </c>
      <c r="J124" s="2" t="s">
        <v>70</v>
      </c>
      <c r="K124" s="2">
        <v>5</v>
      </c>
      <c r="L124" s="2">
        <v>7255</v>
      </c>
      <c r="M124" s="2">
        <v>5</v>
      </c>
      <c r="N124" s="2">
        <v>1813.75</v>
      </c>
      <c r="O124" s="2">
        <v>6203.02</v>
      </c>
      <c r="P124" s="2">
        <v>388</v>
      </c>
      <c r="Q124" s="2">
        <v>41052.28</v>
      </c>
      <c r="R124" s="2" t="s">
        <v>43</v>
      </c>
      <c r="S124" s="2" t="s">
        <v>34</v>
      </c>
      <c r="T124" s="9" t="s">
        <v>1705</v>
      </c>
      <c r="U124" s="10" t="s">
        <v>1702</v>
      </c>
      <c r="V124" s="2" t="s">
        <v>53</v>
      </c>
      <c r="W124" s="2">
        <v>10</v>
      </c>
      <c r="X124" s="2" t="s">
        <v>44</v>
      </c>
      <c r="Y124" s="2">
        <v>2</v>
      </c>
      <c r="Z124" s="2" t="s">
        <v>54</v>
      </c>
    </row>
    <row r="125" spans="1:26" x14ac:dyDescent="0.35">
      <c r="A125" s="2" t="s">
        <v>317</v>
      </c>
      <c r="B125" s="3">
        <v>45897</v>
      </c>
      <c r="C125" s="2" t="s">
        <v>312</v>
      </c>
      <c r="D125" s="2" t="s">
        <v>99</v>
      </c>
      <c r="E125" s="2" t="s">
        <v>29</v>
      </c>
      <c r="F125" s="2">
        <v>39</v>
      </c>
      <c r="G125" s="2" t="s">
        <v>88</v>
      </c>
      <c r="H125" s="2" t="s">
        <v>49</v>
      </c>
      <c r="I125" s="2" t="s">
        <v>88</v>
      </c>
      <c r="J125" s="2" t="s">
        <v>100</v>
      </c>
      <c r="K125" s="2">
        <v>1</v>
      </c>
      <c r="L125" s="2">
        <v>31663</v>
      </c>
      <c r="M125" s="2">
        <v>5</v>
      </c>
      <c r="N125" s="2">
        <v>1583.15</v>
      </c>
      <c r="O125" s="2">
        <v>5414.37</v>
      </c>
      <c r="P125" s="2">
        <v>166</v>
      </c>
      <c r="Q125" s="2">
        <v>35660.22</v>
      </c>
      <c r="R125" s="2" t="s">
        <v>76</v>
      </c>
      <c r="S125" s="2" t="s">
        <v>34</v>
      </c>
      <c r="T125" s="9" t="s">
        <v>1705</v>
      </c>
      <c r="U125" s="10" t="s">
        <v>1702</v>
      </c>
      <c r="V125" s="2" t="s">
        <v>53</v>
      </c>
      <c r="W125" s="2">
        <v>1</v>
      </c>
      <c r="X125" s="2" t="s">
        <v>44</v>
      </c>
      <c r="Y125" s="2">
        <v>2</v>
      </c>
      <c r="Z125" s="2" t="s">
        <v>44</v>
      </c>
    </row>
    <row r="126" spans="1:26" x14ac:dyDescent="0.35">
      <c r="A126" s="2" t="s">
        <v>318</v>
      </c>
      <c r="B126" s="3">
        <v>45870</v>
      </c>
      <c r="C126" s="2" t="s">
        <v>319</v>
      </c>
      <c r="D126" s="2" t="s">
        <v>62</v>
      </c>
      <c r="E126" s="2" t="s">
        <v>29</v>
      </c>
      <c r="F126" s="2">
        <v>40</v>
      </c>
      <c r="G126" s="2" t="s">
        <v>88</v>
      </c>
      <c r="H126" s="2" t="s">
        <v>49</v>
      </c>
      <c r="I126" s="2" t="s">
        <v>88</v>
      </c>
      <c r="J126" s="2" t="s">
        <v>50</v>
      </c>
      <c r="K126" s="2">
        <v>2</v>
      </c>
      <c r="L126" s="2">
        <v>48930</v>
      </c>
      <c r="M126" s="2">
        <v>10</v>
      </c>
      <c r="N126" s="2">
        <v>9786</v>
      </c>
      <c r="O126" s="2">
        <v>15853.32</v>
      </c>
      <c r="P126" s="2">
        <v>400</v>
      </c>
      <c r="Q126" s="2">
        <v>104327.32</v>
      </c>
      <c r="R126" s="2" t="s">
        <v>76</v>
      </c>
      <c r="S126" s="2" t="s">
        <v>59</v>
      </c>
      <c r="T126" s="9" t="s">
        <v>1707</v>
      </c>
      <c r="U126" s="10" t="s">
        <v>1712</v>
      </c>
      <c r="V126" s="2" t="s">
        <v>53</v>
      </c>
      <c r="W126" s="2">
        <v>10</v>
      </c>
      <c r="X126" s="2" t="s">
        <v>36</v>
      </c>
      <c r="Y126" s="2">
        <v>1</v>
      </c>
      <c r="Z126" s="2" t="s">
        <v>54</v>
      </c>
    </row>
    <row r="127" spans="1:26" x14ac:dyDescent="0.35">
      <c r="A127" s="2" t="s">
        <v>320</v>
      </c>
      <c r="B127" s="3">
        <v>46079</v>
      </c>
      <c r="C127" s="2" t="s">
        <v>321</v>
      </c>
      <c r="D127" s="2" t="s">
        <v>47</v>
      </c>
      <c r="E127" s="2" t="s">
        <v>41</v>
      </c>
      <c r="F127" s="2">
        <v>42</v>
      </c>
      <c r="G127" s="2" t="s">
        <v>127</v>
      </c>
      <c r="H127" s="2" t="s">
        <v>31</v>
      </c>
      <c r="I127" s="2" t="s">
        <v>127</v>
      </c>
      <c r="J127" s="2" t="s">
        <v>113</v>
      </c>
      <c r="K127" s="2">
        <v>4</v>
      </c>
      <c r="L127" s="2">
        <v>11876</v>
      </c>
      <c r="M127" s="2">
        <v>20</v>
      </c>
      <c r="N127" s="2">
        <v>9500.7999999999993</v>
      </c>
      <c r="O127" s="2">
        <v>6840.58</v>
      </c>
      <c r="P127" s="2">
        <v>31</v>
      </c>
      <c r="Q127" s="2">
        <v>44874.78</v>
      </c>
      <c r="R127" s="2" t="s">
        <v>76</v>
      </c>
      <c r="S127" s="2" t="s">
        <v>34</v>
      </c>
      <c r="T127" s="9" t="s">
        <v>1703</v>
      </c>
      <c r="U127" s="10" t="s">
        <v>1701</v>
      </c>
      <c r="V127" s="2" t="s">
        <v>35</v>
      </c>
      <c r="W127" s="2">
        <v>3</v>
      </c>
      <c r="X127" s="2" t="s">
        <v>36</v>
      </c>
      <c r="Y127" s="2">
        <v>3</v>
      </c>
      <c r="Z127" s="2" t="s">
        <v>44</v>
      </c>
    </row>
    <row r="128" spans="1:26" x14ac:dyDescent="0.35">
      <c r="A128" s="2" t="s">
        <v>322</v>
      </c>
      <c r="B128" s="3">
        <v>46017</v>
      </c>
      <c r="C128" s="2" t="s">
        <v>323</v>
      </c>
      <c r="D128" s="2" t="s">
        <v>62</v>
      </c>
      <c r="E128" s="2" t="s">
        <v>29</v>
      </c>
      <c r="F128" s="2">
        <v>18</v>
      </c>
      <c r="G128" s="2" t="s">
        <v>48</v>
      </c>
      <c r="H128" s="2" t="s">
        <v>49</v>
      </c>
      <c r="I128" s="2" t="s">
        <v>48</v>
      </c>
      <c r="J128" s="2" t="s">
        <v>91</v>
      </c>
      <c r="K128" s="2">
        <v>3</v>
      </c>
      <c r="L128" s="2">
        <v>6898</v>
      </c>
      <c r="M128" s="2">
        <v>10</v>
      </c>
      <c r="N128" s="2">
        <v>2069.4</v>
      </c>
      <c r="O128" s="2">
        <v>3352.43</v>
      </c>
      <c r="P128" s="2">
        <v>417</v>
      </c>
      <c r="Q128" s="2">
        <v>22394.03</v>
      </c>
      <c r="R128" s="2" t="s">
        <v>76</v>
      </c>
      <c r="S128" s="2" t="s">
        <v>34</v>
      </c>
      <c r="T128" s="9" t="s">
        <v>1707</v>
      </c>
      <c r="U128" s="10" t="s">
        <v>1712</v>
      </c>
      <c r="V128" s="2" t="s">
        <v>53</v>
      </c>
      <c r="W128" s="2">
        <v>4</v>
      </c>
      <c r="X128" s="2" t="s">
        <v>36</v>
      </c>
      <c r="Y128" s="2">
        <v>2</v>
      </c>
      <c r="Z128" s="2" t="s">
        <v>37</v>
      </c>
    </row>
    <row r="129" spans="1:26" x14ac:dyDescent="0.35">
      <c r="A129" s="2" t="s">
        <v>324</v>
      </c>
      <c r="B129" s="3">
        <v>46114</v>
      </c>
      <c r="C129" s="2" t="s">
        <v>325</v>
      </c>
      <c r="D129" s="2" t="s">
        <v>47</v>
      </c>
      <c r="E129" s="2" t="s">
        <v>41</v>
      </c>
      <c r="F129" s="2">
        <v>33</v>
      </c>
      <c r="G129" s="2" t="s">
        <v>85</v>
      </c>
      <c r="H129" s="2" t="s">
        <v>31</v>
      </c>
      <c r="I129" s="2" t="s">
        <v>85</v>
      </c>
      <c r="J129" s="2" t="s">
        <v>65</v>
      </c>
      <c r="K129" s="2">
        <v>5</v>
      </c>
      <c r="L129" s="2">
        <v>27664</v>
      </c>
      <c r="M129" s="2">
        <v>0</v>
      </c>
      <c r="N129" s="2">
        <v>0</v>
      </c>
      <c r="O129" s="2">
        <v>24897.599999999999</v>
      </c>
      <c r="P129" s="2">
        <v>18</v>
      </c>
      <c r="Q129" s="2">
        <v>163235.6</v>
      </c>
      <c r="R129" s="2" t="s">
        <v>33</v>
      </c>
      <c r="S129" s="2" t="s">
        <v>59</v>
      </c>
      <c r="T129" s="9" t="s">
        <v>1710</v>
      </c>
      <c r="U129" s="10" t="s">
        <v>1711</v>
      </c>
      <c r="V129" s="2" t="s">
        <v>53</v>
      </c>
      <c r="W129" s="2">
        <v>10</v>
      </c>
      <c r="X129" s="2" t="s">
        <v>44</v>
      </c>
      <c r="Y129" s="2">
        <v>3</v>
      </c>
      <c r="Z129" s="2" t="s">
        <v>44</v>
      </c>
    </row>
    <row r="130" spans="1:26" x14ac:dyDescent="0.35">
      <c r="A130" s="2" t="s">
        <v>326</v>
      </c>
      <c r="B130" s="3">
        <v>45899</v>
      </c>
      <c r="C130" s="2" t="s">
        <v>327</v>
      </c>
      <c r="D130" s="2" t="s">
        <v>28</v>
      </c>
      <c r="E130" s="2" t="s">
        <v>41</v>
      </c>
      <c r="F130" s="2">
        <v>25</v>
      </c>
      <c r="G130" s="2" t="s">
        <v>69</v>
      </c>
      <c r="H130" s="2" t="s">
        <v>31</v>
      </c>
      <c r="I130" s="2" t="s">
        <v>69</v>
      </c>
      <c r="J130" s="2" t="s">
        <v>113</v>
      </c>
      <c r="K130" s="2">
        <v>5</v>
      </c>
      <c r="L130" s="2">
        <v>31878</v>
      </c>
      <c r="M130" s="2">
        <v>5</v>
      </c>
      <c r="N130" s="2">
        <v>7969.5</v>
      </c>
      <c r="O130" s="2">
        <v>27255.69</v>
      </c>
      <c r="P130" s="2">
        <v>288</v>
      </c>
      <c r="Q130" s="2">
        <v>178964.19</v>
      </c>
      <c r="R130" s="2" t="s">
        <v>43</v>
      </c>
      <c r="S130" s="2" t="s">
        <v>59</v>
      </c>
      <c r="T130" s="9" t="s">
        <v>1709</v>
      </c>
      <c r="U130" s="10" t="s">
        <v>52</v>
      </c>
      <c r="V130" s="2" t="s">
        <v>53</v>
      </c>
      <c r="W130" s="2">
        <v>7</v>
      </c>
      <c r="X130" s="2" t="s">
        <v>36</v>
      </c>
      <c r="Y130" s="2">
        <v>4</v>
      </c>
      <c r="Z130" s="2" t="s">
        <v>44</v>
      </c>
    </row>
    <row r="131" spans="1:26" x14ac:dyDescent="0.35">
      <c r="A131" s="2" t="s">
        <v>328</v>
      </c>
      <c r="B131" s="3">
        <v>46019</v>
      </c>
      <c r="C131" s="2" t="s">
        <v>329</v>
      </c>
      <c r="D131" s="2" t="s">
        <v>80</v>
      </c>
      <c r="E131" s="2" t="s">
        <v>29</v>
      </c>
      <c r="F131" s="2">
        <v>40</v>
      </c>
      <c r="G131" s="2" t="s">
        <v>127</v>
      </c>
      <c r="H131" s="2" t="s">
        <v>31</v>
      </c>
      <c r="I131" s="2" t="s">
        <v>127</v>
      </c>
      <c r="J131" s="2" t="s">
        <v>100</v>
      </c>
      <c r="K131" s="2">
        <v>2</v>
      </c>
      <c r="L131" s="2">
        <v>33074</v>
      </c>
      <c r="M131" s="2">
        <v>10</v>
      </c>
      <c r="N131" s="2">
        <v>6614.8</v>
      </c>
      <c r="O131" s="2">
        <v>10715.98</v>
      </c>
      <c r="P131" s="2">
        <v>377</v>
      </c>
      <c r="Q131" s="2">
        <v>70626.179999999993</v>
      </c>
      <c r="R131" s="2" t="s">
        <v>33</v>
      </c>
      <c r="S131" s="2" t="s">
        <v>34</v>
      </c>
      <c r="T131" s="9" t="s">
        <v>1710</v>
      </c>
      <c r="U131" s="10" t="s">
        <v>1711</v>
      </c>
      <c r="V131" s="2" t="s">
        <v>53</v>
      </c>
      <c r="W131" s="2">
        <v>4</v>
      </c>
      <c r="X131" s="2" t="s">
        <v>44</v>
      </c>
      <c r="Y131" s="2">
        <v>3</v>
      </c>
      <c r="Z131" s="2" t="s">
        <v>37</v>
      </c>
    </row>
    <row r="132" spans="1:26" x14ac:dyDescent="0.35">
      <c r="A132" s="2" t="s">
        <v>330</v>
      </c>
      <c r="B132" s="3">
        <v>46112</v>
      </c>
      <c r="C132" s="2" t="s">
        <v>331</v>
      </c>
      <c r="D132" s="2" t="s">
        <v>96</v>
      </c>
      <c r="E132" s="2" t="s">
        <v>29</v>
      </c>
      <c r="F132" s="2">
        <v>29</v>
      </c>
      <c r="G132" s="2" t="s">
        <v>122</v>
      </c>
      <c r="H132" s="2" t="s">
        <v>31</v>
      </c>
      <c r="I132" s="2" t="s">
        <v>122</v>
      </c>
      <c r="J132" s="2" t="s">
        <v>91</v>
      </c>
      <c r="K132" s="2">
        <v>1</v>
      </c>
      <c r="L132" s="2">
        <v>24321</v>
      </c>
      <c r="M132" s="2">
        <v>10</v>
      </c>
      <c r="N132" s="2">
        <v>2432.1</v>
      </c>
      <c r="O132" s="2">
        <v>3940</v>
      </c>
      <c r="P132" s="2">
        <v>350</v>
      </c>
      <c r="Q132" s="2">
        <v>26178.9</v>
      </c>
      <c r="R132" s="2" t="s">
        <v>43</v>
      </c>
      <c r="S132" s="2" t="s">
        <v>59</v>
      </c>
      <c r="T132" s="9" t="s">
        <v>1710</v>
      </c>
      <c r="U132" s="10" t="s">
        <v>1711</v>
      </c>
      <c r="V132" s="2" t="s">
        <v>53</v>
      </c>
      <c r="W132" s="2">
        <v>3</v>
      </c>
      <c r="X132" s="2" t="s">
        <v>44</v>
      </c>
      <c r="Y132" s="2">
        <v>5</v>
      </c>
      <c r="Z132" s="2" t="s">
        <v>37</v>
      </c>
    </row>
    <row r="133" spans="1:26" x14ac:dyDescent="0.35">
      <c r="A133" s="2" t="s">
        <v>332</v>
      </c>
      <c r="B133" s="3">
        <v>45800</v>
      </c>
      <c r="C133" s="2" t="s">
        <v>333</v>
      </c>
      <c r="D133" s="2" t="s">
        <v>96</v>
      </c>
      <c r="E133" s="2" t="s">
        <v>29</v>
      </c>
      <c r="F133" s="2">
        <v>45</v>
      </c>
      <c r="G133" s="2" t="s">
        <v>69</v>
      </c>
      <c r="H133" s="2" t="s">
        <v>31</v>
      </c>
      <c r="I133" s="2" t="s">
        <v>69</v>
      </c>
      <c r="J133" s="2" t="s">
        <v>138</v>
      </c>
      <c r="K133" s="2">
        <v>4</v>
      </c>
      <c r="L133" s="2">
        <v>42895</v>
      </c>
      <c r="M133" s="2">
        <v>15</v>
      </c>
      <c r="N133" s="2">
        <v>25737</v>
      </c>
      <c r="O133" s="2">
        <v>26251.74</v>
      </c>
      <c r="P133" s="2">
        <v>98</v>
      </c>
      <c r="Q133" s="2">
        <v>172192.74</v>
      </c>
      <c r="R133" s="2" t="s">
        <v>76</v>
      </c>
      <c r="S133" s="2" t="s">
        <v>34</v>
      </c>
      <c r="T133" s="9" t="s">
        <v>1709</v>
      </c>
      <c r="U133" s="10" t="s">
        <v>52</v>
      </c>
      <c r="V133" s="2" t="s">
        <v>53</v>
      </c>
      <c r="W133" s="2">
        <v>9</v>
      </c>
      <c r="X133" s="2" t="s">
        <v>44</v>
      </c>
      <c r="Y133" s="2">
        <v>1</v>
      </c>
      <c r="Z133" s="2" t="s">
        <v>82</v>
      </c>
    </row>
    <row r="134" spans="1:26" x14ac:dyDescent="0.35">
      <c r="A134" s="2" t="s">
        <v>334</v>
      </c>
      <c r="B134" s="3">
        <v>46058</v>
      </c>
      <c r="C134" s="2" t="s">
        <v>335</v>
      </c>
      <c r="D134" s="2" t="s">
        <v>28</v>
      </c>
      <c r="E134" s="2" t="s">
        <v>29</v>
      </c>
      <c r="F134" s="2">
        <v>58</v>
      </c>
      <c r="G134" s="2" t="s">
        <v>42</v>
      </c>
      <c r="H134" s="2" t="s">
        <v>31</v>
      </c>
      <c r="I134" s="2" t="s">
        <v>42</v>
      </c>
      <c r="J134" s="2" t="s">
        <v>113</v>
      </c>
      <c r="K134" s="2">
        <v>5</v>
      </c>
      <c r="L134" s="2">
        <v>48980</v>
      </c>
      <c r="M134" s="2">
        <v>0</v>
      </c>
      <c r="N134" s="2">
        <v>0</v>
      </c>
      <c r="O134" s="2">
        <v>44082</v>
      </c>
      <c r="P134" s="2">
        <v>96</v>
      </c>
      <c r="Q134" s="2">
        <v>289078</v>
      </c>
      <c r="R134" s="2" t="s">
        <v>76</v>
      </c>
      <c r="S134" s="2" t="s">
        <v>34</v>
      </c>
      <c r="T134" s="9" t="s">
        <v>1707</v>
      </c>
      <c r="U134" s="10" t="s">
        <v>1712</v>
      </c>
      <c r="V134" s="2" t="s">
        <v>53</v>
      </c>
      <c r="W134" s="2">
        <v>5</v>
      </c>
      <c r="X134" s="2" t="s">
        <v>44</v>
      </c>
      <c r="Y134" s="2">
        <v>2</v>
      </c>
      <c r="Z134" s="2" t="s">
        <v>44</v>
      </c>
    </row>
    <row r="135" spans="1:26" x14ac:dyDescent="0.35">
      <c r="A135" s="2" t="s">
        <v>336</v>
      </c>
      <c r="B135" s="3">
        <v>45852</v>
      </c>
      <c r="C135" s="2" t="s">
        <v>214</v>
      </c>
      <c r="D135" s="2" t="s">
        <v>47</v>
      </c>
      <c r="E135" s="2" t="s">
        <v>41</v>
      </c>
      <c r="F135" s="2">
        <v>33</v>
      </c>
      <c r="G135" s="2" t="s">
        <v>122</v>
      </c>
      <c r="H135" s="2" t="s">
        <v>31</v>
      </c>
      <c r="I135" s="2" t="s">
        <v>122</v>
      </c>
      <c r="J135" s="2" t="s">
        <v>138</v>
      </c>
      <c r="K135" s="2">
        <v>1</v>
      </c>
      <c r="L135" s="2">
        <v>49527</v>
      </c>
      <c r="M135" s="2">
        <v>0</v>
      </c>
      <c r="N135" s="2">
        <v>0</v>
      </c>
      <c r="O135" s="2">
        <v>8914.86</v>
      </c>
      <c r="P135" s="2">
        <v>456</v>
      </c>
      <c r="Q135" s="2">
        <v>58897.86</v>
      </c>
      <c r="R135" s="2" t="s">
        <v>51</v>
      </c>
      <c r="S135" s="2" t="s">
        <v>34</v>
      </c>
      <c r="T135" s="9" t="s">
        <v>1704</v>
      </c>
      <c r="U135" s="10" t="s">
        <v>52</v>
      </c>
      <c r="V135" s="2" t="s">
        <v>35</v>
      </c>
      <c r="W135" s="2">
        <v>5</v>
      </c>
      <c r="X135" s="2" t="s">
        <v>44</v>
      </c>
      <c r="Y135" s="2">
        <v>5</v>
      </c>
      <c r="Z135" s="2" t="s">
        <v>44</v>
      </c>
    </row>
    <row r="136" spans="1:26" x14ac:dyDescent="0.35">
      <c r="A136" s="2" t="s">
        <v>337</v>
      </c>
      <c r="B136" s="3">
        <v>45771</v>
      </c>
      <c r="C136" s="2" t="s">
        <v>338</v>
      </c>
      <c r="D136" s="2" t="s">
        <v>68</v>
      </c>
      <c r="E136" s="2" t="s">
        <v>29</v>
      </c>
      <c r="F136" s="2">
        <v>55</v>
      </c>
      <c r="G136" s="2" t="s">
        <v>122</v>
      </c>
      <c r="H136" s="2" t="s">
        <v>31</v>
      </c>
      <c r="I136" s="2" t="s">
        <v>122</v>
      </c>
      <c r="J136" s="2" t="s">
        <v>91</v>
      </c>
      <c r="K136" s="2">
        <v>4</v>
      </c>
      <c r="L136" s="2">
        <v>24297</v>
      </c>
      <c r="M136" s="2">
        <v>5</v>
      </c>
      <c r="N136" s="2">
        <v>4859.3999999999996</v>
      </c>
      <c r="O136" s="2">
        <v>16619.150000000001</v>
      </c>
      <c r="P136" s="2">
        <v>167</v>
      </c>
      <c r="Q136" s="2">
        <v>109114.75</v>
      </c>
      <c r="R136" s="2" t="s">
        <v>43</v>
      </c>
      <c r="S136" s="2" t="s">
        <v>34</v>
      </c>
      <c r="T136" s="9" t="s">
        <v>1709</v>
      </c>
      <c r="U136" s="10" t="s">
        <v>52</v>
      </c>
      <c r="V136" s="2" t="s">
        <v>53</v>
      </c>
      <c r="W136" s="2">
        <v>5</v>
      </c>
      <c r="X136" s="2" t="s">
        <v>36</v>
      </c>
      <c r="Y136" s="2">
        <v>1</v>
      </c>
      <c r="Z136" s="2" t="s">
        <v>37</v>
      </c>
    </row>
    <row r="137" spans="1:26" x14ac:dyDescent="0.35">
      <c r="A137" s="2" t="s">
        <v>339</v>
      </c>
      <c r="B137" s="3">
        <v>45793</v>
      </c>
      <c r="C137" s="2" t="s">
        <v>340</v>
      </c>
      <c r="D137" s="2" t="s">
        <v>73</v>
      </c>
      <c r="E137" s="2" t="s">
        <v>41</v>
      </c>
      <c r="F137" s="2">
        <v>57</v>
      </c>
      <c r="G137" s="2" t="s">
        <v>69</v>
      </c>
      <c r="H137" s="2" t="s">
        <v>31</v>
      </c>
      <c r="I137" s="2" t="s">
        <v>69</v>
      </c>
      <c r="J137" s="2" t="s">
        <v>100</v>
      </c>
      <c r="K137" s="2">
        <v>5</v>
      </c>
      <c r="L137" s="2">
        <v>47683</v>
      </c>
      <c r="M137" s="2">
        <v>5</v>
      </c>
      <c r="N137" s="2">
        <v>11920.75</v>
      </c>
      <c r="O137" s="2">
        <v>40768.959999999999</v>
      </c>
      <c r="P137" s="2">
        <v>420</v>
      </c>
      <c r="Q137" s="2">
        <v>267683.21000000002</v>
      </c>
      <c r="R137" s="2" t="s">
        <v>33</v>
      </c>
      <c r="S137" s="2" t="s">
        <v>34</v>
      </c>
      <c r="T137" s="9" t="s">
        <v>1710</v>
      </c>
      <c r="U137" s="10" t="s">
        <v>1711</v>
      </c>
      <c r="V137" s="2" t="s">
        <v>53</v>
      </c>
      <c r="W137" s="2">
        <v>4</v>
      </c>
      <c r="X137" s="2" t="s">
        <v>44</v>
      </c>
      <c r="Y137" s="2">
        <v>4</v>
      </c>
      <c r="Z137" s="2" t="s">
        <v>37</v>
      </c>
    </row>
    <row r="138" spans="1:26" x14ac:dyDescent="0.35">
      <c r="A138" s="2" t="s">
        <v>341</v>
      </c>
      <c r="B138" s="3">
        <v>45910</v>
      </c>
      <c r="C138" s="2" t="s">
        <v>342</v>
      </c>
      <c r="D138" s="2" t="s">
        <v>57</v>
      </c>
      <c r="E138" s="2" t="s">
        <v>41</v>
      </c>
      <c r="F138" s="2">
        <v>59</v>
      </c>
      <c r="G138" s="2" t="s">
        <v>42</v>
      </c>
      <c r="H138" s="2" t="s">
        <v>31</v>
      </c>
      <c r="I138" s="2" t="s">
        <v>42</v>
      </c>
      <c r="J138" s="2" t="s">
        <v>190</v>
      </c>
      <c r="K138" s="2">
        <v>3</v>
      </c>
      <c r="L138" s="2">
        <v>48486</v>
      </c>
      <c r="M138" s="2">
        <v>0</v>
      </c>
      <c r="N138" s="2">
        <v>0</v>
      </c>
      <c r="O138" s="2">
        <v>26182.44</v>
      </c>
      <c r="P138" s="2">
        <v>460</v>
      </c>
      <c r="Q138" s="2">
        <v>172100.44</v>
      </c>
      <c r="R138" s="2" t="s">
        <v>51</v>
      </c>
      <c r="S138" s="2" t="s">
        <v>34</v>
      </c>
      <c r="T138" s="9" t="s">
        <v>1708</v>
      </c>
      <c r="U138" s="10" t="s">
        <v>52</v>
      </c>
      <c r="V138" s="2" t="s">
        <v>77</v>
      </c>
      <c r="W138" s="2">
        <v>6</v>
      </c>
      <c r="X138" s="2" t="s">
        <v>36</v>
      </c>
      <c r="Y138" s="2">
        <v>2</v>
      </c>
      <c r="Z138" s="2" t="s">
        <v>54</v>
      </c>
    </row>
    <row r="139" spans="1:26" x14ac:dyDescent="0.35">
      <c r="A139" s="2" t="s">
        <v>343</v>
      </c>
      <c r="B139" s="3">
        <v>45844</v>
      </c>
      <c r="C139" s="2" t="s">
        <v>344</v>
      </c>
      <c r="D139" s="2" t="s">
        <v>73</v>
      </c>
      <c r="E139" s="2" t="s">
        <v>41</v>
      </c>
      <c r="F139" s="2">
        <v>18</v>
      </c>
      <c r="G139" s="2" t="s">
        <v>69</v>
      </c>
      <c r="H139" s="2" t="s">
        <v>31</v>
      </c>
      <c r="I139" s="2" t="s">
        <v>69</v>
      </c>
      <c r="J139" s="2" t="s">
        <v>58</v>
      </c>
      <c r="K139" s="2">
        <v>4</v>
      </c>
      <c r="L139" s="2">
        <v>35587</v>
      </c>
      <c r="M139" s="2">
        <v>10</v>
      </c>
      <c r="N139" s="2">
        <v>14234.8</v>
      </c>
      <c r="O139" s="2">
        <v>23060.38</v>
      </c>
      <c r="P139" s="2">
        <v>243</v>
      </c>
      <c r="Q139" s="2">
        <v>151416.57999999999</v>
      </c>
      <c r="R139" s="2" t="s">
        <v>76</v>
      </c>
      <c r="S139" s="2" t="s">
        <v>34</v>
      </c>
      <c r="T139" s="9" t="s">
        <v>1706</v>
      </c>
      <c r="U139" s="10" t="s">
        <v>52</v>
      </c>
      <c r="V139" s="2" t="s">
        <v>53</v>
      </c>
      <c r="W139" s="2">
        <v>3</v>
      </c>
      <c r="X139" s="2" t="s">
        <v>36</v>
      </c>
      <c r="Y139" s="2">
        <v>4</v>
      </c>
      <c r="Z139" s="2" t="s">
        <v>82</v>
      </c>
    </row>
    <row r="140" spans="1:26" x14ac:dyDescent="0.35">
      <c r="A140" s="2" t="s">
        <v>345</v>
      </c>
      <c r="B140" s="3">
        <v>45870</v>
      </c>
      <c r="C140" s="2" t="s">
        <v>321</v>
      </c>
      <c r="D140" s="2" t="s">
        <v>28</v>
      </c>
      <c r="E140" s="2" t="s">
        <v>41</v>
      </c>
      <c r="F140" s="2">
        <v>47</v>
      </c>
      <c r="G140" s="2" t="s">
        <v>81</v>
      </c>
      <c r="H140" s="2" t="s">
        <v>31</v>
      </c>
      <c r="I140" s="2" t="s">
        <v>81</v>
      </c>
      <c r="J140" s="2" t="s">
        <v>138</v>
      </c>
      <c r="K140" s="2">
        <v>5</v>
      </c>
      <c r="L140" s="2">
        <v>38537</v>
      </c>
      <c r="M140" s="2">
        <v>20</v>
      </c>
      <c r="N140" s="2">
        <v>38537</v>
      </c>
      <c r="O140" s="2">
        <v>27746.639999999999</v>
      </c>
      <c r="P140" s="2">
        <v>428</v>
      </c>
      <c r="Q140" s="2">
        <v>182322.64</v>
      </c>
      <c r="R140" s="2" t="s">
        <v>51</v>
      </c>
      <c r="S140" s="2" t="s">
        <v>59</v>
      </c>
      <c r="T140" s="9" t="s">
        <v>1708</v>
      </c>
      <c r="U140" s="10" t="s">
        <v>52</v>
      </c>
      <c r="V140" s="2" t="s">
        <v>77</v>
      </c>
      <c r="W140" s="2">
        <v>8</v>
      </c>
      <c r="X140" s="2" t="s">
        <v>36</v>
      </c>
      <c r="Y140" s="2">
        <v>1</v>
      </c>
      <c r="Z140" s="2" t="s">
        <v>82</v>
      </c>
    </row>
    <row r="141" spans="1:26" x14ac:dyDescent="0.35">
      <c r="A141" s="2" t="s">
        <v>346</v>
      </c>
      <c r="B141" s="3">
        <v>46021</v>
      </c>
      <c r="C141" s="2" t="s">
        <v>268</v>
      </c>
      <c r="D141" s="2" t="s">
        <v>40</v>
      </c>
      <c r="E141" s="2" t="s">
        <v>29</v>
      </c>
      <c r="F141" s="2">
        <v>18</v>
      </c>
      <c r="G141" s="2" t="s">
        <v>81</v>
      </c>
      <c r="H141" s="2" t="s">
        <v>31</v>
      </c>
      <c r="I141" s="2" t="s">
        <v>81</v>
      </c>
      <c r="J141" s="2" t="s">
        <v>113</v>
      </c>
      <c r="K141" s="2">
        <v>5</v>
      </c>
      <c r="L141" s="2">
        <v>2675</v>
      </c>
      <c r="M141" s="2">
        <v>15</v>
      </c>
      <c r="N141" s="2">
        <v>2006.25</v>
      </c>
      <c r="O141" s="2">
        <v>2046.38</v>
      </c>
      <c r="P141" s="2">
        <v>318</v>
      </c>
      <c r="Q141" s="2">
        <v>13733.12</v>
      </c>
      <c r="R141" s="2" t="s">
        <v>33</v>
      </c>
      <c r="S141" s="2" t="s">
        <v>34</v>
      </c>
      <c r="T141" s="9" t="s">
        <v>1704</v>
      </c>
      <c r="U141" s="10" t="s">
        <v>52</v>
      </c>
      <c r="V141" s="2" t="s">
        <v>35</v>
      </c>
      <c r="W141" s="2">
        <v>3</v>
      </c>
      <c r="X141" s="2" t="s">
        <v>44</v>
      </c>
      <c r="Y141" s="2">
        <v>1</v>
      </c>
      <c r="Z141" s="2" t="s">
        <v>54</v>
      </c>
    </row>
    <row r="142" spans="1:26" x14ac:dyDescent="0.35">
      <c r="A142" s="2" t="s">
        <v>347</v>
      </c>
      <c r="B142" s="3">
        <v>45776</v>
      </c>
      <c r="C142" s="2" t="s">
        <v>348</v>
      </c>
      <c r="D142" s="2" t="s">
        <v>73</v>
      </c>
      <c r="E142" s="2" t="s">
        <v>41</v>
      </c>
      <c r="F142" s="2">
        <v>43</v>
      </c>
      <c r="G142" s="2" t="s">
        <v>63</v>
      </c>
      <c r="H142" s="2" t="s">
        <v>64</v>
      </c>
      <c r="I142" s="2" t="s">
        <v>63</v>
      </c>
      <c r="J142" s="2" t="s">
        <v>138</v>
      </c>
      <c r="K142" s="2">
        <v>3</v>
      </c>
      <c r="L142" s="2">
        <v>31905</v>
      </c>
      <c r="M142" s="2">
        <v>5</v>
      </c>
      <c r="N142" s="2">
        <v>4785.75</v>
      </c>
      <c r="O142" s="2">
        <v>16367.26</v>
      </c>
      <c r="P142" s="2">
        <v>396</v>
      </c>
      <c r="Q142" s="2">
        <v>107692.51</v>
      </c>
      <c r="R142" s="2" t="s">
        <v>76</v>
      </c>
      <c r="S142" s="2" t="s">
        <v>59</v>
      </c>
      <c r="T142" s="9" t="s">
        <v>1706</v>
      </c>
      <c r="U142" s="10" t="s">
        <v>52</v>
      </c>
      <c r="V142" s="2" t="s">
        <v>53</v>
      </c>
      <c r="W142" s="2">
        <v>2</v>
      </c>
      <c r="X142" s="2" t="s">
        <v>44</v>
      </c>
      <c r="Y142" s="2">
        <v>5</v>
      </c>
      <c r="Z142" s="2" t="s">
        <v>54</v>
      </c>
    </row>
    <row r="143" spans="1:26" x14ac:dyDescent="0.35">
      <c r="A143" s="2" t="s">
        <v>349</v>
      </c>
      <c r="B143" s="3">
        <v>45869</v>
      </c>
      <c r="C143" s="2" t="s">
        <v>93</v>
      </c>
      <c r="D143" s="2" t="s">
        <v>28</v>
      </c>
      <c r="E143" s="2" t="s">
        <v>41</v>
      </c>
      <c r="F143" s="2">
        <v>60</v>
      </c>
      <c r="G143" s="2" t="s">
        <v>81</v>
      </c>
      <c r="H143" s="2" t="s">
        <v>31</v>
      </c>
      <c r="I143" s="2" t="s">
        <v>81</v>
      </c>
      <c r="J143" s="2" t="s">
        <v>190</v>
      </c>
      <c r="K143" s="2">
        <v>1</v>
      </c>
      <c r="L143" s="2">
        <v>37253</v>
      </c>
      <c r="M143" s="2">
        <v>5</v>
      </c>
      <c r="N143" s="2">
        <v>1862.65</v>
      </c>
      <c r="O143" s="2">
        <v>6370.26</v>
      </c>
      <c r="P143" s="2">
        <v>234</v>
      </c>
      <c r="Q143" s="2">
        <v>41994.61</v>
      </c>
      <c r="R143" s="2" t="s">
        <v>43</v>
      </c>
      <c r="S143" s="2" t="s">
        <v>34</v>
      </c>
      <c r="T143" s="9" t="s">
        <v>1707</v>
      </c>
      <c r="U143" s="10" t="s">
        <v>1712</v>
      </c>
      <c r="V143" s="2" t="s">
        <v>53</v>
      </c>
      <c r="W143" s="2">
        <v>4</v>
      </c>
      <c r="X143" s="2" t="s">
        <v>36</v>
      </c>
      <c r="Y143" s="2">
        <v>1</v>
      </c>
      <c r="Z143" s="2" t="s">
        <v>37</v>
      </c>
    </row>
    <row r="144" spans="1:26" x14ac:dyDescent="0.35">
      <c r="A144" s="2" t="s">
        <v>350</v>
      </c>
      <c r="B144" s="3">
        <v>45941</v>
      </c>
      <c r="C144" s="2" t="s">
        <v>340</v>
      </c>
      <c r="D144" s="2" t="s">
        <v>73</v>
      </c>
      <c r="E144" s="2" t="s">
        <v>29</v>
      </c>
      <c r="F144" s="2">
        <v>24</v>
      </c>
      <c r="G144" s="2" t="s">
        <v>69</v>
      </c>
      <c r="H144" s="2" t="s">
        <v>31</v>
      </c>
      <c r="I144" s="2" t="s">
        <v>69</v>
      </c>
      <c r="J144" s="2" t="s">
        <v>100</v>
      </c>
      <c r="K144" s="2">
        <v>1</v>
      </c>
      <c r="L144" s="2">
        <v>7447</v>
      </c>
      <c r="M144" s="2">
        <v>20</v>
      </c>
      <c r="N144" s="2">
        <v>1489.4</v>
      </c>
      <c r="O144" s="2">
        <v>1072.3699999999999</v>
      </c>
      <c r="P144" s="2">
        <v>383</v>
      </c>
      <c r="Q144" s="2">
        <v>7412.97</v>
      </c>
      <c r="R144" s="2" t="s">
        <v>33</v>
      </c>
      <c r="S144" s="2" t="s">
        <v>34</v>
      </c>
      <c r="T144" s="9" t="s">
        <v>1710</v>
      </c>
      <c r="U144" s="10" t="s">
        <v>1711</v>
      </c>
      <c r="V144" s="2" t="s">
        <v>53</v>
      </c>
      <c r="W144" s="2">
        <v>6</v>
      </c>
      <c r="X144" s="2" t="s">
        <v>36</v>
      </c>
      <c r="Y144" s="2">
        <v>5</v>
      </c>
      <c r="Z144" s="2" t="s">
        <v>82</v>
      </c>
    </row>
    <row r="145" spans="1:26" x14ac:dyDescent="0.35">
      <c r="A145" s="2" t="s">
        <v>351</v>
      </c>
      <c r="B145" s="3">
        <v>45831</v>
      </c>
      <c r="C145" s="2" t="s">
        <v>352</v>
      </c>
      <c r="D145" s="2" t="s">
        <v>28</v>
      </c>
      <c r="E145" s="2" t="s">
        <v>29</v>
      </c>
      <c r="F145" s="2">
        <v>27</v>
      </c>
      <c r="G145" s="2" t="s">
        <v>85</v>
      </c>
      <c r="H145" s="2" t="s">
        <v>31</v>
      </c>
      <c r="I145" s="2" t="s">
        <v>85</v>
      </c>
      <c r="J145" s="2" t="s">
        <v>100</v>
      </c>
      <c r="K145" s="2">
        <v>3</v>
      </c>
      <c r="L145" s="2">
        <v>2465</v>
      </c>
      <c r="M145" s="2">
        <v>5</v>
      </c>
      <c r="N145" s="2">
        <v>369.75</v>
      </c>
      <c r="O145" s="2">
        <v>1264.54</v>
      </c>
      <c r="P145" s="2">
        <v>407</v>
      </c>
      <c r="Q145" s="2">
        <v>8696.7999999999993</v>
      </c>
      <c r="R145" s="2" t="s">
        <v>33</v>
      </c>
      <c r="S145" s="2" t="s">
        <v>59</v>
      </c>
      <c r="T145" s="9" t="s">
        <v>1706</v>
      </c>
      <c r="U145" s="10" t="s">
        <v>52</v>
      </c>
      <c r="V145" s="2" t="s">
        <v>53</v>
      </c>
      <c r="W145" s="2">
        <v>5</v>
      </c>
      <c r="X145" s="2" t="s">
        <v>44</v>
      </c>
      <c r="Y145" s="2">
        <v>5</v>
      </c>
      <c r="Z145" s="2" t="s">
        <v>44</v>
      </c>
    </row>
    <row r="146" spans="1:26" x14ac:dyDescent="0.35">
      <c r="A146" s="2" t="s">
        <v>353</v>
      </c>
      <c r="B146" s="3">
        <v>45857</v>
      </c>
      <c r="C146" s="2" t="s">
        <v>354</v>
      </c>
      <c r="D146" s="2" t="s">
        <v>73</v>
      </c>
      <c r="E146" s="2" t="s">
        <v>41</v>
      </c>
      <c r="F146" s="2">
        <v>52</v>
      </c>
      <c r="G146" s="2" t="s">
        <v>85</v>
      </c>
      <c r="H146" s="2" t="s">
        <v>31</v>
      </c>
      <c r="I146" s="2" t="s">
        <v>85</v>
      </c>
      <c r="J146" s="2" t="s">
        <v>70</v>
      </c>
      <c r="K146" s="2">
        <v>2</v>
      </c>
      <c r="L146" s="2">
        <v>43125</v>
      </c>
      <c r="M146" s="2">
        <v>10</v>
      </c>
      <c r="N146" s="2">
        <v>8625</v>
      </c>
      <c r="O146" s="2">
        <v>13972.5</v>
      </c>
      <c r="P146" s="2">
        <v>153</v>
      </c>
      <c r="Q146" s="2">
        <v>91750.5</v>
      </c>
      <c r="R146" s="2" t="s">
        <v>33</v>
      </c>
      <c r="S146" s="2" t="s">
        <v>59</v>
      </c>
      <c r="T146" s="9" t="s">
        <v>1709</v>
      </c>
      <c r="U146" s="10" t="s">
        <v>52</v>
      </c>
      <c r="V146" s="2" t="s">
        <v>53</v>
      </c>
      <c r="W146" s="2">
        <v>5</v>
      </c>
      <c r="X146" s="2" t="s">
        <v>44</v>
      </c>
      <c r="Y146" s="2">
        <v>2</v>
      </c>
      <c r="Z146" s="2" t="s">
        <v>44</v>
      </c>
    </row>
    <row r="147" spans="1:26" x14ac:dyDescent="0.35">
      <c r="A147" s="2" t="s">
        <v>355</v>
      </c>
      <c r="B147" s="3">
        <v>45786</v>
      </c>
      <c r="C147" s="2" t="s">
        <v>356</v>
      </c>
      <c r="D147" s="2" t="s">
        <v>68</v>
      </c>
      <c r="E147" s="2" t="s">
        <v>41</v>
      </c>
      <c r="F147" s="2">
        <v>48</v>
      </c>
      <c r="G147" s="2" t="s">
        <v>81</v>
      </c>
      <c r="H147" s="2" t="s">
        <v>31</v>
      </c>
      <c r="I147" s="2" t="s">
        <v>81</v>
      </c>
      <c r="J147" s="2" t="s">
        <v>113</v>
      </c>
      <c r="K147" s="2">
        <v>2</v>
      </c>
      <c r="L147" s="2">
        <v>25854</v>
      </c>
      <c r="M147" s="2">
        <v>15</v>
      </c>
      <c r="N147" s="2">
        <v>7756.2</v>
      </c>
      <c r="O147" s="2">
        <v>7911.32</v>
      </c>
      <c r="P147" s="2">
        <v>26</v>
      </c>
      <c r="Q147" s="2">
        <v>51889.120000000003</v>
      </c>
      <c r="R147" s="2" t="s">
        <v>51</v>
      </c>
      <c r="S147" s="2" t="s">
        <v>59</v>
      </c>
      <c r="T147" s="9" t="s">
        <v>1706</v>
      </c>
      <c r="U147" s="10" t="s">
        <v>52</v>
      </c>
      <c r="V147" s="2" t="s">
        <v>53</v>
      </c>
      <c r="W147" s="2">
        <v>1</v>
      </c>
      <c r="X147" s="2" t="s">
        <v>44</v>
      </c>
      <c r="Y147" s="2">
        <v>5</v>
      </c>
      <c r="Z147" s="2" t="s">
        <v>54</v>
      </c>
    </row>
    <row r="148" spans="1:26" x14ac:dyDescent="0.35">
      <c r="A148" s="2" t="s">
        <v>357</v>
      </c>
      <c r="B148" s="3">
        <v>45939</v>
      </c>
      <c r="C148" s="2" t="s">
        <v>358</v>
      </c>
      <c r="D148" s="2" t="s">
        <v>73</v>
      </c>
      <c r="E148" s="2" t="s">
        <v>41</v>
      </c>
      <c r="F148" s="2">
        <v>24</v>
      </c>
      <c r="G148" s="2" t="s">
        <v>42</v>
      </c>
      <c r="H148" s="2" t="s">
        <v>31</v>
      </c>
      <c r="I148" s="2" t="s">
        <v>42</v>
      </c>
      <c r="J148" s="2" t="s">
        <v>50</v>
      </c>
      <c r="K148" s="2">
        <v>4</v>
      </c>
      <c r="L148" s="2">
        <v>24413</v>
      </c>
      <c r="M148" s="2">
        <v>0</v>
      </c>
      <c r="N148" s="2">
        <v>0</v>
      </c>
      <c r="O148" s="2">
        <v>17577.36</v>
      </c>
      <c r="P148" s="2">
        <v>0</v>
      </c>
      <c r="Q148" s="2">
        <v>115229.36</v>
      </c>
      <c r="R148" s="2" t="s">
        <v>51</v>
      </c>
      <c r="S148" s="2" t="s">
        <v>59</v>
      </c>
      <c r="T148" s="9" t="s">
        <v>1703</v>
      </c>
      <c r="U148" s="10" t="s">
        <v>1701</v>
      </c>
      <c r="V148" s="2" t="s">
        <v>35</v>
      </c>
      <c r="W148" s="2">
        <v>2</v>
      </c>
      <c r="X148" s="2" t="s">
        <v>36</v>
      </c>
      <c r="Y148" s="2">
        <v>1</v>
      </c>
      <c r="Z148" s="2" t="s">
        <v>82</v>
      </c>
    </row>
    <row r="149" spans="1:26" x14ac:dyDescent="0.35">
      <c r="A149" s="2" t="s">
        <v>359</v>
      </c>
      <c r="B149" s="3">
        <v>45947</v>
      </c>
      <c r="C149" s="2" t="s">
        <v>360</v>
      </c>
      <c r="D149" s="2" t="s">
        <v>99</v>
      </c>
      <c r="E149" s="2" t="s">
        <v>41</v>
      </c>
      <c r="F149" s="2">
        <v>59</v>
      </c>
      <c r="G149" s="2" t="s">
        <v>127</v>
      </c>
      <c r="H149" s="2" t="s">
        <v>31</v>
      </c>
      <c r="I149" s="2" t="s">
        <v>127</v>
      </c>
      <c r="J149" s="2" t="s">
        <v>65</v>
      </c>
      <c r="K149" s="2">
        <v>2</v>
      </c>
      <c r="L149" s="2">
        <v>8194</v>
      </c>
      <c r="M149" s="2">
        <v>5</v>
      </c>
      <c r="N149" s="2">
        <v>819.4</v>
      </c>
      <c r="O149" s="2">
        <v>2802.35</v>
      </c>
      <c r="P149" s="2">
        <v>178</v>
      </c>
      <c r="Q149" s="2">
        <v>18548.95</v>
      </c>
      <c r="R149" s="2" t="s">
        <v>33</v>
      </c>
      <c r="S149" s="2" t="s">
        <v>59</v>
      </c>
      <c r="T149" s="9" t="s">
        <v>1710</v>
      </c>
      <c r="U149" s="10" t="s">
        <v>1711</v>
      </c>
      <c r="V149" s="2" t="s">
        <v>53</v>
      </c>
      <c r="W149" s="2">
        <v>2</v>
      </c>
      <c r="X149" s="2" t="s">
        <v>44</v>
      </c>
      <c r="Y149" s="2">
        <v>3</v>
      </c>
      <c r="Z149" s="2" t="s">
        <v>54</v>
      </c>
    </row>
    <row r="150" spans="1:26" x14ac:dyDescent="0.35">
      <c r="A150" s="2" t="s">
        <v>361</v>
      </c>
      <c r="B150" s="3">
        <v>45810</v>
      </c>
      <c r="C150" s="2" t="s">
        <v>362</v>
      </c>
      <c r="D150" s="2" t="s">
        <v>40</v>
      </c>
      <c r="E150" s="2" t="s">
        <v>41</v>
      </c>
      <c r="F150" s="2">
        <v>31</v>
      </c>
      <c r="G150" s="2" t="s">
        <v>85</v>
      </c>
      <c r="H150" s="2" t="s">
        <v>31</v>
      </c>
      <c r="I150" s="2" t="s">
        <v>85</v>
      </c>
      <c r="J150" s="2" t="s">
        <v>70</v>
      </c>
      <c r="K150" s="2">
        <v>2</v>
      </c>
      <c r="L150" s="2">
        <v>23798</v>
      </c>
      <c r="M150" s="2">
        <v>5</v>
      </c>
      <c r="N150" s="2">
        <v>2379.8000000000002</v>
      </c>
      <c r="O150" s="2">
        <v>8138.92</v>
      </c>
      <c r="P150" s="2">
        <v>62</v>
      </c>
      <c r="Q150" s="2">
        <v>53417.120000000003</v>
      </c>
      <c r="R150" s="2" t="s">
        <v>43</v>
      </c>
      <c r="S150" s="2" t="s">
        <v>59</v>
      </c>
      <c r="T150" s="9" t="s">
        <v>1704</v>
      </c>
      <c r="U150" s="10" t="s">
        <v>52</v>
      </c>
      <c r="V150" s="2" t="s">
        <v>35</v>
      </c>
      <c r="W150" s="2">
        <v>2</v>
      </c>
      <c r="X150" s="2" t="s">
        <v>44</v>
      </c>
      <c r="Y150" s="2">
        <v>5</v>
      </c>
      <c r="Z150" s="2" t="s">
        <v>54</v>
      </c>
    </row>
    <row r="151" spans="1:26" x14ac:dyDescent="0.35">
      <c r="A151" s="2" t="s">
        <v>363</v>
      </c>
      <c r="B151" s="3">
        <v>45903</v>
      </c>
      <c r="C151" s="2" t="s">
        <v>364</v>
      </c>
      <c r="D151" s="2" t="s">
        <v>57</v>
      </c>
      <c r="E151" s="2" t="s">
        <v>29</v>
      </c>
      <c r="F151" s="2">
        <v>50</v>
      </c>
      <c r="G151" s="2" t="s">
        <v>48</v>
      </c>
      <c r="H151" s="2" t="s">
        <v>49</v>
      </c>
      <c r="I151" s="2" t="s">
        <v>48</v>
      </c>
      <c r="J151" s="2" t="s">
        <v>58</v>
      </c>
      <c r="K151" s="2">
        <v>1</v>
      </c>
      <c r="L151" s="2">
        <v>26351</v>
      </c>
      <c r="M151" s="2">
        <v>5</v>
      </c>
      <c r="N151" s="2">
        <v>1317.55</v>
      </c>
      <c r="O151" s="2">
        <v>4506.0200000000004</v>
      </c>
      <c r="P151" s="2">
        <v>205</v>
      </c>
      <c r="Q151" s="2">
        <v>29744.47</v>
      </c>
      <c r="R151" s="2" t="s">
        <v>43</v>
      </c>
      <c r="S151" s="2" t="s">
        <v>59</v>
      </c>
      <c r="T151" s="9" t="s">
        <v>1710</v>
      </c>
      <c r="U151" s="10" t="s">
        <v>1711</v>
      </c>
      <c r="V151" s="2" t="s">
        <v>53</v>
      </c>
      <c r="W151" s="2">
        <v>9</v>
      </c>
      <c r="X151" s="2" t="s">
        <v>44</v>
      </c>
      <c r="Y151" s="2">
        <v>1</v>
      </c>
      <c r="Z151" s="2" t="s">
        <v>37</v>
      </c>
    </row>
    <row r="152" spans="1:26" x14ac:dyDescent="0.35">
      <c r="A152" s="2" t="s">
        <v>365</v>
      </c>
      <c r="B152" s="3">
        <v>45890</v>
      </c>
      <c r="C152" s="2" t="s">
        <v>366</v>
      </c>
      <c r="D152" s="2" t="s">
        <v>40</v>
      </c>
      <c r="E152" s="2" t="s">
        <v>29</v>
      </c>
      <c r="F152" s="2">
        <v>40</v>
      </c>
      <c r="G152" s="2" t="s">
        <v>122</v>
      </c>
      <c r="H152" s="2" t="s">
        <v>31</v>
      </c>
      <c r="I152" s="2" t="s">
        <v>122</v>
      </c>
      <c r="J152" s="2" t="s">
        <v>70</v>
      </c>
      <c r="K152" s="2">
        <v>2</v>
      </c>
      <c r="L152" s="2">
        <v>32644</v>
      </c>
      <c r="M152" s="2">
        <v>0</v>
      </c>
      <c r="N152" s="2">
        <v>0</v>
      </c>
      <c r="O152" s="2">
        <v>11751.84</v>
      </c>
      <c r="P152" s="2">
        <v>413</v>
      </c>
      <c r="Q152" s="2">
        <v>77452.84</v>
      </c>
      <c r="R152" s="2" t="s">
        <v>76</v>
      </c>
      <c r="S152" s="2" t="s">
        <v>34</v>
      </c>
      <c r="T152" s="9" t="s">
        <v>1704</v>
      </c>
      <c r="U152" s="10" t="s">
        <v>52</v>
      </c>
      <c r="V152" s="2" t="s">
        <v>35</v>
      </c>
      <c r="W152" s="2">
        <v>7</v>
      </c>
      <c r="X152" s="2" t="s">
        <v>36</v>
      </c>
      <c r="Y152" s="2">
        <v>4</v>
      </c>
      <c r="Z152" s="2" t="s">
        <v>54</v>
      </c>
    </row>
    <row r="153" spans="1:26" x14ac:dyDescent="0.35">
      <c r="A153" s="2" t="s">
        <v>367</v>
      </c>
      <c r="B153" s="3">
        <v>45772</v>
      </c>
      <c r="C153" s="2" t="s">
        <v>368</v>
      </c>
      <c r="D153" s="2" t="s">
        <v>62</v>
      </c>
      <c r="E153" s="2" t="s">
        <v>29</v>
      </c>
      <c r="F153" s="2">
        <v>34</v>
      </c>
      <c r="G153" s="2" t="s">
        <v>122</v>
      </c>
      <c r="H153" s="2" t="s">
        <v>31</v>
      </c>
      <c r="I153" s="2" t="s">
        <v>122</v>
      </c>
      <c r="J153" s="2" t="s">
        <v>32</v>
      </c>
      <c r="K153" s="2">
        <v>5</v>
      </c>
      <c r="L153" s="2">
        <v>13792</v>
      </c>
      <c r="M153" s="2">
        <v>0</v>
      </c>
      <c r="N153" s="2">
        <v>0</v>
      </c>
      <c r="O153" s="2">
        <v>12412.8</v>
      </c>
      <c r="P153" s="2">
        <v>437</v>
      </c>
      <c r="Q153" s="2">
        <v>81809.8</v>
      </c>
      <c r="R153" s="2" t="s">
        <v>51</v>
      </c>
      <c r="S153" s="2" t="s">
        <v>59</v>
      </c>
      <c r="T153" s="9" t="s">
        <v>1709</v>
      </c>
      <c r="U153" s="10" t="s">
        <v>52</v>
      </c>
      <c r="V153" s="2" t="s">
        <v>53</v>
      </c>
      <c r="W153" s="2">
        <v>1</v>
      </c>
      <c r="X153" s="2" t="s">
        <v>36</v>
      </c>
      <c r="Y153" s="2">
        <v>4</v>
      </c>
      <c r="Z153" s="2" t="s">
        <v>37</v>
      </c>
    </row>
    <row r="154" spans="1:26" x14ac:dyDescent="0.35">
      <c r="A154" s="2" t="s">
        <v>369</v>
      </c>
      <c r="B154" s="3">
        <v>45828</v>
      </c>
      <c r="C154" s="2" t="s">
        <v>246</v>
      </c>
      <c r="D154" s="2" t="s">
        <v>80</v>
      </c>
      <c r="E154" s="2" t="s">
        <v>41</v>
      </c>
      <c r="F154" s="2">
        <v>31</v>
      </c>
      <c r="G154" s="2" t="s">
        <v>69</v>
      </c>
      <c r="H154" s="2" t="s">
        <v>31</v>
      </c>
      <c r="I154" s="2" t="s">
        <v>69</v>
      </c>
      <c r="J154" s="2" t="s">
        <v>113</v>
      </c>
      <c r="K154" s="2">
        <v>5</v>
      </c>
      <c r="L154" s="2">
        <v>12497</v>
      </c>
      <c r="M154" s="2">
        <v>15</v>
      </c>
      <c r="N154" s="2">
        <v>9372.75</v>
      </c>
      <c r="O154" s="2">
        <v>9560.2000000000007</v>
      </c>
      <c r="P154" s="2">
        <v>71</v>
      </c>
      <c r="Q154" s="2">
        <v>62743.46</v>
      </c>
      <c r="R154" s="2" t="s">
        <v>33</v>
      </c>
      <c r="S154" s="2" t="s">
        <v>59</v>
      </c>
      <c r="T154" s="9" t="s">
        <v>1709</v>
      </c>
      <c r="U154" s="10" t="s">
        <v>52</v>
      </c>
      <c r="V154" s="2" t="s">
        <v>53</v>
      </c>
      <c r="W154" s="2">
        <v>10</v>
      </c>
      <c r="X154" s="2" t="s">
        <v>44</v>
      </c>
      <c r="Y154" s="2">
        <v>5</v>
      </c>
      <c r="Z154" s="2" t="s">
        <v>37</v>
      </c>
    </row>
    <row r="155" spans="1:26" x14ac:dyDescent="0.35">
      <c r="A155" s="2" t="s">
        <v>370</v>
      </c>
      <c r="B155" s="3">
        <v>45939</v>
      </c>
      <c r="C155" s="2" t="s">
        <v>371</v>
      </c>
      <c r="D155" s="2" t="s">
        <v>96</v>
      </c>
      <c r="E155" s="2" t="s">
        <v>29</v>
      </c>
      <c r="F155" s="2">
        <v>51</v>
      </c>
      <c r="G155" s="2" t="s">
        <v>48</v>
      </c>
      <c r="H155" s="2" t="s">
        <v>49</v>
      </c>
      <c r="I155" s="2" t="s">
        <v>48</v>
      </c>
      <c r="J155" s="2" t="s">
        <v>50</v>
      </c>
      <c r="K155" s="2">
        <v>5</v>
      </c>
      <c r="L155" s="2">
        <v>46090</v>
      </c>
      <c r="M155" s="2">
        <v>5</v>
      </c>
      <c r="N155" s="2">
        <v>11522.5</v>
      </c>
      <c r="O155" s="2">
        <v>39406.949999999997</v>
      </c>
      <c r="P155" s="2">
        <v>212</v>
      </c>
      <c r="Q155" s="2">
        <v>258546.45</v>
      </c>
      <c r="R155" s="2" t="s">
        <v>51</v>
      </c>
      <c r="S155" s="2" t="s">
        <v>59</v>
      </c>
      <c r="T155" s="9" t="s">
        <v>1708</v>
      </c>
      <c r="U155" s="10" t="s">
        <v>52</v>
      </c>
      <c r="V155" s="2" t="s">
        <v>77</v>
      </c>
      <c r="W155" s="2">
        <v>6</v>
      </c>
      <c r="X155" s="2" t="s">
        <v>36</v>
      </c>
      <c r="Y155" s="2">
        <v>2</v>
      </c>
      <c r="Z155" s="2" t="s">
        <v>54</v>
      </c>
    </row>
    <row r="156" spans="1:26" x14ac:dyDescent="0.35">
      <c r="A156" s="2" t="s">
        <v>372</v>
      </c>
      <c r="B156" s="3">
        <v>45974</v>
      </c>
      <c r="C156" s="2" t="s">
        <v>373</v>
      </c>
      <c r="D156" s="2" t="s">
        <v>40</v>
      </c>
      <c r="E156" s="2" t="s">
        <v>29</v>
      </c>
      <c r="F156" s="2">
        <v>34</v>
      </c>
      <c r="G156" s="2" t="s">
        <v>85</v>
      </c>
      <c r="H156" s="2" t="s">
        <v>31</v>
      </c>
      <c r="I156" s="2" t="s">
        <v>85</v>
      </c>
      <c r="J156" s="2" t="s">
        <v>190</v>
      </c>
      <c r="K156" s="2">
        <v>5</v>
      </c>
      <c r="L156" s="2">
        <v>5689</v>
      </c>
      <c r="M156" s="2">
        <v>10</v>
      </c>
      <c r="N156" s="2">
        <v>2844.5</v>
      </c>
      <c r="O156" s="2">
        <v>4608.09</v>
      </c>
      <c r="P156" s="2">
        <v>96</v>
      </c>
      <c r="Q156" s="2">
        <v>30304.59</v>
      </c>
      <c r="R156" s="2" t="s">
        <v>51</v>
      </c>
      <c r="S156" s="2" t="s">
        <v>34</v>
      </c>
      <c r="T156" s="9" t="s">
        <v>1706</v>
      </c>
      <c r="U156" s="10" t="s">
        <v>52</v>
      </c>
      <c r="V156" s="2" t="s">
        <v>53</v>
      </c>
      <c r="W156" s="2">
        <v>6</v>
      </c>
      <c r="X156" s="2" t="s">
        <v>44</v>
      </c>
      <c r="Y156" s="2">
        <v>1</v>
      </c>
      <c r="Z156" s="2" t="s">
        <v>54</v>
      </c>
    </row>
    <row r="157" spans="1:26" x14ac:dyDescent="0.35">
      <c r="A157" s="2" t="s">
        <v>374</v>
      </c>
      <c r="B157" s="3">
        <v>46120</v>
      </c>
      <c r="C157" s="2" t="s">
        <v>375</v>
      </c>
      <c r="D157" s="2" t="s">
        <v>68</v>
      </c>
      <c r="E157" s="2" t="s">
        <v>29</v>
      </c>
      <c r="F157" s="2">
        <v>39</v>
      </c>
      <c r="G157" s="2" t="s">
        <v>48</v>
      </c>
      <c r="H157" s="2" t="s">
        <v>49</v>
      </c>
      <c r="I157" s="2" t="s">
        <v>48</v>
      </c>
      <c r="J157" s="2" t="s">
        <v>70</v>
      </c>
      <c r="K157" s="2">
        <v>1</v>
      </c>
      <c r="L157" s="2">
        <v>37843</v>
      </c>
      <c r="M157" s="2">
        <v>0</v>
      </c>
      <c r="N157" s="2">
        <v>0</v>
      </c>
      <c r="O157" s="2">
        <v>6811.74</v>
      </c>
      <c r="P157" s="2">
        <v>134</v>
      </c>
      <c r="Q157" s="2">
        <v>44788.74</v>
      </c>
      <c r="R157" s="2" t="s">
        <v>43</v>
      </c>
      <c r="S157" s="2" t="s">
        <v>34</v>
      </c>
      <c r="T157" s="9" t="s">
        <v>1708</v>
      </c>
      <c r="U157" s="10" t="s">
        <v>52</v>
      </c>
      <c r="V157" s="2" t="s">
        <v>77</v>
      </c>
      <c r="W157" s="2">
        <v>8</v>
      </c>
      <c r="X157" s="2" t="s">
        <v>36</v>
      </c>
      <c r="Y157" s="2">
        <v>3</v>
      </c>
      <c r="Z157" s="2" t="s">
        <v>82</v>
      </c>
    </row>
    <row r="158" spans="1:26" x14ac:dyDescent="0.35">
      <c r="A158" s="2" t="s">
        <v>376</v>
      </c>
      <c r="B158" s="3">
        <v>46064</v>
      </c>
      <c r="C158" s="2" t="s">
        <v>377</v>
      </c>
      <c r="D158" s="2" t="s">
        <v>40</v>
      </c>
      <c r="E158" s="2" t="s">
        <v>41</v>
      </c>
      <c r="F158" s="2">
        <v>26</v>
      </c>
      <c r="G158" s="2" t="s">
        <v>127</v>
      </c>
      <c r="H158" s="2" t="s">
        <v>31</v>
      </c>
      <c r="I158" s="2" t="s">
        <v>127</v>
      </c>
      <c r="J158" s="2" t="s">
        <v>50</v>
      </c>
      <c r="K158" s="2">
        <v>2</v>
      </c>
      <c r="L158" s="2">
        <v>11265</v>
      </c>
      <c r="M158" s="2">
        <v>20</v>
      </c>
      <c r="N158" s="2">
        <v>4506</v>
      </c>
      <c r="O158" s="2">
        <v>3244.32</v>
      </c>
      <c r="P158" s="2">
        <v>220</v>
      </c>
      <c r="Q158" s="2">
        <v>21488.32</v>
      </c>
      <c r="R158" s="2" t="s">
        <v>51</v>
      </c>
      <c r="S158" s="2" t="s">
        <v>59</v>
      </c>
      <c r="T158" s="9" t="s">
        <v>1708</v>
      </c>
      <c r="U158" s="10" t="s">
        <v>52</v>
      </c>
      <c r="V158" s="2" t="s">
        <v>77</v>
      </c>
      <c r="W158" s="2">
        <v>4</v>
      </c>
      <c r="X158" s="2" t="s">
        <v>44</v>
      </c>
      <c r="Y158" s="2">
        <v>2</v>
      </c>
      <c r="Z158" s="2" t="s">
        <v>54</v>
      </c>
    </row>
    <row r="159" spans="1:26" x14ac:dyDescent="0.35">
      <c r="A159" s="2" t="s">
        <v>378</v>
      </c>
      <c r="B159" s="3">
        <v>45853</v>
      </c>
      <c r="C159" s="2" t="s">
        <v>379</v>
      </c>
      <c r="D159" s="2" t="s">
        <v>40</v>
      </c>
      <c r="E159" s="2" t="s">
        <v>29</v>
      </c>
      <c r="F159" s="2">
        <v>28</v>
      </c>
      <c r="G159" s="2" t="s">
        <v>69</v>
      </c>
      <c r="H159" s="2" t="s">
        <v>31</v>
      </c>
      <c r="I159" s="2" t="s">
        <v>69</v>
      </c>
      <c r="J159" s="2" t="s">
        <v>70</v>
      </c>
      <c r="K159" s="2">
        <v>2</v>
      </c>
      <c r="L159" s="2">
        <v>3628</v>
      </c>
      <c r="M159" s="2">
        <v>20</v>
      </c>
      <c r="N159" s="2">
        <v>1451.2</v>
      </c>
      <c r="O159" s="2">
        <v>1044.8599999999999</v>
      </c>
      <c r="P159" s="2">
        <v>45</v>
      </c>
      <c r="Q159" s="2">
        <v>6894.66</v>
      </c>
      <c r="R159" s="2" t="s">
        <v>76</v>
      </c>
      <c r="S159" s="2" t="s">
        <v>34</v>
      </c>
      <c r="T159" s="9" t="s">
        <v>1710</v>
      </c>
      <c r="U159" s="10" t="s">
        <v>1711</v>
      </c>
      <c r="V159" s="2" t="s">
        <v>53</v>
      </c>
      <c r="W159" s="2">
        <v>2</v>
      </c>
      <c r="X159" s="2" t="s">
        <v>44</v>
      </c>
      <c r="Y159" s="2">
        <v>1</v>
      </c>
      <c r="Z159" s="2" t="s">
        <v>37</v>
      </c>
    </row>
    <row r="160" spans="1:26" x14ac:dyDescent="0.35">
      <c r="A160" s="2" t="s">
        <v>380</v>
      </c>
      <c r="B160" s="3">
        <v>46043</v>
      </c>
      <c r="C160" s="2" t="s">
        <v>381</v>
      </c>
      <c r="D160" s="2" t="s">
        <v>73</v>
      </c>
      <c r="E160" s="2" t="s">
        <v>41</v>
      </c>
      <c r="F160" s="2">
        <v>35</v>
      </c>
      <c r="G160" s="2" t="s">
        <v>69</v>
      </c>
      <c r="H160" s="2" t="s">
        <v>31</v>
      </c>
      <c r="I160" s="2" t="s">
        <v>69</v>
      </c>
      <c r="J160" s="2" t="s">
        <v>58</v>
      </c>
      <c r="K160" s="2">
        <v>2</v>
      </c>
      <c r="L160" s="2">
        <v>7118</v>
      </c>
      <c r="M160" s="2">
        <v>10</v>
      </c>
      <c r="N160" s="2">
        <v>1423.6</v>
      </c>
      <c r="O160" s="2">
        <v>2306.23</v>
      </c>
      <c r="P160" s="2">
        <v>140</v>
      </c>
      <c r="Q160" s="2">
        <v>15258.63</v>
      </c>
      <c r="R160" s="2" t="s">
        <v>76</v>
      </c>
      <c r="S160" s="2" t="s">
        <v>59</v>
      </c>
      <c r="T160" s="9" t="s">
        <v>1704</v>
      </c>
      <c r="U160" s="10" t="s">
        <v>52</v>
      </c>
      <c r="V160" s="2" t="s">
        <v>35</v>
      </c>
      <c r="W160" s="2">
        <v>10</v>
      </c>
      <c r="X160" s="2" t="s">
        <v>36</v>
      </c>
      <c r="Y160" s="2">
        <v>3</v>
      </c>
      <c r="Z160" s="2" t="s">
        <v>82</v>
      </c>
    </row>
    <row r="161" spans="1:26" x14ac:dyDescent="0.35">
      <c r="A161" s="2" t="s">
        <v>382</v>
      </c>
      <c r="B161" s="3">
        <v>45812</v>
      </c>
      <c r="C161" s="2" t="s">
        <v>115</v>
      </c>
      <c r="D161" s="2" t="s">
        <v>96</v>
      </c>
      <c r="E161" s="2" t="s">
        <v>41</v>
      </c>
      <c r="F161" s="2">
        <v>48</v>
      </c>
      <c r="G161" s="2" t="s">
        <v>85</v>
      </c>
      <c r="H161" s="2" t="s">
        <v>31</v>
      </c>
      <c r="I161" s="2" t="s">
        <v>85</v>
      </c>
      <c r="J161" s="2" t="s">
        <v>58</v>
      </c>
      <c r="K161" s="2">
        <v>2</v>
      </c>
      <c r="L161" s="2">
        <v>31726</v>
      </c>
      <c r="M161" s="2">
        <v>15</v>
      </c>
      <c r="N161" s="2">
        <v>9517.7999999999993</v>
      </c>
      <c r="O161" s="2">
        <v>9708.16</v>
      </c>
      <c r="P161" s="2">
        <v>13</v>
      </c>
      <c r="Q161" s="2">
        <v>63655.360000000001</v>
      </c>
      <c r="R161" s="2" t="s">
        <v>76</v>
      </c>
      <c r="S161" s="2" t="s">
        <v>59</v>
      </c>
      <c r="T161" s="9" t="s">
        <v>1703</v>
      </c>
      <c r="U161" s="10" t="s">
        <v>1701</v>
      </c>
      <c r="V161" s="2" t="s">
        <v>35</v>
      </c>
      <c r="W161" s="2">
        <v>1</v>
      </c>
      <c r="X161" s="2" t="s">
        <v>36</v>
      </c>
      <c r="Y161" s="2">
        <v>5</v>
      </c>
      <c r="Z161" s="2" t="s">
        <v>54</v>
      </c>
    </row>
    <row r="162" spans="1:26" x14ac:dyDescent="0.35">
      <c r="A162" s="2" t="s">
        <v>383</v>
      </c>
      <c r="B162" s="3">
        <v>45935</v>
      </c>
      <c r="C162" s="2" t="s">
        <v>384</v>
      </c>
      <c r="D162" s="2" t="s">
        <v>80</v>
      </c>
      <c r="E162" s="2" t="s">
        <v>29</v>
      </c>
      <c r="F162" s="2">
        <v>24</v>
      </c>
      <c r="G162" s="2" t="s">
        <v>127</v>
      </c>
      <c r="H162" s="2" t="s">
        <v>31</v>
      </c>
      <c r="I162" s="2" t="s">
        <v>127</v>
      </c>
      <c r="J162" s="2" t="s">
        <v>65</v>
      </c>
      <c r="K162" s="2">
        <v>4</v>
      </c>
      <c r="L162" s="2">
        <v>42298</v>
      </c>
      <c r="M162" s="2">
        <v>20</v>
      </c>
      <c r="N162" s="2">
        <v>33838.400000000001</v>
      </c>
      <c r="O162" s="2">
        <v>24363.65</v>
      </c>
      <c r="P162" s="2">
        <v>262</v>
      </c>
      <c r="Q162" s="2">
        <v>159979.25</v>
      </c>
      <c r="R162" s="2" t="s">
        <v>43</v>
      </c>
      <c r="S162" s="2" t="s">
        <v>59</v>
      </c>
      <c r="T162" s="9" t="s">
        <v>1706</v>
      </c>
      <c r="U162" s="10" t="s">
        <v>52</v>
      </c>
      <c r="V162" s="2" t="s">
        <v>53</v>
      </c>
      <c r="W162" s="2">
        <v>8</v>
      </c>
      <c r="X162" s="2" t="s">
        <v>36</v>
      </c>
      <c r="Y162" s="2">
        <v>5</v>
      </c>
      <c r="Z162" s="2" t="s">
        <v>37</v>
      </c>
    </row>
    <row r="163" spans="1:26" x14ac:dyDescent="0.35">
      <c r="A163" s="2" t="s">
        <v>385</v>
      </c>
      <c r="B163" s="3">
        <v>45949</v>
      </c>
      <c r="C163" s="2" t="s">
        <v>386</v>
      </c>
      <c r="D163" s="2" t="s">
        <v>57</v>
      </c>
      <c r="E163" s="2" t="s">
        <v>41</v>
      </c>
      <c r="F163" s="2">
        <v>30</v>
      </c>
      <c r="G163" s="2" t="s">
        <v>42</v>
      </c>
      <c r="H163" s="2" t="s">
        <v>31</v>
      </c>
      <c r="I163" s="2" t="s">
        <v>42</v>
      </c>
      <c r="J163" s="2" t="s">
        <v>100</v>
      </c>
      <c r="K163" s="2">
        <v>4</v>
      </c>
      <c r="L163" s="2">
        <v>43897</v>
      </c>
      <c r="M163" s="2">
        <v>15</v>
      </c>
      <c r="N163" s="2">
        <v>26338.2</v>
      </c>
      <c r="O163" s="2">
        <v>26864.959999999999</v>
      </c>
      <c r="P163" s="2">
        <v>108</v>
      </c>
      <c r="Q163" s="2">
        <v>176222.76</v>
      </c>
      <c r="R163" s="2" t="s">
        <v>43</v>
      </c>
      <c r="S163" s="2" t="s">
        <v>59</v>
      </c>
      <c r="T163" s="9" t="s">
        <v>1706</v>
      </c>
      <c r="U163" s="10" t="s">
        <v>52</v>
      </c>
      <c r="V163" s="2" t="s">
        <v>53</v>
      </c>
      <c r="W163" s="2">
        <v>8</v>
      </c>
      <c r="X163" s="2" t="s">
        <v>36</v>
      </c>
      <c r="Y163" s="2">
        <v>3</v>
      </c>
      <c r="Z163" s="2" t="s">
        <v>54</v>
      </c>
    </row>
    <row r="164" spans="1:26" x14ac:dyDescent="0.35">
      <c r="A164" s="2" t="s">
        <v>387</v>
      </c>
      <c r="B164" s="3">
        <v>45923</v>
      </c>
      <c r="C164" s="2" t="s">
        <v>340</v>
      </c>
      <c r="D164" s="2" t="s">
        <v>28</v>
      </c>
      <c r="E164" s="2" t="s">
        <v>29</v>
      </c>
      <c r="F164" s="2">
        <v>19</v>
      </c>
      <c r="G164" s="2" t="s">
        <v>88</v>
      </c>
      <c r="H164" s="2" t="s">
        <v>49</v>
      </c>
      <c r="I164" s="2" t="s">
        <v>88</v>
      </c>
      <c r="J164" s="2" t="s">
        <v>100</v>
      </c>
      <c r="K164" s="2">
        <v>2</v>
      </c>
      <c r="L164" s="2">
        <v>48486</v>
      </c>
      <c r="M164" s="2">
        <v>0</v>
      </c>
      <c r="N164" s="2">
        <v>0</v>
      </c>
      <c r="O164" s="2">
        <v>17454.96</v>
      </c>
      <c r="P164" s="2">
        <v>267</v>
      </c>
      <c r="Q164" s="2">
        <v>114693.96</v>
      </c>
      <c r="R164" s="2" t="s">
        <v>43</v>
      </c>
      <c r="S164" s="2" t="s">
        <v>34</v>
      </c>
      <c r="T164" s="9" t="s">
        <v>1708</v>
      </c>
      <c r="U164" s="10" t="s">
        <v>52</v>
      </c>
      <c r="V164" s="2" t="s">
        <v>77</v>
      </c>
      <c r="W164" s="2">
        <v>1</v>
      </c>
      <c r="X164" s="2" t="s">
        <v>36</v>
      </c>
      <c r="Y164" s="2">
        <v>5</v>
      </c>
      <c r="Z164" s="2" t="s">
        <v>37</v>
      </c>
    </row>
    <row r="165" spans="1:26" x14ac:dyDescent="0.35">
      <c r="A165" s="2" t="s">
        <v>388</v>
      </c>
      <c r="B165" s="3">
        <v>45860</v>
      </c>
      <c r="C165" s="2" t="s">
        <v>106</v>
      </c>
      <c r="D165" s="2" t="s">
        <v>73</v>
      </c>
      <c r="E165" s="2" t="s">
        <v>29</v>
      </c>
      <c r="F165" s="2">
        <v>37</v>
      </c>
      <c r="G165" s="2" t="s">
        <v>88</v>
      </c>
      <c r="H165" s="2" t="s">
        <v>49</v>
      </c>
      <c r="I165" s="2" t="s">
        <v>88</v>
      </c>
      <c r="J165" s="2" t="s">
        <v>70</v>
      </c>
      <c r="K165" s="2">
        <v>3</v>
      </c>
      <c r="L165" s="2">
        <v>11761</v>
      </c>
      <c r="M165" s="2">
        <v>15</v>
      </c>
      <c r="N165" s="2">
        <v>5292.45</v>
      </c>
      <c r="O165" s="2">
        <v>5398.3</v>
      </c>
      <c r="P165" s="2">
        <v>14</v>
      </c>
      <c r="Q165" s="2">
        <v>35402.85</v>
      </c>
      <c r="R165" s="2" t="s">
        <v>33</v>
      </c>
      <c r="S165" s="2" t="s">
        <v>59</v>
      </c>
      <c r="T165" s="9" t="s">
        <v>1705</v>
      </c>
      <c r="U165" s="10" t="s">
        <v>1702</v>
      </c>
      <c r="V165" s="2" t="s">
        <v>53</v>
      </c>
      <c r="W165" s="2">
        <v>5</v>
      </c>
      <c r="X165" s="2" t="s">
        <v>36</v>
      </c>
      <c r="Y165" s="2">
        <v>1</v>
      </c>
      <c r="Z165" s="2" t="s">
        <v>37</v>
      </c>
    </row>
    <row r="166" spans="1:26" x14ac:dyDescent="0.35">
      <c r="A166" s="2" t="s">
        <v>389</v>
      </c>
      <c r="B166" s="3">
        <v>46001</v>
      </c>
      <c r="C166" s="2" t="s">
        <v>390</v>
      </c>
      <c r="D166" s="2" t="s">
        <v>68</v>
      </c>
      <c r="E166" s="2" t="s">
        <v>41</v>
      </c>
      <c r="F166" s="2">
        <v>19</v>
      </c>
      <c r="G166" s="2" t="s">
        <v>81</v>
      </c>
      <c r="H166" s="2" t="s">
        <v>31</v>
      </c>
      <c r="I166" s="2" t="s">
        <v>81</v>
      </c>
      <c r="J166" s="2" t="s">
        <v>91</v>
      </c>
      <c r="K166" s="2">
        <v>1</v>
      </c>
      <c r="L166" s="2">
        <v>34466</v>
      </c>
      <c r="M166" s="2">
        <v>5</v>
      </c>
      <c r="N166" s="2">
        <v>1723.3</v>
      </c>
      <c r="O166" s="2">
        <v>5893.69</v>
      </c>
      <c r="P166" s="2">
        <v>50</v>
      </c>
      <c r="Q166" s="2">
        <v>38686.39</v>
      </c>
      <c r="R166" s="2" t="s">
        <v>76</v>
      </c>
      <c r="S166" s="2" t="s">
        <v>34</v>
      </c>
      <c r="T166" s="9" t="s">
        <v>1709</v>
      </c>
      <c r="U166" s="10" t="s">
        <v>52</v>
      </c>
      <c r="V166" s="2" t="s">
        <v>53</v>
      </c>
      <c r="W166" s="2">
        <v>1</v>
      </c>
      <c r="X166" s="2" t="s">
        <v>36</v>
      </c>
      <c r="Y166" s="2">
        <v>3</v>
      </c>
      <c r="Z166" s="2" t="s">
        <v>37</v>
      </c>
    </row>
    <row r="167" spans="1:26" x14ac:dyDescent="0.35">
      <c r="A167" s="2" t="s">
        <v>391</v>
      </c>
      <c r="B167" s="3">
        <v>45947</v>
      </c>
      <c r="C167" s="2" t="s">
        <v>373</v>
      </c>
      <c r="D167" s="2" t="s">
        <v>62</v>
      </c>
      <c r="E167" s="2" t="s">
        <v>29</v>
      </c>
      <c r="F167" s="2">
        <v>57</v>
      </c>
      <c r="G167" s="2" t="s">
        <v>88</v>
      </c>
      <c r="H167" s="2" t="s">
        <v>49</v>
      </c>
      <c r="I167" s="2" t="s">
        <v>88</v>
      </c>
      <c r="J167" s="2" t="s">
        <v>32</v>
      </c>
      <c r="K167" s="2">
        <v>3</v>
      </c>
      <c r="L167" s="2">
        <v>42623</v>
      </c>
      <c r="M167" s="2">
        <v>20</v>
      </c>
      <c r="N167" s="2">
        <v>25573.8</v>
      </c>
      <c r="O167" s="2">
        <v>18413.14</v>
      </c>
      <c r="P167" s="2">
        <v>20</v>
      </c>
      <c r="Q167" s="2">
        <v>120728.34</v>
      </c>
      <c r="R167" s="2" t="s">
        <v>43</v>
      </c>
      <c r="S167" s="2" t="s">
        <v>59</v>
      </c>
      <c r="T167" s="9" t="s">
        <v>1709</v>
      </c>
      <c r="U167" s="10" t="s">
        <v>52</v>
      </c>
      <c r="V167" s="2" t="s">
        <v>53</v>
      </c>
      <c r="W167" s="2">
        <v>1</v>
      </c>
      <c r="X167" s="2" t="s">
        <v>44</v>
      </c>
      <c r="Y167" s="2">
        <v>1</v>
      </c>
      <c r="Z167" s="2" t="s">
        <v>82</v>
      </c>
    </row>
    <row r="168" spans="1:26" x14ac:dyDescent="0.35">
      <c r="A168" s="2" t="s">
        <v>392</v>
      </c>
      <c r="B168" s="3">
        <v>46059</v>
      </c>
      <c r="C168" s="2" t="s">
        <v>393</v>
      </c>
      <c r="D168" s="2" t="s">
        <v>80</v>
      </c>
      <c r="E168" s="2" t="s">
        <v>29</v>
      </c>
      <c r="F168" s="2">
        <v>45</v>
      </c>
      <c r="G168" s="2" t="s">
        <v>48</v>
      </c>
      <c r="H168" s="2" t="s">
        <v>49</v>
      </c>
      <c r="I168" s="2" t="s">
        <v>48</v>
      </c>
      <c r="J168" s="2" t="s">
        <v>138</v>
      </c>
      <c r="K168" s="2">
        <v>2</v>
      </c>
      <c r="L168" s="2">
        <v>35830</v>
      </c>
      <c r="M168" s="2">
        <v>10</v>
      </c>
      <c r="N168" s="2">
        <v>7166</v>
      </c>
      <c r="O168" s="2">
        <v>11608.92</v>
      </c>
      <c r="P168" s="2">
        <v>133</v>
      </c>
      <c r="Q168" s="2">
        <v>76235.92</v>
      </c>
      <c r="R168" s="2" t="s">
        <v>51</v>
      </c>
      <c r="S168" s="2" t="s">
        <v>34</v>
      </c>
      <c r="T168" s="9" t="s">
        <v>1705</v>
      </c>
      <c r="U168" s="10" t="s">
        <v>1702</v>
      </c>
      <c r="V168" s="2" t="s">
        <v>53</v>
      </c>
      <c r="W168" s="2">
        <v>8</v>
      </c>
      <c r="X168" s="2" t="s">
        <v>44</v>
      </c>
      <c r="Y168" s="2">
        <v>1</v>
      </c>
      <c r="Z168" s="2" t="s">
        <v>37</v>
      </c>
    </row>
    <row r="169" spans="1:26" x14ac:dyDescent="0.35">
      <c r="A169" s="2" t="s">
        <v>394</v>
      </c>
      <c r="B169" s="3">
        <v>45837</v>
      </c>
      <c r="C169" s="2" t="s">
        <v>395</v>
      </c>
      <c r="D169" s="2" t="s">
        <v>96</v>
      </c>
      <c r="E169" s="2" t="s">
        <v>29</v>
      </c>
      <c r="F169" s="2">
        <v>37</v>
      </c>
      <c r="G169" s="2" t="s">
        <v>88</v>
      </c>
      <c r="H169" s="2" t="s">
        <v>49</v>
      </c>
      <c r="I169" s="2" t="s">
        <v>88</v>
      </c>
      <c r="J169" s="2" t="s">
        <v>32</v>
      </c>
      <c r="K169" s="2">
        <v>1</v>
      </c>
      <c r="L169" s="2">
        <v>40523</v>
      </c>
      <c r="M169" s="2">
        <v>0</v>
      </c>
      <c r="N169" s="2">
        <v>0</v>
      </c>
      <c r="O169" s="2">
        <v>7294.14</v>
      </c>
      <c r="P169" s="2">
        <v>302</v>
      </c>
      <c r="Q169" s="2">
        <v>48119.14</v>
      </c>
      <c r="R169" s="2" t="s">
        <v>76</v>
      </c>
      <c r="S169" s="2" t="s">
        <v>59</v>
      </c>
      <c r="T169" s="9" t="s">
        <v>1706</v>
      </c>
      <c r="U169" s="10" t="s">
        <v>52</v>
      </c>
      <c r="V169" s="2" t="s">
        <v>53</v>
      </c>
      <c r="W169" s="2">
        <v>9</v>
      </c>
      <c r="X169" s="2" t="s">
        <v>36</v>
      </c>
      <c r="Y169" s="2">
        <v>5</v>
      </c>
      <c r="Z169" s="2" t="s">
        <v>44</v>
      </c>
    </row>
    <row r="170" spans="1:26" x14ac:dyDescent="0.35">
      <c r="A170" s="2" t="s">
        <v>396</v>
      </c>
      <c r="B170" s="3">
        <v>46085</v>
      </c>
      <c r="C170" s="2" t="s">
        <v>397</v>
      </c>
      <c r="D170" s="2" t="s">
        <v>73</v>
      </c>
      <c r="E170" s="2" t="s">
        <v>41</v>
      </c>
      <c r="F170" s="2">
        <v>24</v>
      </c>
      <c r="G170" s="2" t="s">
        <v>42</v>
      </c>
      <c r="H170" s="2" t="s">
        <v>31</v>
      </c>
      <c r="I170" s="2" t="s">
        <v>42</v>
      </c>
      <c r="J170" s="2" t="s">
        <v>190</v>
      </c>
      <c r="K170" s="2">
        <v>4</v>
      </c>
      <c r="L170" s="2">
        <v>11352</v>
      </c>
      <c r="M170" s="2">
        <v>0</v>
      </c>
      <c r="N170" s="2">
        <v>0</v>
      </c>
      <c r="O170" s="2">
        <v>8173.44</v>
      </c>
      <c r="P170" s="2">
        <v>161</v>
      </c>
      <c r="Q170" s="2">
        <v>53742.44</v>
      </c>
      <c r="R170" s="2" t="s">
        <v>43</v>
      </c>
      <c r="S170" s="2" t="s">
        <v>34</v>
      </c>
      <c r="T170" s="9" t="s">
        <v>1703</v>
      </c>
      <c r="U170" s="10" t="s">
        <v>1701</v>
      </c>
      <c r="V170" s="2" t="s">
        <v>35</v>
      </c>
      <c r="W170" s="2">
        <v>6</v>
      </c>
      <c r="X170" s="2" t="s">
        <v>36</v>
      </c>
      <c r="Y170" s="2">
        <v>1</v>
      </c>
      <c r="Z170" s="2" t="s">
        <v>54</v>
      </c>
    </row>
    <row r="171" spans="1:26" x14ac:dyDescent="0.35">
      <c r="A171" s="2" t="s">
        <v>398</v>
      </c>
      <c r="B171" s="3">
        <v>45956</v>
      </c>
      <c r="C171" s="2" t="s">
        <v>399</v>
      </c>
      <c r="D171" s="2" t="s">
        <v>28</v>
      </c>
      <c r="E171" s="2" t="s">
        <v>41</v>
      </c>
      <c r="F171" s="2">
        <v>18</v>
      </c>
      <c r="G171" s="2" t="s">
        <v>63</v>
      </c>
      <c r="H171" s="2" t="s">
        <v>64</v>
      </c>
      <c r="I171" s="2" t="s">
        <v>63</v>
      </c>
      <c r="J171" s="2" t="s">
        <v>32</v>
      </c>
      <c r="K171" s="2">
        <v>4</v>
      </c>
      <c r="L171" s="2">
        <v>42955</v>
      </c>
      <c r="M171" s="2">
        <v>0</v>
      </c>
      <c r="N171" s="2">
        <v>0</v>
      </c>
      <c r="O171" s="2">
        <v>30927.599999999999</v>
      </c>
      <c r="P171" s="2">
        <v>41</v>
      </c>
      <c r="Q171" s="2">
        <v>202788.6</v>
      </c>
      <c r="R171" s="2" t="s">
        <v>43</v>
      </c>
      <c r="S171" s="2" t="s">
        <v>59</v>
      </c>
      <c r="T171" s="9" t="s">
        <v>1704</v>
      </c>
      <c r="U171" s="10" t="s">
        <v>52</v>
      </c>
      <c r="V171" s="2" t="s">
        <v>35</v>
      </c>
      <c r="W171" s="2">
        <v>9</v>
      </c>
      <c r="X171" s="2" t="s">
        <v>36</v>
      </c>
      <c r="Y171" s="2">
        <v>3</v>
      </c>
      <c r="Z171" s="2" t="s">
        <v>44</v>
      </c>
    </row>
    <row r="172" spans="1:26" x14ac:dyDescent="0.35">
      <c r="A172" s="2" t="s">
        <v>400</v>
      </c>
      <c r="B172" s="3">
        <v>45931</v>
      </c>
      <c r="C172" s="2" t="s">
        <v>401</v>
      </c>
      <c r="D172" s="2" t="s">
        <v>96</v>
      </c>
      <c r="E172" s="2" t="s">
        <v>29</v>
      </c>
      <c r="F172" s="2">
        <v>59</v>
      </c>
      <c r="G172" s="2" t="s">
        <v>48</v>
      </c>
      <c r="H172" s="2" t="s">
        <v>49</v>
      </c>
      <c r="I172" s="2" t="s">
        <v>48</v>
      </c>
      <c r="J172" s="2" t="s">
        <v>100</v>
      </c>
      <c r="K172" s="2">
        <v>3</v>
      </c>
      <c r="L172" s="2">
        <v>40789</v>
      </c>
      <c r="M172" s="2">
        <v>10</v>
      </c>
      <c r="N172" s="2">
        <v>12236.7</v>
      </c>
      <c r="O172" s="2">
        <v>19823.45</v>
      </c>
      <c r="P172" s="2">
        <v>488</v>
      </c>
      <c r="Q172" s="2">
        <v>130441.75</v>
      </c>
      <c r="R172" s="2" t="s">
        <v>76</v>
      </c>
      <c r="S172" s="2" t="s">
        <v>34</v>
      </c>
      <c r="T172" s="9" t="s">
        <v>1705</v>
      </c>
      <c r="U172" s="10" t="s">
        <v>1702</v>
      </c>
      <c r="V172" s="2" t="s">
        <v>53</v>
      </c>
      <c r="W172" s="2">
        <v>3</v>
      </c>
      <c r="X172" s="2" t="s">
        <v>36</v>
      </c>
      <c r="Y172" s="2">
        <v>1</v>
      </c>
      <c r="Z172" s="2" t="s">
        <v>44</v>
      </c>
    </row>
    <row r="173" spans="1:26" x14ac:dyDescent="0.35">
      <c r="A173" s="2" t="s">
        <v>402</v>
      </c>
      <c r="B173" s="3">
        <v>45865</v>
      </c>
      <c r="C173" s="2" t="s">
        <v>403</v>
      </c>
      <c r="D173" s="2" t="s">
        <v>62</v>
      </c>
      <c r="E173" s="2" t="s">
        <v>29</v>
      </c>
      <c r="F173" s="2">
        <v>56</v>
      </c>
      <c r="G173" s="2" t="s">
        <v>30</v>
      </c>
      <c r="H173" s="2" t="s">
        <v>31</v>
      </c>
      <c r="I173" s="2" t="s">
        <v>30</v>
      </c>
      <c r="J173" s="2" t="s">
        <v>32</v>
      </c>
      <c r="K173" s="2">
        <v>5</v>
      </c>
      <c r="L173" s="2">
        <v>39991</v>
      </c>
      <c r="M173" s="2">
        <v>5</v>
      </c>
      <c r="N173" s="2">
        <v>9997.75</v>
      </c>
      <c r="O173" s="2">
        <v>34192.31</v>
      </c>
      <c r="P173" s="2">
        <v>328</v>
      </c>
      <c r="Q173" s="2">
        <v>224477.55</v>
      </c>
      <c r="R173" s="2" t="s">
        <v>33</v>
      </c>
      <c r="S173" s="2" t="s">
        <v>59</v>
      </c>
      <c r="T173" s="9" t="s">
        <v>1710</v>
      </c>
      <c r="U173" s="10" t="s">
        <v>1711</v>
      </c>
      <c r="V173" s="2" t="s">
        <v>53</v>
      </c>
      <c r="W173" s="2">
        <v>10</v>
      </c>
      <c r="X173" s="2" t="s">
        <v>44</v>
      </c>
      <c r="Y173" s="2">
        <v>4</v>
      </c>
      <c r="Z173" s="2" t="s">
        <v>54</v>
      </c>
    </row>
    <row r="174" spans="1:26" x14ac:dyDescent="0.35">
      <c r="A174" s="2" t="s">
        <v>404</v>
      </c>
      <c r="B174" s="3">
        <v>46009</v>
      </c>
      <c r="C174" s="2" t="s">
        <v>255</v>
      </c>
      <c r="D174" s="2" t="s">
        <v>80</v>
      </c>
      <c r="E174" s="2" t="s">
        <v>41</v>
      </c>
      <c r="F174" s="2">
        <v>41</v>
      </c>
      <c r="G174" s="2" t="s">
        <v>42</v>
      </c>
      <c r="H174" s="2" t="s">
        <v>31</v>
      </c>
      <c r="I174" s="2" t="s">
        <v>42</v>
      </c>
      <c r="J174" s="2" t="s">
        <v>190</v>
      </c>
      <c r="K174" s="2">
        <v>3</v>
      </c>
      <c r="L174" s="2">
        <v>22410</v>
      </c>
      <c r="M174" s="2">
        <v>10</v>
      </c>
      <c r="N174" s="2">
        <v>6723</v>
      </c>
      <c r="O174" s="2">
        <v>10891.26</v>
      </c>
      <c r="P174" s="2">
        <v>365</v>
      </c>
      <c r="Q174" s="2">
        <v>71763.259999999995</v>
      </c>
      <c r="R174" s="2" t="s">
        <v>43</v>
      </c>
      <c r="S174" s="2" t="s">
        <v>59</v>
      </c>
      <c r="T174" s="9" t="s">
        <v>1710</v>
      </c>
      <c r="U174" s="10" t="s">
        <v>1711</v>
      </c>
      <c r="V174" s="2" t="s">
        <v>53</v>
      </c>
      <c r="W174" s="2">
        <v>1</v>
      </c>
      <c r="X174" s="2" t="s">
        <v>44</v>
      </c>
      <c r="Y174" s="2">
        <v>1</v>
      </c>
      <c r="Z174" s="2" t="s">
        <v>44</v>
      </c>
    </row>
    <row r="175" spans="1:26" x14ac:dyDescent="0.35">
      <c r="A175" s="2" t="s">
        <v>405</v>
      </c>
      <c r="B175" s="3">
        <v>45938</v>
      </c>
      <c r="C175" s="2" t="s">
        <v>406</v>
      </c>
      <c r="D175" s="2" t="s">
        <v>73</v>
      </c>
      <c r="E175" s="2" t="s">
        <v>29</v>
      </c>
      <c r="F175" s="2">
        <v>18</v>
      </c>
      <c r="G175" s="2" t="s">
        <v>85</v>
      </c>
      <c r="H175" s="2" t="s">
        <v>31</v>
      </c>
      <c r="I175" s="2" t="s">
        <v>85</v>
      </c>
      <c r="J175" s="2" t="s">
        <v>50</v>
      </c>
      <c r="K175" s="2">
        <v>4</v>
      </c>
      <c r="L175" s="2">
        <v>3086</v>
      </c>
      <c r="M175" s="2">
        <v>10</v>
      </c>
      <c r="N175" s="2">
        <v>1234.4000000000001</v>
      </c>
      <c r="O175" s="2">
        <v>1999.73</v>
      </c>
      <c r="P175" s="2">
        <v>247</v>
      </c>
      <c r="Q175" s="2">
        <v>13356.33</v>
      </c>
      <c r="R175" s="2" t="s">
        <v>33</v>
      </c>
      <c r="S175" s="2" t="s">
        <v>59</v>
      </c>
      <c r="T175" s="9" t="s">
        <v>1703</v>
      </c>
      <c r="U175" s="10" t="s">
        <v>1701</v>
      </c>
      <c r="V175" s="2" t="s">
        <v>35</v>
      </c>
      <c r="W175" s="2">
        <v>4</v>
      </c>
      <c r="X175" s="2" t="s">
        <v>44</v>
      </c>
      <c r="Y175" s="2">
        <v>5</v>
      </c>
      <c r="Z175" s="2" t="s">
        <v>54</v>
      </c>
    </row>
    <row r="176" spans="1:26" x14ac:dyDescent="0.35">
      <c r="A176" s="2" t="s">
        <v>407</v>
      </c>
      <c r="B176" s="3">
        <v>45868</v>
      </c>
      <c r="C176" s="2" t="s">
        <v>408</v>
      </c>
      <c r="D176" s="2" t="s">
        <v>47</v>
      </c>
      <c r="E176" s="2" t="s">
        <v>41</v>
      </c>
      <c r="F176" s="2">
        <v>53</v>
      </c>
      <c r="G176" s="2" t="s">
        <v>30</v>
      </c>
      <c r="H176" s="2" t="s">
        <v>31</v>
      </c>
      <c r="I176" s="2" t="s">
        <v>30</v>
      </c>
      <c r="J176" s="2" t="s">
        <v>58</v>
      </c>
      <c r="K176" s="2">
        <v>3</v>
      </c>
      <c r="L176" s="2">
        <v>39476</v>
      </c>
      <c r="M176" s="2">
        <v>20</v>
      </c>
      <c r="N176" s="2">
        <v>23685.599999999999</v>
      </c>
      <c r="O176" s="2">
        <v>17053.63</v>
      </c>
      <c r="P176" s="2">
        <v>78</v>
      </c>
      <c r="Q176" s="2">
        <v>111874.03</v>
      </c>
      <c r="R176" s="2" t="s">
        <v>76</v>
      </c>
      <c r="S176" s="2" t="s">
        <v>59</v>
      </c>
      <c r="T176" s="9" t="s">
        <v>1710</v>
      </c>
      <c r="U176" s="10" t="s">
        <v>1711</v>
      </c>
      <c r="V176" s="2" t="s">
        <v>53</v>
      </c>
      <c r="W176" s="2">
        <v>5</v>
      </c>
      <c r="X176" s="2" t="s">
        <v>44</v>
      </c>
      <c r="Y176" s="2">
        <v>2</v>
      </c>
      <c r="Z176" s="2" t="s">
        <v>44</v>
      </c>
    </row>
    <row r="177" spans="1:26" x14ac:dyDescent="0.35">
      <c r="A177" s="2" t="s">
        <v>409</v>
      </c>
      <c r="B177" s="3">
        <v>45925</v>
      </c>
      <c r="C177" s="2" t="s">
        <v>410</v>
      </c>
      <c r="D177" s="2" t="s">
        <v>47</v>
      </c>
      <c r="E177" s="2" t="s">
        <v>29</v>
      </c>
      <c r="F177" s="2">
        <v>31</v>
      </c>
      <c r="G177" s="2" t="s">
        <v>42</v>
      </c>
      <c r="H177" s="2" t="s">
        <v>31</v>
      </c>
      <c r="I177" s="2" t="s">
        <v>42</v>
      </c>
      <c r="J177" s="2" t="s">
        <v>50</v>
      </c>
      <c r="K177" s="2">
        <v>1</v>
      </c>
      <c r="L177" s="2">
        <v>31021</v>
      </c>
      <c r="M177" s="2">
        <v>15</v>
      </c>
      <c r="N177" s="2">
        <v>4653.1499999999996</v>
      </c>
      <c r="O177" s="2">
        <v>4746.21</v>
      </c>
      <c r="P177" s="2">
        <v>39</v>
      </c>
      <c r="Q177" s="2">
        <v>31153.06</v>
      </c>
      <c r="R177" s="2" t="s">
        <v>76</v>
      </c>
      <c r="S177" s="2" t="s">
        <v>34</v>
      </c>
      <c r="T177" s="9" t="s">
        <v>1706</v>
      </c>
      <c r="U177" s="10" t="s">
        <v>52</v>
      </c>
      <c r="V177" s="2" t="s">
        <v>53</v>
      </c>
      <c r="W177" s="2">
        <v>8</v>
      </c>
      <c r="X177" s="2" t="s">
        <v>44</v>
      </c>
      <c r="Y177" s="2">
        <v>4</v>
      </c>
      <c r="Z177" s="2" t="s">
        <v>37</v>
      </c>
    </row>
    <row r="178" spans="1:26" x14ac:dyDescent="0.35">
      <c r="A178" s="2" t="s">
        <v>411</v>
      </c>
      <c r="B178" s="3">
        <v>45842</v>
      </c>
      <c r="C178" s="2" t="s">
        <v>412</v>
      </c>
      <c r="D178" s="2" t="s">
        <v>68</v>
      </c>
      <c r="E178" s="2" t="s">
        <v>41</v>
      </c>
      <c r="F178" s="2">
        <v>46</v>
      </c>
      <c r="G178" s="2" t="s">
        <v>69</v>
      </c>
      <c r="H178" s="2" t="s">
        <v>31</v>
      </c>
      <c r="I178" s="2" t="s">
        <v>69</v>
      </c>
      <c r="J178" s="2" t="s">
        <v>190</v>
      </c>
      <c r="K178" s="2">
        <v>1</v>
      </c>
      <c r="L178" s="2">
        <v>581</v>
      </c>
      <c r="M178" s="2">
        <v>0</v>
      </c>
      <c r="N178" s="2">
        <v>0</v>
      </c>
      <c r="O178" s="2">
        <v>104.58</v>
      </c>
      <c r="P178" s="2">
        <v>19</v>
      </c>
      <c r="Q178" s="2">
        <v>704.58</v>
      </c>
      <c r="R178" s="2" t="s">
        <v>76</v>
      </c>
      <c r="S178" s="2" t="s">
        <v>34</v>
      </c>
      <c r="T178" s="9" t="s">
        <v>1710</v>
      </c>
      <c r="U178" s="10" t="s">
        <v>1711</v>
      </c>
      <c r="V178" s="2" t="s">
        <v>53</v>
      </c>
      <c r="W178" s="2">
        <v>4</v>
      </c>
      <c r="X178" s="2" t="s">
        <v>44</v>
      </c>
      <c r="Y178" s="2">
        <v>2</v>
      </c>
      <c r="Z178" s="2" t="s">
        <v>82</v>
      </c>
    </row>
    <row r="179" spans="1:26" x14ac:dyDescent="0.35">
      <c r="A179" s="2" t="s">
        <v>413</v>
      </c>
      <c r="B179" s="3">
        <v>46058</v>
      </c>
      <c r="C179" s="2" t="s">
        <v>414</v>
      </c>
      <c r="D179" s="2" t="s">
        <v>99</v>
      </c>
      <c r="E179" s="2" t="s">
        <v>29</v>
      </c>
      <c r="F179" s="2">
        <v>23</v>
      </c>
      <c r="G179" s="2" t="s">
        <v>122</v>
      </c>
      <c r="H179" s="2" t="s">
        <v>31</v>
      </c>
      <c r="I179" s="2" t="s">
        <v>122</v>
      </c>
      <c r="J179" s="2" t="s">
        <v>91</v>
      </c>
      <c r="K179" s="2">
        <v>3</v>
      </c>
      <c r="L179" s="2">
        <v>36753</v>
      </c>
      <c r="M179" s="2">
        <v>10</v>
      </c>
      <c r="N179" s="2">
        <v>11025.9</v>
      </c>
      <c r="O179" s="2">
        <v>17861.96</v>
      </c>
      <c r="P179" s="2">
        <v>200</v>
      </c>
      <c r="Q179" s="2">
        <v>117295.06</v>
      </c>
      <c r="R179" s="2" t="s">
        <v>51</v>
      </c>
      <c r="S179" s="2" t="s">
        <v>34</v>
      </c>
      <c r="T179" s="9" t="s">
        <v>1709</v>
      </c>
      <c r="U179" s="10" t="s">
        <v>52</v>
      </c>
      <c r="V179" s="2" t="s">
        <v>53</v>
      </c>
      <c r="W179" s="2">
        <v>9</v>
      </c>
      <c r="X179" s="2" t="s">
        <v>36</v>
      </c>
      <c r="Y179" s="2">
        <v>3</v>
      </c>
      <c r="Z179" s="2" t="s">
        <v>54</v>
      </c>
    </row>
    <row r="180" spans="1:26" x14ac:dyDescent="0.35">
      <c r="A180" s="2" t="s">
        <v>415</v>
      </c>
      <c r="B180" s="3">
        <v>46011</v>
      </c>
      <c r="C180" s="2" t="s">
        <v>416</v>
      </c>
      <c r="D180" s="2" t="s">
        <v>28</v>
      </c>
      <c r="E180" s="2" t="s">
        <v>41</v>
      </c>
      <c r="F180" s="2">
        <v>30</v>
      </c>
      <c r="G180" s="2" t="s">
        <v>127</v>
      </c>
      <c r="H180" s="2" t="s">
        <v>31</v>
      </c>
      <c r="I180" s="2" t="s">
        <v>127</v>
      </c>
      <c r="J180" s="2" t="s">
        <v>70</v>
      </c>
      <c r="K180" s="2">
        <v>3</v>
      </c>
      <c r="L180" s="2">
        <v>34859</v>
      </c>
      <c r="M180" s="2">
        <v>5</v>
      </c>
      <c r="N180" s="2">
        <v>5228.8500000000004</v>
      </c>
      <c r="O180" s="2">
        <v>17882.669999999998</v>
      </c>
      <c r="P180" s="2">
        <v>482</v>
      </c>
      <c r="Q180" s="2">
        <v>117712.82</v>
      </c>
      <c r="R180" s="2" t="s">
        <v>51</v>
      </c>
      <c r="S180" s="2" t="s">
        <v>34</v>
      </c>
      <c r="T180" s="9" t="s">
        <v>1706</v>
      </c>
      <c r="U180" s="10" t="s">
        <v>52</v>
      </c>
      <c r="V180" s="2" t="s">
        <v>53</v>
      </c>
      <c r="W180" s="2">
        <v>6</v>
      </c>
      <c r="X180" s="2" t="s">
        <v>44</v>
      </c>
      <c r="Y180" s="2">
        <v>1</v>
      </c>
      <c r="Z180" s="2" t="s">
        <v>44</v>
      </c>
    </row>
    <row r="181" spans="1:26" x14ac:dyDescent="0.35">
      <c r="A181" s="2" t="s">
        <v>417</v>
      </c>
      <c r="B181" s="3">
        <v>46101</v>
      </c>
      <c r="C181" s="2" t="s">
        <v>160</v>
      </c>
      <c r="D181" s="2" t="s">
        <v>96</v>
      </c>
      <c r="E181" s="2" t="s">
        <v>41</v>
      </c>
      <c r="F181" s="2">
        <v>38</v>
      </c>
      <c r="G181" s="2" t="s">
        <v>63</v>
      </c>
      <c r="H181" s="2" t="s">
        <v>64</v>
      </c>
      <c r="I181" s="2" t="s">
        <v>63</v>
      </c>
      <c r="J181" s="2" t="s">
        <v>138</v>
      </c>
      <c r="K181" s="2">
        <v>3</v>
      </c>
      <c r="L181" s="2">
        <v>27908</v>
      </c>
      <c r="M181" s="2">
        <v>15</v>
      </c>
      <c r="N181" s="2">
        <v>12558.6</v>
      </c>
      <c r="O181" s="2">
        <v>12809.77</v>
      </c>
      <c r="P181" s="2">
        <v>250</v>
      </c>
      <c r="Q181" s="2">
        <v>84225.17</v>
      </c>
      <c r="R181" s="2" t="s">
        <v>43</v>
      </c>
      <c r="S181" s="2" t="s">
        <v>34</v>
      </c>
      <c r="T181" s="9" t="s">
        <v>1706</v>
      </c>
      <c r="U181" s="10" t="s">
        <v>52</v>
      </c>
      <c r="V181" s="2" t="s">
        <v>53</v>
      </c>
      <c r="W181" s="2">
        <v>9</v>
      </c>
      <c r="X181" s="2" t="s">
        <v>44</v>
      </c>
      <c r="Y181" s="2">
        <v>5</v>
      </c>
      <c r="Z181" s="2" t="s">
        <v>37</v>
      </c>
    </row>
    <row r="182" spans="1:26" x14ac:dyDescent="0.35">
      <c r="A182" s="2" t="s">
        <v>418</v>
      </c>
      <c r="B182" s="3">
        <v>46028</v>
      </c>
      <c r="C182" s="2" t="s">
        <v>290</v>
      </c>
      <c r="D182" s="2" t="s">
        <v>96</v>
      </c>
      <c r="E182" s="2" t="s">
        <v>41</v>
      </c>
      <c r="F182" s="2">
        <v>29</v>
      </c>
      <c r="G182" s="2" t="s">
        <v>127</v>
      </c>
      <c r="H182" s="2" t="s">
        <v>31</v>
      </c>
      <c r="I182" s="2" t="s">
        <v>127</v>
      </c>
      <c r="J182" s="2" t="s">
        <v>65</v>
      </c>
      <c r="K182" s="2">
        <v>3</v>
      </c>
      <c r="L182" s="2">
        <v>47658</v>
      </c>
      <c r="M182" s="2">
        <v>0</v>
      </c>
      <c r="N182" s="2">
        <v>0</v>
      </c>
      <c r="O182" s="2">
        <v>25735.32</v>
      </c>
      <c r="P182" s="2">
        <v>240</v>
      </c>
      <c r="Q182" s="2">
        <v>168949.32</v>
      </c>
      <c r="R182" s="2" t="s">
        <v>43</v>
      </c>
      <c r="S182" s="2" t="s">
        <v>34</v>
      </c>
      <c r="T182" s="9" t="s">
        <v>1706</v>
      </c>
      <c r="U182" s="10" t="s">
        <v>52</v>
      </c>
      <c r="V182" s="2" t="s">
        <v>53</v>
      </c>
      <c r="W182" s="2">
        <v>4</v>
      </c>
      <c r="X182" s="2" t="s">
        <v>36</v>
      </c>
      <c r="Y182" s="2">
        <v>2</v>
      </c>
      <c r="Z182" s="2" t="s">
        <v>54</v>
      </c>
    </row>
    <row r="183" spans="1:26" x14ac:dyDescent="0.35">
      <c r="A183" s="2" t="s">
        <v>419</v>
      </c>
      <c r="B183" s="3">
        <v>45954</v>
      </c>
      <c r="C183" s="2" t="s">
        <v>420</v>
      </c>
      <c r="D183" s="2" t="s">
        <v>80</v>
      </c>
      <c r="E183" s="2" t="s">
        <v>41</v>
      </c>
      <c r="F183" s="2">
        <v>56</v>
      </c>
      <c r="G183" s="2" t="s">
        <v>30</v>
      </c>
      <c r="H183" s="2" t="s">
        <v>31</v>
      </c>
      <c r="I183" s="2" t="s">
        <v>30</v>
      </c>
      <c r="J183" s="2" t="s">
        <v>58</v>
      </c>
      <c r="K183" s="2">
        <v>4</v>
      </c>
      <c r="L183" s="2">
        <v>2329</v>
      </c>
      <c r="M183" s="2">
        <v>0</v>
      </c>
      <c r="N183" s="2">
        <v>0</v>
      </c>
      <c r="O183" s="2">
        <v>1676.88</v>
      </c>
      <c r="P183" s="2">
        <v>348</v>
      </c>
      <c r="Q183" s="2">
        <v>11340.88</v>
      </c>
      <c r="R183" s="2" t="s">
        <v>51</v>
      </c>
      <c r="S183" s="2" t="s">
        <v>34</v>
      </c>
      <c r="T183" s="9" t="s">
        <v>1705</v>
      </c>
      <c r="U183" s="10" t="s">
        <v>1702</v>
      </c>
      <c r="V183" s="2" t="s">
        <v>53</v>
      </c>
      <c r="W183" s="2">
        <v>1</v>
      </c>
      <c r="X183" s="2" t="s">
        <v>36</v>
      </c>
      <c r="Y183" s="2">
        <v>2</v>
      </c>
      <c r="Z183" s="2" t="s">
        <v>37</v>
      </c>
    </row>
    <row r="184" spans="1:26" x14ac:dyDescent="0.35">
      <c r="A184" s="2" t="s">
        <v>421</v>
      </c>
      <c r="B184" s="3">
        <v>45975</v>
      </c>
      <c r="C184" s="2" t="s">
        <v>422</v>
      </c>
      <c r="D184" s="2" t="s">
        <v>80</v>
      </c>
      <c r="E184" s="2" t="s">
        <v>41</v>
      </c>
      <c r="F184" s="2">
        <v>42</v>
      </c>
      <c r="G184" s="2" t="s">
        <v>30</v>
      </c>
      <c r="H184" s="2" t="s">
        <v>31</v>
      </c>
      <c r="I184" s="2" t="s">
        <v>30</v>
      </c>
      <c r="J184" s="2" t="s">
        <v>190</v>
      </c>
      <c r="K184" s="2">
        <v>2</v>
      </c>
      <c r="L184" s="2">
        <v>10674</v>
      </c>
      <c r="M184" s="2">
        <v>20</v>
      </c>
      <c r="N184" s="2">
        <v>4269.6000000000004</v>
      </c>
      <c r="O184" s="2">
        <v>3074.11</v>
      </c>
      <c r="P184" s="2">
        <v>316</v>
      </c>
      <c r="Q184" s="2">
        <v>20468.509999999998</v>
      </c>
      <c r="R184" s="2" t="s">
        <v>33</v>
      </c>
      <c r="S184" s="2" t="s">
        <v>34</v>
      </c>
      <c r="T184" s="9" t="s">
        <v>1704</v>
      </c>
      <c r="U184" s="10" t="s">
        <v>52</v>
      </c>
      <c r="V184" s="2" t="s">
        <v>35</v>
      </c>
      <c r="W184" s="2">
        <v>5</v>
      </c>
      <c r="X184" s="2" t="s">
        <v>36</v>
      </c>
      <c r="Y184" s="2">
        <v>1</v>
      </c>
      <c r="Z184" s="2" t="s">
        <v>82</v>
      </c>
    </row>
    <row r="185" spans="1:26" x14ac:dyDescent="0.35">
      <c r="A185" s="2" t="s">
        <v>423</v>
      </c>
      <c r="B185" s="3">
        <v>45910</v>
      </c>
      <c r="C185" s="2" t="s">
        <v>424</v>
      </c>
      <c r="D185" s="2" t="s">
        <v>96</v>
      </c>
      <c r="E185" s="2" t="s">
        <v>29</v>
      </c>
      <c r="F185" s="2">
        <v>37</v>
      </c>
      <c r="G185" s="2" t="s">
        <v>127</v>
      </c>
      <c r="H185" s="2" t="s">
        <v>31</v>
      </c>
      <c r="I185" s="2" t="s">
        <v>127</v>
      </c>
      <c r="J185" s="2" t="s">
        <v>58</v>
      </c>
      <c r="K185" s="2">
        <v>4</v>
      </c>
      <c r="L185" s="2">
        <v>9797</v>
      </c>
      <c r="M185" s="2">
        <v>15</v>
      </c>
      <c r="N185" s="2">
        <v>5878.2</v>
      </c>
      <c r="O185" s="2">
        <v>5995.76</v>
      </c>
      <c r="P185" s="2">
        <v>457</v>
      </c>
      <c r="Q185" s="2">
        <v>39762.559999999998</v>
      </c>
      <c r="R185" s="2" t="s">
        <v>76</v>
      </c>
      <c r="S185" s="2" t="s">
        <v>34</v>
      </c>
      <c r="T185" s="9" t="s">
        <v>1705</v>
      </c>
      <c r="U185" s="10" t="s">
        <v>1702</v>
      </c>
      <c r="V185" s="2" t="s">
        <v>53</v>
      </c>
      <c r="W185" s="2">
        <v>3</v>
      </c>
      <c r="X185" s="2" t="s">
        <v>44</v>
      </c>
      <c r="Y185" s="2">
        <v>5</v>
      </c>
      <c r="Z185" s="2" t="s">
        <v>82</v>
      </c>
    </row>
    <row r="186" spans="1:26" x14ac:dyDescent="0.35">
      <c r="A186" s="2" t="s">
        <v>425</v>
      </c>
      <c r="B186" s="3">
        <v>45990</v>
      </c>
      <c r="C186" s="2" t="s">
        <v>288</v>
      </c>
      <c r="D186" s="2" t="s">
        <v>73</v>
      </c>
      <c r="E186" s="2" t="s">
        <v>41</v>
      </c>
      <c r="F186" s="2">
        <v>46</v>
      </c>
      <c r="G186" s="2" t="s">
        <v>69</v>
      </c>
      <c r="H186" s="2" t="s">
        <v>31</v>
      </c>
      <c r="I186" s="2" t="s">
        <v>69</v>
      </c>
      <c r="J186" s="2" t="s">
        <v>32</v>
      </c>
      <c r="K186" s="2">
        <v>3</v>
      </c>
      <c r="L186" s="2">
        <v>44724</v>
      </c>
      <c r="M186" s="2">
        <v>5</v>
      </c>
      <c r="N186" s="2">
        <v>6708.6</v>
      </c>
      <c r="O186" s="2">
        <v>22943.41</v>
      </c>
      <c r="P186" s="2">
        <v>76</v>
      </c>
      <c r="Q186" s="2">
        <v>150482.81</v>
      </c>
      <c r="R186" s="2" t="s">
        <v>76</v>
      </c>
      <c r="S186" s="2" t="s">
        <v>34</v>
      </c>
      <c r="T186" s="9" t="s">
        <v>1710</v>
      </c>
      <c r="U186" s="10" t="s">
        <v>1711</v>
      </c>
      <c r="V186" s="2" t="s">
        <v>53</v>
      </c>
      <c r="W186" s="2">
        <v>7</v>
      </c>
      <c r="X186" s="2" t="s">
        <v>44</v>
      </c>
      <c r="Y186" s="2">
        <v>2</v>
      </c>
      <c r="Z186" s="2" t="s">
        <v>82</v>
      </c>
    </row>
    <row r="187" spans="1:26" x14ac:dyDescent="0.35">
      <c r="A187" s="2" t="s">
        <v>426</v>
      </c>
      <c r="B187" s="3">
        <v>46075</v>
      </c>
      <c r="C187" s="2" t="s">
        <v>427</v>
      </c>
      <c r="D187" s="2" t="s">
        <v>73</v>
      </c>
      <c r="E187" s="2" t="s">
        <v>29</v>
      </c>
      <c r="F187" s="2">
        <v>33</v>
      </c>
      <c r="G187" s="2" t="s">
        <v>42</v>
      </c>
      <c r="H187" s="2" t="s">
        <v>31</v>
      </c>
      <c r="I187" s="2" t="s">
        <v>42</v>
      </c>
      <c r="J187" s="2" t="s">
        <v>138</v>
      </c>
      <c r="K187" s="2">
        <v>2</v>
      </c>
      <c r="L187" s="2">
        <v>41199</v>
      </c>
      <c r="M187" s="2">
        <v>20</v>
      </c>
      <c r="N187" s="2">
        <v>16479.599999999999</v>
      </c>
      <c r="O187" s="2">
        <v>11865.31</v>
      </c>
      <c r="P187" s="2">
        <v>317</v>
      </c>
      <c r="Q187" s="2">
        <v>78100.710000000006</v>
      </c>
      <c r="R187" s="2" t="s">
        <v>51</v>
      </c>
      <c r="S187" s="2" t="s">
        <v>59</v>
      </c>
      <c r="T187" s="9" t="s">
        <v>1704</v>
      </c>
      <c r="U187" s="10" t="s">
        <v>52</v>
      </c>
      <c r="V187" s="2" t="s">
        <v>35</v>
      </c>
      <c r="W187" s="2">
        <v>2</v>
      </c>
      <c r="X187" s="2" t="s">
        <v>36</v>
      </c>
      <c r="Y187" s="2">
        <v>3</v>
      </c>
      <c r="Z187" s="2" t="s">
        <v>37</v>
      </c>
    </row>
    <row r="188" spans="1:26" x14ac:dyDescent="0.35">
      <c r="A188" s="2" t="s">
        <v>428</v>
      </c>
      <c r="B188" s="3">
        <v>45849</v>
      </c>
      <c r="C188" s="2" t="s">
        <v>364</v>
      </c>
      <c r="D188" s="2" t="s">
        <v>68</v>
      </c>
      <c r="E188" s="2" t="s">
        <v>41</v>
      </c>
      <c r="F188" s="2">
        <v>37</v>
      </c>
      <c r="G188" s="2" t="s">
        <v>85</v>
      </c>
      <c r="H188" s="2" t="s">
        <v>31</v>
      </c>
      <c r="I188" s="2" t="s">
        <v>85</v>
      </c>
      <c r="J188" s="2" t="s">
        <v>70</v>
      </c>
      <c r="K188" s="2">
        <v>5</v>
      </c>
      <c r="L188" s="2">
        <v>41589</v>
      </c>
      <c r="M188" s="2">
        <v>0</v>
      </c>
      <c r="N188" s="2">
        <v>0</v>
      </c>
      <c r="O188" s="2">
        <v>37430.1</v>
      </c>
      <c r="P188" s="2">
        <v>194</v>
      </c>
      <c r="Q188" s="2">
        <v>245569.1</v>
      </c>
      <c r="R188" s="2" t="s">
        <v>33</v>
      </c>
      <c r="S188" s="2" t="s">
        <v>59</v>
      </c>
      <c r="T188" s="9" t="s">
        <v>1706</v>
      </c>
      <c r="U188" s="10" t="s">
        <v>52</v>
      </c>
      <c r="V188" s="2" t="s">
        <v>53</v>
      </c>
      <c r="W188" s="2">
        <v>10</v>
      </c>
      <c r="X188" s="2" t="s">
        <v>36</v>
      </c>
      <c r="Y188" s="2">
        <v>1</v>
      </c>
      <c r="Z188" s="2" t="s">
        <v>37</v>
      </c>
    </row>
    <row r="189" spans="1:26" x14ac:dyDescent="0.35">
      <c r="A189" s="2" t="s">
        <v>429</v>
      </c>
      <c r="B189" s="3">
        <v>46068</v>
      </c>
      <c r="C189" s="2" t="s">
        <v>430</v>
      </c>
      <c r="D189" s="2" t="s">
        <v>40</v>
      </c>
      <c r="E189" s="2" t="s">
        <v>41</v>
      </c>
      <c r="F189" s="2">
        <v>50</v>
      </c>
      <c r="G189" s="2" t="s">
        <v>127</v>
      </c>
      <c r="H189" s="2" t="s">
        <v>31</v>
      </c>
      <c r="I189" s="2" t="s">
        <v>127</v>
      </c>
      <c r="J189" s="2" t="s">
        <v>138</v>
      </c>
      <c r="K189" s="2">
        <v>3</v>
      </c>
      <c r="L189" s="2">
        <v>38807</v>
      </c>
      <c r="M189" s="2">
        <v>5</v>
      </c>
      <c r="N189" s="2">
        <v>5821.05</v>
      </c>
      <c r="O189" s="2">
        <v>19907.990000000002</v>
      </c>
      <c r="P189" s="2">
        <v>361</v>
      </c>
      <c r="Q189" s="2">
        <v>130868.94</v>
      </c>
      <c r="R189" s="2" t="s">
        <v>43</v>
      </c>
      <c r="S189" s="2" t="s">
        <v>34</v>
      </c>
      <c r="T189" s="9" t="s">
        <v>1704</v>
      </c>
      <c r="U189" s="10" t="s">
        <v>52</v>
      </c>
      <c r="V189" s="2" t="s">
        <v>35</v>
      </c>
      <c r="W189" s="2">
        <v>10</v>
      </c>
      <c r="X189" s="2" t="s">
        <v>44</v>
      </c>
      <c r="Y189" s="2">
        <v>5</v>
      </c>
      <c r="Z189" s="2" t="s">
        <v>44</v>
      </c>
    </row>
    <row r="190" spans="1:26" x14ac:dyDescent="0.35">
      <c r="A190" s="2" t="s">
        <v>431</v>
      </c>
      <c r="B190" s="3">
        <v>45840</v>
      </c>
      <c r="C190" s="2" t="s">
        <v>432</v>
      </c>
      <c r="D190" s="2" t="s">
        <v>57</v>
      </c>
      <c r="E190" s="2" t="s">
        <v>41</v>
      </c>
      <c r="F190" s="2">
        <v>32</v>
      </c>
      <c r="G190" s="2" t="s">
        <v>30</v>
      </c>
      <c r="H190" s="2" t="s">
        <v>31</v>
      </c>
      <c r="I190" s="2" t="s">
        <v>30</v>
      </c>
      <c r="J190" s="2" t="s">
        <v>65</v>
      </c>
      <c r="K190" s="2">
        <v>1</v>
      </c>
      <c r="L190" s="2">
        <v>6099</v>
      </c>
      <c r="M190" s="2">
        <v>0</v>
      </c>
      <c r="N190" s="2">
        <v>0</v>
      </c>
      <c r="O190" s="2">
        <v>1097.82</v>
      </c>
      <c r="P190" s="2">
        <v>238</v>
      </c>
      <c r="Q190" s="2">
        <v>7434.82</v>
      </c>
      <c r="R190" s="2" t="s">
        <v>43</v>
      </c>
      <c r="S190" s="2" t="s">
        <v>59</v>
      </c>
      <c r="T190" s="9" t="s">
        <v>1709</v>
      </c>
      <c r="U190" s="10" t="s">
        <v>52</v>
      </c>
      <c r="V190" s="2" t="s">
        <v>53</v>
      </c>
      <c r="W190" s="2">
        <v>10</v>
      </c>
      <c r="X190" s="2" t="s">
        <v>36</v>
      </c>
      <c r="Y190" s="2">
        <v>2</v>
      </c>
      <c r="Z190" s="2" t="s">
        <v>37</v>
      </c>
    </row>
    <row r="191" spans="1:26" x14ac:dyDescent="0.35">
      <c r="A191" s="2" t="s">
        <v>433</v>
      </c>
      <c r="B191" s="3">
        <v>45929</v>
      </c>
      <c r="C191" s="2" t="s">
        <v>434</v>
      </c>
      <c r="D191" s="2" t="s">
        <v>96</v>
      </c>
      <c r="E191" s="2" t="s">
        <v>29</v>
      </c>
      <c r="F191" s="2">
        <v>25</v>
      </c>
      <c r="G191" s="2" t="s">
        <v>48</v>
      </c>
      <c r="H191" s="2" t="s">
        <v>49</v>
      </c>
      <c r="I191" s="2" t="s">
        <v>48</v>
      </c>
      <c r="J191" s="2" t="s">
        <v>190</v>
      </c>
      <c r="K191" s="2">
        <v>1</v>
      </c>
      <c r="L191" s="2">
        <v>22901</v>
      </c>
      <c r="M191" s="2">
        <v>0</v>
      </c>
      <c r="N191" s="2">
        <v>0</v>
      </c>
      <c r="O191" s="2">
        <v>4122.18</v>
      </c>
      <c r="P191" s="2">
        <v>141</v>
      </c>
      <c r="Q191" s="2">
        <v>27164.18</v>
      </c>
      <c r="R191" s="2" t="s">
        <v>51</v>
      </c>
      <c r="S191" s="2" t="s">
        <v>34</v>
      </c>
      <c r="T191" s="9" t="s">
        <v>1709</v>
      </c>
      <c r="U191" s="10" t="s">
        <v>52</v>
      </c>
      <c r="V191" s="2" t="s">
        <v>53</v>
      </c>
      <c r="W191" s="2">
        <v>4</v>
      </c>
      <c r="X191" s="2" t="s">
        <v>44</v>
      </c>
      <c r="Y191" s="2">
        <v>3</v>
      </c>
      <c r="Z191" s="2" t="s">
        <v>37</v>
      </c>
    </row>
    <row r="192" spans="1:26" x14ac:dyDescent="0.35">
      <c r="A192" s="2" t="s">
        <v>435</v>
      </c>
      <c r="B192" s="3">
        <v>45994</v>
      </c>
      <c r="C192" s="2" t="s">
        <v>436</v>
      </c>
      <c r="D192" s="2" t="s">
        <v>57</v>
      </c>
      <c r="E192" s="2" t="s">
        <v>29</v>
      </c>
      <c r="F192" s="2">
        <v>58</v>
      </c>
      <c r="G192" s="2" t="s">
        <v>42</v>
      </c>
      <c r="H192" s="2" t="s">
        <v>31</v>
      </c>
      <c r="I192" s="2" t="s">
        <v>42</v>
      </c>
      <c r="J192" s="2" t="s">
        <v>50</v>
      </c>
      <c r="K192" s="2">
        <v>2</v>
      </c>
      <c r="L192" s="2">
        <v>15512</v>
      </c>
      <c r="M192" s="2">
        <v>20</v>
      </c>
      <c r="N192" s="2">
        <v>6204.8</v>
      </c>
      <c r="O192" s="2">
        <v>4467.46</v>
      </c>
      <c r="P192" s="2">
        <v>484</v>
      </c>
      <c r="Q192" s="2">
        <v>29770.66</v>
      </c>
      <c r="R192" s="2" t="s">
        <v>76</v>
      </c>
      <c r="S192" s="2" t="s">
        <v>59</v>
      </c>
      <c r="T192" s="9" t="s">
        <v>1703</v>
      </c>
      <c r="U192" s="10" t="s">
        <v>1701</v>
      </c>
      <c r="V192" s="2" t="s">
        <v>35</v>
      </c>
      <c r="W192" s="2">
        <v>8</v>
      </c>
      <c r="X192" s="2" t="s">
        <v>44</v>
      </c>
      <c r="Y192" s="2">
        <v>1</v>
      </c>
      <c r="Z192" s="2" t="s">
        <v>44</v>
      </c>
    </row>
    <row r="193" spans="1:26" x14ac:dyDescent="0.35">
      <c r="A193" s="2" t="s">
        <v>437</v>
      </c>
      <c r="B193" s="3">
        <v>45778</v>
      </c>
      <c r="C193" s="2" t="s">
        <v>438</v>
      </c>
      <c r="D193" s="2" t="s">
        <v>28</v>
      </c>
      <c r="E193" s="2" t="s">
        <v>41</v>
      </c>
      <c r="F193" s="2">
        <v>58</v>
      </c>
      <c r="G193" s="2" t="s">
        <v>85</v>
      </c>
      <c r="H193" s="2" t="s">
        <v>31</v>
      </c>
      <c r="I193" s="2" t="s">
        <v>85</v>
      </c>
      <c r="J193" s="2" t="s">
        <v>58</v>
      </c>
      <c r="K193" s="2">
        <v>3</v>
      </c>
      <c r="L193" s="2">
        <v>15329</v>
      </c>
      <c r="M193" s="2">
        <v>15</v>
      </c>
      <c r="N193" s="2">
        <v>6898.05</v>
      </c>
      <c r="O193" s="2">
        <v>7036.01</v>
      </c>
      <c r="P193" s="2">
        <v>288</v>
      </c>
      <c r="Q193" s="2">
        <v>46412.959999999999</v>
      </c>
      <c r="R193" s="2" t="s">
        <v>43</v>
      </c>
      <c r="S193" s="2" t="s">
        <v>59</v>
      </c>
      <c r="T193" s="9" t="s">
        <v>1707</v>
      </c>
      <c r="U193" s="10" t="s">
        <v>1712</v>
      </c>
      <c r="V193" s="2" t="s">
        <v>53</v>
      </c>
      <c r="W193" s="2">
        <v>4</v>
      </c>
      <c r="X193" s="2" t="s">
        <v>36</v>
      </c>
      <c r="Y193" s="2">
        <v>5</v>
      </c>
      <c r="Z193" s="2" t="s">
        <v>82</v>
      </c>
    </row>
    <row r="194" spans="1:26" x14ac:dyDescent="0.35">
      <c r="A194" s="2" t="s">
        <v>439</v>
      </c>
      <c r="B194" s="3">
        <v>45814</v>
      </c>
      <c r="C194" s="2" t="s">
        <v>440</v>
      </c>
      <c r="D194" s="2" t="s">
        <v>28</v>
      </c>
      <c r="E194" s="2" t="s">
        <v>41</v>
      </c>
      <c r="F194" s="2">
        <v>57</v>
      </c>
      <c r="G194" s="2" t="s">
        <v>48</v>
      </c>
      <c r="H194" s="2" t="s">
        <v>49</v>
      </c>
      <c r="I194" s="2" t="s">
        <v>48</v>
      </c>
      <c r="J194" s="2" t="s">
        <v>32</v>
      </c>
      <c r="K194" s="2">
        <v>1</v>
      </c>
      <c r="L194" s="2">
        <v>10386</v>
      </c>
      <c r="M194" s="2">
        <v>10</v>
      </c>
      <c r="N194" s="2">
        <v>1038.5999999999999</v>
      </c>
      <c r="O194" s="2">
        <v>1682.53</v>
      </c>
      <c r="P194" s="2">
        <v>35</v>
      </c>
      <c r="Q194" s="2">
        <v>11064.93</v>
      </c>
      <c r="R194" s="2" t="s">
        <v>76</v>
      </c>
      <c r="S194" s="2" t="s">
        <v>59</v>
      </c>
      <c r="T194" s="9" t="s">
        <v>1706</v>
      </c>
      <c r="U194" s="10" t="s">
        <v>52</v>
      </c>
      <c r="V194" s="2" t="s">
        <v>53</v>
      </c>
      <c r="W194" s="2">
        <v>10</v>
      </c>
      <c r="X194" s="2" t="s">
        <v>44</v>
      </c>
      <c r="Y194" s="2">
        <v>4</v>
      </c>
      <c r="Z194" s="2" t="s">
        <v>37</v>
      </c>
    </row>
    <row r="195" spans="1:26" x14ac:dyDescent="0.35">
      <c r="A195" s="2" t="s">
        <v>441</v>
      </c>
      <c r="B195" s="3">
        <v>45802</v>
      </c>
      <c r="C195" s="2" t="s">
        <v>442</v>
      </c>
      <c r="D195" s="2" t="s">
        <v>99</v>
      </c>
      <c r="E195" s="2" t="s">
        <v>41</v>
      </c>
      <c r="F195" s="2">
        <v>24</v>
      </c>
      <c r="G195" s="2" t="s">
        <v>81</v>
      </c>
      <c r="H195" s="2" t="s">
        <v>31</v>
      </c>
      <c r="I195" s="2" t="s">
        <v>81</v>
      </c>
      <c r="J195" s="2" t="s">
        <v>113</v>
      </c>
      <c r="K195" s="2">
        <v>1</v>
      </c>
      <c r="L195" s="2">
        <v>35438</v>
      </c>
      <c r="M195" s="2">
        <v>20</v>
      </c>
      <c r="N195" s="2">
        <v>7087.6</v>
      </c>
      <c r="O195" s="2">
        <v>5103.07</v>
      </c>
      <c r="P195" s="2">
        <v>457</v>
      </c>
      <c r="Q195" s="2">
        <v>33910.47</v>
      </c>
      <c r="R195" s="2" t="s">
        <v>33</v>
      </c>
      <c r="S195" s="2" t="s">
        <v>34</v>
      </c>
      <c r="T195" s="9" t="s">
        <v>1705</v>
      </c>
      <c r="U195" s="10" t="s">
        <v>1702</v>
      </c>
      <c r="V195" s="2" t="s">
        <v>53</v>
      </c>
      <c r="W195" s="2">
        <v>10</v>
      </c>
      <c r="X195" s="2" t="s">
        <v>36</v>
      </c>
      <c r="Y195" s="2">
        <v>1</v>
      </c>
      <c r="Z195" s="2" t="s">
        <v>44</v>
      </c>
    </row>
    <row r="196" spans="1:26" x14ac:dyDescent="0.35">
      <c r="A196" s="2" t="s">
        <v>443</v>
      </c>
      <c r="B196" s="3">
        <v>46007</v>
      </c>
      <c r="C196" s="2" t="s">
        <v>444</v>
      </c>
      <c r="D196" s="2" t="s">
        <v>28</v>
      </c>
      <c r="E196" s="2" t="s">
        <v>29</v>
      </c>
      <c r="F196" s="2">
        <v>56</v>
      </c>
      <c r="G196" s="2" t="s">
        <v>48</v>
      </c>
      <c r="H196" s="2" t="s">
        <v>49</v>
      </c>
      <c r="I196" s="2" t="s">
        <v>48</v>
      </c>
      <c r="J196" s="2" t="s">
        <v>58</v>
      </c>
      <c r="K196" s="2">
        <v>2</v>
      </c>
      <c r="L196" s="2">
        <v>44534</v>
      </c>
      <c r="M196" s="2">
        <v>15</v>
      </c>
      <c r="N196" s="2">
        <v>13360.2</v>
      </c>
      <c r="O196" s="2">
        <v>13627.4</v>
      </c>
      <c r="P196" s="2">
        <v>3</v>
      </c>
      <c r="Q196" s="2">
        <v>89338.2</v>
      </c>
      <c r="R196" s="2" t="s">
        <v>43</v>
      </c>
      <c r="S196" s="2" t="s">
        <v>34</v>
      </c>
      <c r="T196" s="9" t="s">
        <v>1710</v>
      </c>
      <c r="U196" s="10" t="s">
        <v>1711</v>
      </c>
      <c r="V196" s="2" t="s">
        <v>53</v>
      </c>
      <c r="W196" s="2">
        <v>5</v>
      </c>
      <c r="X196" s="2" t="s">
        <v>36</v>
      </c>
      <c r="Y196" s="2">
        <v>2</v>
      </c>
      <c r="Z196" s="2" t="s">
        <v>44</v>
      </c>
    </row>
    <row r="197" spans="1:26" x14ac:dyDescent="0.35">
      <c r="A197" s="2" t="s">
        <v>445</v>
      </c>
      <c r="B197" s="3">
        <v>46005</v>
      </c>
      <c r="C197" s="2" t="s">
        <v>446</v>
      </c>
      <c r="D197" s="2" t="s">
        <v>99</v>
      </c>
      <c r="E197" s="2" t="s">
        <v>29</v>
      </c>
      <c r="F197" s="2">
        <v>50</v>
      </c>
      <c r="G197" s="2" t="s">
        <v>127</v>
      </c>
      <c r="H197" s="2" t="s">
        <v>31</v>
      </c>
      <c r="I197" s="2" t="s">
        <v>127</v>
      </c>
      <c r="J197" s="2" t="s">
        <v>58</v>
      </c>
      <c r="K197" s="2">
        <v>3</v>
      </c>
      <c r="L197" s="2">
        <v>34485</v>
      </c>
      <c r="M197" s="2">
        <v>20</v>
      </c>
      <c r="N197" s="2">
        <v>20691</v>
      </c>
      <c r="O197" s="2">
        <v>14897.52</v>
      </c>
      <c r="P197" s="2">
        <v>283</v>
      </c>
      <c r="Q197" s="2">
        <v>97944.52</v>
      </c>
      <c r="R197" s="2" t="s">
        <v>43</v>
      </c>
      <c r="S197" s="2" t="s">
        <v>59</v>
      </c>
      <c r="T197" s="9" t="s">
        <v>1707</v>
      </c>
      <c r="U197" s="10" t="s">
        <v>1712</v>
      </c>
      <c r="V197" s="2" t="s">
        <v>53</v>
      </c>
      <c r="W197" s="2">
        <v>6</v>
      </c>
      <c r="X197" s="2" t="s">
        <v>36</v>
      </c>
      <c r="Y197" s="2">
        <v>5</v>
      </c>
      <c r="Z197" s="2" t="s">
        <v>54</v>
      </c>
    </row>
    <row r="198" spans="1:26" x14ac:dyDescent="0.35">
      <c r="A198" s="2" t="s">
        <v>447</v>
      </c>
      <c r="B198" s="3">
        <v>46099</v>
      </c>
      <c r="C198" s="2" t="s">
        <v>448</v>
      </c>
      <c r="D198" s="2" t="s">
        <v>28</v>
      </c>
      <c r="E198" s="2" t="s">
        <v>29</v>
      </c>
      <c r="F198" s="2">
        <v>29</v>
      </c>
      <c r="G198" s="2" t="s">
        <v>122</v>
      </c>
      <c r="H198" s="2" t="s">
        <v>31</v>
      </c>
      <c r="I198" s="2" t="s">
        <v>122</v>
      </c>
      <c r="J198" s="2" t="s">
        <v>100</v>
      </c>
      <c r="K198" s="2">
        <v>5</v>
      </c>
      <c r="L198" s="2">
        <v>2512</v>
      </c>
      <c r="M198" s="2">
        <v>5</v>
      </c>
      <c r="N198" s="2">
        <v>628</v>
      </c>
      <c r="O198" s="2">
        <v>2147.7600000000002</v>
      </c>
      <c r="P198" s="2">
        <v>234</v>
      </c>
      <c r="Q198" s="2">
        <v>14313.76</v>
      </c>
      <c r="R198" s="2" t="s">
        <v>51</v>
      </c>
      <c r="S198" s="2" t="s">
        <v>34</v>
      </c>
      <c r="T198" s="9" t="s">
        <v>1703</v>
      </c>
      <c r="U198" s="10" t="s">
        <v>1701</v>
      </c>
      <c r="V198" s="2" t="s">
        <v>35</v>
      </c>
      <c r="W198" s="2">
        <v>5</v>
      </c>
      <c r="X198" s="2" t="s">
        <v>36</v>
      </c>
      <c r="Y198" s="2">
        <v>2</v>
      </c>
      <c r="Z198" s="2" t="s">
        <v>37</v>
      </c>
    </row>
    <row r="199" spans="1:26" x14ac:dyDescent="0.35">
      <c r="A199" s="2" t="s">
        <v>449</v>
      </c>
      <c r="B199" s="3">
        <v>45809</v>
      </c>
      <c r="C199" s="2" t="s">
        <v>450</v>
      </c>
      <c r="D199" s="2" t="s">
        <v>68</v>
      </c>
      <c r="E199" s="2" t="s">
        <v>41</v>
      </c>
      <c r="F199" s="2">
        <v>33</v>
      </c>
      <c r="G199" s="2" t="s">
        <v>69</v>
      </c>
      <c r="H199" s="2" t="s">
        <v>31</v>
      </c>
      <c r="I199" s="2" t="s">
        <v>69</v>
      </c>
      <c r="J199" s="2" t="s">
        <v>91</v>
      </c>
      <c r="K199" s="2">
        <v>5</v>
      </c>
      <c r="L199" s="2">
        <v>17388</v>
      </c>
      <c r="M199" s="2">
        <v>0</v>
      </c>
      <c r="N199" s="2">
        <v>0</v>
      </c>
      <c r="O199" s="2">
        <v>15649.2</v>
      </c>
      <c r="P199" s="2">
        <v>308</v>
      </c>
      <c r="Q199" s="2">
        <v>102897.2</v>
      </c>
      <c r="R199" s="2" t="s">
        <v>51</v>
      </c>
      <c r="S199" s="2" t="s">
        <v>59</v>
      </c>
      <c r="T199" s="9" t="s">
        <v>1708</v>
      </c>
      <c r="U199" s="10" t="s">
        <v>52</v>
      </c>
      <c r="V199" s="2" t="s">
        <v>77</v>
      </c>
      <c r="W199" s="2">
        <v>7</v>
      </c>
      <c r="X199" s="2" t="s">
        <v>44</v>
      </c>
      <c r="Y199" s="2">
        <v>5</v>
      </c>
      <c r="Z199" s="2" t="s">
        <v>37</v>
      </c>
    </row>
    <row r="200" spans="1:26" x14ac:dyDescent="0.35">
      <c r="A200" s="2" t="s">
        <v>451</v>
      </c>
      <c r="B200" s="3">
        <v>45948</v>
      </c>
      <c r="C200" s="2" t="s">
        <v>408</v>
      </c>
      <c r="D200" s="2" t="s">
        <v>47</v>
      </c>
      <c r="E200" s="2" t="s">
        <v>41</v>
      </c>
      <c r="F200" s="2">
        <v>57</v>
      </c>
      <c r="G200" s="2" t="s">
        <v>127</v>
      </c>
      <c r="H200" s="2" t="s">
        <v>31</v>
      </c>
      <c r="I200" s="2" t="s">
        <v>127</v>
      </c>
      <c r="J200" s="2" t="s">
        <v>50</v>
      </c>
      <c r="K200" s="2">
        <v>2</v>
      </c>
      <c r="L200" s="2">
        <v>2519</v>
      </c>
      <c r="M200" s="2">
        <v>0</v>
      </c>
      <c r="N200" s="2">
        <v>0</v>
      </c>
      <c r="O200" s="2">
        <v>906.84</v>
      </c>
      <c r="P200" s="2">
        <v>204</v>
      </c>
      <c r="Q200" s="2">
        <v>6148.84</v>
      </c>
      <c r="R200" s="2" t="s">
        <v>76</v>
      </c>
      <c r="S200" s="2" t="s">
        <v>34</v>
      </c>
      <c r="T200" s="9" t="s">
        <v>1708</v>
      </c>
      <c r="U200" s="10" t="s">
        <v>52</v>
      </c>
      <c r="V200" s="2" t="s">
        <v>77</v>
      </c>
      <c r="W200" s="2">
        <v>8</v>
      </c>
      <c r="X200" s="2" t="s">
        <v>36</v>
      </c>
      <c r="Y200" s="2">
        <v>3</v>
      </c>
      <c r="Z200" s="2" t="s">
        <v>82</v>
      </c>
    </row>
    <row r="201" spans="1:26" x14ac:dyDescent="0.35">
      <c r="A201" s="2" t="s">
        <v>452</v>
      </c>
      <c r="B201" s="3">
        <v>45873</v>
      </c>
      <c r="C201" s="2" t="s">
        <v>453</v>
      </c>
      <c r="D201" s="2" t="s">
        <v>28</v>
      </c>
      <c r="E201" s="2" t="s">
        <v>41</v>
      </c>
      <c r="F201" s="2">
        <v>51</v>
      </c>
      <c r="G201" s="2" t="s">
        <v>30</v>
      </c>
      <c r="H201" s="2" t="s">
        <v>31</v>
      </c>
      <c r="I201" s="2" t="s">
        <v>30</v>
      </c>
      <c r="J201" s="2" t="s">
        <v>190</v>
      </c>
      <c r="K201" s="2">
        <v>3</v>
      </c>
      <c r="L201" s="2">
        <v>16183</v>
      </c>
      <c r="M201" s="2">
        <v>10</v>
      </c>
      <c r="N201" s="2">
        <v>4854.8999999999996</v>
      </c>
      <c r="O201" s="2">
        <v>7864.94</v>
      </c>
      <c r="P201" s="2">
        <v>2</v>
      </c>
      <c r="Q201" s="2">
        <v>51561.04</v>
      </c>
      <c r="R201" s="2" t="s">
        <v>33</v>
      </c>
      <c r="S201" s="2" t="s">
        <v>59</v>
      </c>
      <c r="T201" s="9" t="s">
        <v>1703</v>
      </c>
      <c r="U201" s="10" t="s">
        <v>1701</v>
      </c>
      <c r="V201" s="2" t="s">
        <v>35</v>
      </c>
      <c r="W201" s="2">
        <v>6</v>
      </c>
      <c r="X201" s="2" t="s">
        <v>44</v>
      </c>
      <c r="Y201" s="2">
        <v>2</v>
      </c>
      <c r="Z201" s="2" t="s">
        <v>44</v>
      </c>
    </row>
    <row r="202" spans="1:26" x14ac:dyDescent="0.35">
      <c r="A202" s="2" t="s">
        <v>454</v>
      </c>
      <c r="B202" s="3">
        <v>45862</v>
      </c>
      <c r="C202" s="2" t="s">
        <v>438</v>
      </c>
      <c r="D202" s="2" t="s">
        <v>40</v>
      </c>
      <c r="E202" s="2" t="s">
        <v>29</v>
      </c>
      <c r="F202" s="2">
        <v>18</v>
      </c>
      <c r="G202" s="2" t="s">
        <v>127</v>
      </c>
      <c r="H202" s="2" t="s">
        <v>31</v>
      </c>
      <c r="I202" s="2" t="s">
        <v>127</v>
      </c>
      <c r="J202" s="2" t="s">
        <v>50</v>
      </c>
      <c r="K202" s="2">
        <v>1</v>
      </c>
      <c r="L202" s="2">
        <v>10602</v>
      </c>
      <c r="M202" s="2">
        <v>5</v>
      </c>
      <c r="N202" s="2">
        <v>530.1</v>
      </c>
      <c r="O202" s="2">
        <v>1812.94</v>
      </c>
      <c r="P202" s="2">
        <v>367</v>
      </c>
      <c r="Q202" s="2">
        <v>12251.84</v>
      </c>
      <c r="R202" s="2" t="s">
        <v>33</v>
      </c>
      <c r="S202" s="2" t="s">
        <v>34</v>
      </c>
      <c r="T202" s="9" t="s">
        <v>1709</v>
      </c>
      <c r="U202" s="10" t="s">
        <v>52</v>
      </c>
      <c r="V202" s="2" t="s">
        <v>53</v>
      </c>
      <c r="W202" s="2">
        <v>2</v>
      </c>
      <c r="X202" s="2" t="s">
        <v>36</v>
      </c>
      <c r="Y202" s="2">
        <v>1</v>
      </c>
      <c r="Z202" s="2" t="s">
        <v>54</v>
      </c>
    </row>
    <row r="203" spans="1:26" x14ac:dyDescent="0.35">
      <c r="A203" s="2" t="s">
        <v>455</v>
      </c>
      <c r="B203" s="3">
        <v>45911</v>
      </c>
      <c r="C203" s="2" t="s">
        <v>456</v>
      </c>
      <c r="D203" s="2" t="s">
        <v>62</v>
      </c>
      <c r="E203" s="2" t="s">
        <v>29</v>
      </c>
      <c r="F203" s="2">
        <v>21</v>
      </c>
      <c r="G203" s="2" t="s">
        <v>127</v>
      </c>
      <c r="H203" s="2" t="s">
        <v>31</v>
      </c>
      <c r="I203" s="2" t="s">
        <v>127</v>
      </c>
      <c r="J203" s="2" t="s">
        <v>113</v>
      </c>
      <c r="K203" s="2">
        <v>4</v>
      </c>
      <c r="L203" s="2">
        <v>7961</v>
      </c>
      <c r="M203" s="2">
        <v>10</v>
      </c>
      <c r="N203" s="2">
        <v>3184.4</v>
      </c>
      <c r="O203" s="2">
        <v>5158.7299999999996</v>
      </c>
      <c r="P203" s="2">
        <v>317</v>
      </c>
      <c r="Q203" s="2">
        <v>34135.33</v>
      </c>
      <c r="R203" s="2" t="s">
        <v>33</v>
      </c>
      <c r="S203" s="2" t="s">
        <v>34</v>
      </c>
      <c r="T203" s="9" t="s">
        <v>1704</v>
      </c>
      <c r="U203" s="10" t="s">
        <v>52</v>
      </c>
      <c r="V203" s="2" t="s">
        <v>35</v>
      </c>
      <c r="W203" s="2">
        <v>4</v>
      </c>
      <c r="X203" s="2" t="s">
        <v>44</v>
      </c>
      <c r="Y203" s="2">
        <v>5</v>
      </c>
      <c r="Z203" s="2" t="s">
        <v>82</v>
      </c>
    </row>
    <row r="204" spans="1:26" x14ac:dyDescent="0.35">
      <c r="A204" s="2" t="s">
        <v>457</v>
      </c>
      <c r="B204" s="3">
        <v>46072</v>
      </c>
      <c r="C204" s="2" t="s">
        <v>458</v>
      </c>
      <c r="D204" s="2" t="s">
        <v>62</v>
      </c>
      <c r="E204" s="2" t="s">
        <v>29</v>
      </c>
      <c r="F204" s="2">
        <v>19</v>
      </c>
      <c r="G204" s="2" t="s">
        <v>48</v>
      </c>
      <c r="H204" s="2" t="s">
        <v>49</v>
      </c>
      <c r="I204" s="2" t="s">
        <v>48</v>
      </c>
      <c r="J204" s="2" t="s">
        <v>32</v>
      </c>
      <c r="K204" s="2">
        <v>1</v>
      </c>
      <c r="L204" s="2">
        <v>12794</v>
      </c>
      <c r="M204" s="2">
        <v>0</v>
      </c>
      <c r="N204" s="2">
        <v>0</v>
      </c>
      <c r="O204" s="2">
        <v>2302.92</v>
      </c>
      <c r="P204" s="2">
        <v>244</v>
      </c>
      <c r="Q204" s="2">
        <v>15340.92</v>
      </c>
      <c r="R204" s="2" t="s">
        <v>33</v>
      </c>
      <c r="S204" s="2" t="s">
        <v>59</v>
      </c>
      <c r="T204" s="9" t="s">
        <v>1703</v>
      </c>
      <c r="U204" s="10" t="s">
        <v>1701</v>
      </c>
      <c r="V204" s="2" t="s">
        <v>35</v>
      </c>
      <c r="W204" s="2">
        <v>6</v>
      </c>
      <c r="X204" s="2" t="s">
        <v>36</v>
      </c>
      <c r="Y204" s="2">
        <v>3</v>
      </c>
      <c r="Z204" s="2" t="s">
        <v>82</v>
      </c>
    </row>
    <row r="205" spans="1:26" x14ac:dyDescent="0.35">
      <c r="A205" s="2" t="s">
        <v>459</v>
      </c>
      <c r="B205" s="3">
        <v>45806</v>
      </c>
      <c r="C205" s="2" t="s">
        <v>460</v>
      </c>
      <c r="D205" s="2" t="s">
        <v>99</v>
      </c>
      <c r="E205" s="2" t="s">
        <v>29</v>
      </c>
      <c r="F205" s="2">
        <v>35</v>
      </c>
      <c r="G205" s="2" t="s">
        <v>81</v>
      </c>
      <c r="H205" s="2" t="s">
        <v>31</v>
      </c>
      <c r="I205" s="2" t="s">
        <v>81</v>
      </c>
      <c r="J205" s="2" t="s">
        <v>113</v>
      </c>
      <c r="K205" s="2">
        <v>4</v>
      </c>
      <c r="L205" s="2">
        <v>22668</v>
      </c>
      <c r="M205" s="2">
        <v>5</v>
      </c>
      <c r="N205" s="2">
        <v>4533.6000000000004</v>
      </c>
      <c r="O205" s="2">
        <v>15504.91</v>
      </c>
      <c r="P205" s="2">
        <v>15</v>
      </c>
      <c r="Q205" s="2">
        <v>101658.31</v>
      </c>
      <c r="R205" s="2" t="s">
        <v>76</v>
      </c>
      <c r="S205" s="2" t="s">
        <v>59</v>
      </c>
      <c r="T205" s="9" t="s">
        <v>1710</v>
      </c>
      <c r="U205" s="10" t="s">
        <v>1711</v>
      </c>
      <c r="V205" s="2" t="s">
        <v>53</v>
      </c>
      <c r="W205" s="2">
        <v>8</v>
      </c>
      <c r="X205" s="2" t="s">
        <v>36</v>
      </c>
      <c r="Y205" s="2">
        <v>5</v>
      </c>
      <c r="Z205" s="2" t="s">
        <v>44</v>
      </c>
    </row>
    <row r="206" spans="1:26" x14ac:dyDescent="0.35">
      <c r="A206" s="2" t="s">
        <v>461</v>
      </c>
      <c r="B206" s="3">
        <v>46031</v>
      </c>
      <c r="C206" s="2" t="s">
        <v>462</v>
      </c>
      <c r="D206" s="2" t="s">
        <v>57</v>
      </c>
      <c r="E206" s="2" t="s">
        <v>29</v>
      </c>
      <c r="F206" s="2">
        <v>41</v>
      </c>
      <c r="G206" s="2" t="s">
        <v>30</v>
      </c>
      <c r="H206" s="2" t="s">
        <v>31</v>
      </c>
      <c r="I206" s="2" t="s">
        <v>30</v>
      </c>
      <c r="J206" s="2" t="s">
        <v>100</v>
      </c>
      <c r="K206" s="2">
        <v>3</v>
      </c>
      <c r="L206" s="2">
        <v>5734</v>
      </c>
      <c r="M206" s="2">
        <v>20</v>
      </c>
      <c r="N206" s="2">
        <v>3440.4</v>
      </c>
      <c r="O206" s="2">
        <v>2477.09</v>
      </c>
      <c r="P206" s="2">
        <v>0</v>
      </c>
      <c r="Q206" s="2">
        <v>16238.69</v>
      </c>
      <c r="R206" s="2" t="s">
        <v>76</v>
      </c>
      <c r="S206" s="2" t="s">
        <v>59</v>
      </c>
      <c r="T206" s="9" t="s">
        <v>1706</v>
      </c>
      <c r="U206" s="10" t="s">
        <v>52</v>
      </c>
      <c r="V206" s="2" t="s">
        <v>53</v>
      </c>
      <c r="W206" s="2">
        <v>5</v>
      </c>
      <c r="X206" s="2" t="s">
        <v>44</v>
      </c>
      <c r="Y206" s="2">
        <v>3</v>
      </c>
      <c r="Z206" s="2" t="s">
        <v>54</v>
      </c>
    </row>
    <row r="207" spans="1:26" x14ac:dyDescent="0.35">
      <c r="A207" s="2" t="s">
        <v>463</v>
      </c>
      <c r="B207" s="3">
        <v>45926</v>
      </c>
      <c r="C207" s="2" t="s">
        <v>464</v>
      </c>
      <c r="D207" s="2" t="s">
        <v>47</v>
      </c>
      <c r="E207" s="2" t="s">
        <v>29</v>
      </c>
      <c r="F207" s="2">
        <v>59</v>
      </c>
      <c r="G207" s="2" t="s">
        <v>127</v>
      </c>
      <c r="H207" s="2" t="s">
        <v>31</v>
      </c>
      <c r="I207" s="2" t="s">
        <v>127</v>
      </c>
      <c r="J207" s="2" t="s">
        <v>91</v>
      </c>
      <c r="K207" s="2">
        <v>4</v>
      </c>
      <c r="L207" s="2">
        <v>30869</v>
      </c>
      <c r="M207" s="2">
        <v>0</v>
      </c>
      <c r="N207" s="2">
        <v>0</v>
      </c>
      <c r="O207" s="2">
        <v>22225.68</v>
      </c>
      <c r="P207" s="2">
        <v>282</v>
      </c>
      <c r="Q207" s="2">
        <v>145983.67999999999</v>
      </c>
      <c r="R207" s="2" t="s">
        <v>76</v>
      </c>
      <c r="S207" s="2" t="s">
        <v>34</v>
      </c>
      <c r="T207" s="9" t="s">
        <v>1708</v>
      </c>
      <c r="U207" s="10" t="s">
        <v>52</v>
      </c>
      <c r="V207" s="2" t="s">
        <v>77</v>
      </c>
      <c r="W207" s="2">
        <v>7</v>
      </c>
      <c r="X207" s="2" t="s">
        <v>36</v>
      </c>
      <c r="Y207" s="2">
        <v>4</v>
      </c>
      <c r="Z207" s="2" t="s">
        <v>82</v>
      </c>
    </row>
    <row r="208" spans="1:26" x14ac:dyDescent="0.35">
      <c r="A208" s="2" t="s">
        <v>465</v>
      </c>
      <c r="B208" s="3">
        <v>45797</v>
      </c>
      <c r="C208" s="2" t="s">
        <v>466</v>
      </c>
      <c r="D208" s="2" t="s">
        <v>62</v>
      </c>
      <c r="E208" s="2" t="s">
        <v>29</v>
      </c>
      <c r="F208" s="2">
        <v>49</v>
      </c>
      <c r="G208" s="2" t="s">
        <v>63</v>
      </c>
      <c r="H208" s="2" t="s">
        <v>64</v>
      </c>
      <c r="I208" s="2" t="s">
        <v>63</v>
      </c>
      <c r="J208" s="2" t="s">
        <v>32</v>
      </c>
      <c r="K208" s="2">
        <v>1</v>
      </c>
      <c r="L208" s="2">
        <v>7798</v>
      </c>
      <c r="M208" s="2">
        <v>10</v>
      </c>
      <c r="N208" s="2">
        <v>779.8</v>
      </c>
      <c r="O208" s="2">
        <v>1263.28</v>
      </c>
      <c r="P208" s="2">
        <v>371</v>
      </c>
      <c r="Q208" s="2">
        <v>8652.48</v>
      </c>
      <c r="R208" s="2" t="s">
        <v>76</v>
      </c>
      <c r="S208" s="2" t="s">
        <v>59</v>
      </c>
      <c r="T208" s="9" t="s">
        <v>1706</v>
      </c>
      <c r="U208" s="10" t="s">
        <v>52</v>
      </c>
      <c r="V208" s="2" t="s">
        <v>53</v>
      </c>
      <c r="W208" s="2">
        <v>6</v>
      </c>
      <c r="X208" s="2" t="s">
        <v>36</v>
      </c>
      <c r="Y208" s="2">
        <v>3</v>
      </c>
      <c r="Z208" s="2" t="s">
        <v>54</v>
      </c>
    </row>
    <row r="209" spans="1:26" x14ac:dyDescent="0.35">
      <c r="A209" s="2" t="s">
        <v>467</v>
      </c>
      <c r="B209" s="3">
        <v>45912</v>
      </c>
      <c r="C209" s="2" t="s">
        <v>468</v>
      </c>
      <c r="D209" s="2" t="s">
        <v>73</v>
      </c>
      <c r="E209" s="2" t="s">
        <v>41</v>
      </c>
      <c r="F209" s="2">
        <v>49</v>
      </c>
      <c r="G209" s="2" t="s">
        <v>127</v>
      </c>
      <c r="H209" s="2" t="s">
        <v>31</v>
      </c>
      <c r="I209" s="2" t="s">
        <v>127</v>
      </c>
      <c r="J209" s="2" t="s">
        <v>91</v>
      </c>
      <c r="K209" s="2">
        <v>2</v>
      </c>
      <c r="L209" s="2">
        <v>41986</v>
      </c>
      <c r="M209" s="2">
        <v>5</v>
      </c>
      <c r="N209" s="2">
        <v>4198.6000000000004</v>
      </c>
      <c r="O209" s="2">
        <v>14359.21</v>
      </c>
      <c r="P209" s="2">
        <v>169</v>
      </c>
      <c r="Q209" s="2">
        <v>94301.61</v>
      </c>
      <c r="R209" s="2" t="s">
        <v>76</v>
      </c>
      <c r="S209" s="2" t="s">
        <v>59</v>
      </c>
      <c r="T209" s="9" t="s">
        <v>1706</v>
      </c>
      <c r="U209" s="10" t="s">
        <v>52</v>
      </c>
      <c r="V209" s="2" t="s">
        <v>53</v>
      </c>
      <c r="W209" s="2">
        <v>6</v>
      </c>
      <c r="X209" s="2" t="s">
        <v>44</v>
      </c>
      <c r="Y209" s="2">
        <v>5</v>
      </c>
      <c r="Z209" s="2" t="s">
        <v>82</v>
      </c>
    </row>
    <row r="210" spans="1:26" x14ac:dyDescent="0.35">
      <c r="A210" s="2" t="s">
        <v>469</v>
      </c>
      <c r="B210" s="3">
        <v>46020</v>
      </c>
      <c r="C210" s="2" t="s">
        <v>470</v>
      </c>
      <c r="D210" s="2" t="s">
        <v>62</v>
      </c>
      <c r="E210" s="2" t="s">
        <v>29</v>
      </c>
      <c r="F210" s="2">
        <v>26</v>
      </c>
      <c r="G210" s="2" t="s">
        <v>122</v>
      </c>
      <c r="H210" s="2" t="s">
        <v>31</v>
      </c>
      <c r="I210" s="2" t="s">
        <v>122</v>
      </c>
      <c r="J210" s="2" t="s">
        <v>113</v>
      </c>
      <c r="K210" s="2">
        <v>1</v>
      </c>
      <c r="L210" s="2">
        <v>31155</v>
      </c>
      <c r="M210" s="2">
        <v>5</v>
      </c>
      <c r="N210" s="2">
        <v>1557.75</v>
      </c>
      <c r="O210" s="2">
        <v>5327.51</v>
      </c>
      <c r="P210" s="2">
        <v>11</v>
      </c>
      <c r="Q210" s="2">
        <v>34935.75</v>
      </c>
      <c r="R210" s="2" t="s">
        <v>51</v>
      </c>
      <c r="S210" s="2" t="s">
        <v>34</v>
      </c>
      <c r="T210" s="9" t="s">
        <v>1709</v>
      </c>
      <c r="U210" s="10" t="s">
        <v>52</v>
      </c>
      <c r="V210" s="2" t="s">
        <v>53</v>
      </c>
      <c r="W210" s="2">
        <v>1</v>
      </c>
      <c r="X210" s="2" t="s">
        <v>44</v>
      </c>
      <c r="Y210" s="2">
        <v>5</v>
      </c>
      <c r="Z210" s="2" t="s">
        <v>37</v>
      </c>
    </row>
    <row r="211" spans="1:26" x14ac:dyDescent="0.35">
      <c r="A211" s="2" t="s">
        <v>471</v>
      </c>
      <c r="B211" s="3">
        <v>45836</v>
      </c>
      <c r="C211" s="2" t="s">
        <v>238</v>
      </c>
      <c r="D211" s="2" t="s">
        <v>62</v>
      </c>
      <c r="E211" s="2" t="s">
        <v>41</v>
      </c>
      <c r="F211" s="2">
        <v>53</v>
      </c>
      <c r="G211" s="2" t="s">
        <v>81</v>
      </c>
      <c r="H211" s="2" t="s">
        <v>31</v>
      </c>
      <c r="I211" s="2" t="s">
        <v>81</v>
      </c>
      <c r="J211" s="2" t="s">
        <v>138</v>
      </c>
      <c r="K211" s="2">
        <v>4</v>
      </c>
      <c r="L211" s="2">
        <v>41074</v>
      </c>
      <c r="M211" s="2">
        <v>20</v>
      </c>
      <c r="N211" s="2">
        <v>32859.199999999997</v>
      </c>
      <c r="O211" s="2">
        <v>23658.62</v>
      </c>
      <c r="P211" s="2">
        <v>115</v>
      </c>
      <c r="Q211" s="2">
        <v>155210.42000000001</v>
      </c>
      <c r="R211" s="2" t="s">
        <v>43</v>
      </c>
      <c r="S211" s="2" t="s">
        <v>34</v>
      </c>
      <c r="T211" s="9" t="s">
        <v>1710</v>
      </c>
      <c r="U211" s="10" t="s">
        <v>1711</v>
      </c>
      <c r="V211" s="2" t="s">
        <v>53</v>
      </c>
      <c r="W211" s="2">
        <v>1</v>
      </c>
      <c r="X211" s="2" t="s">
        <v>36</v>
      </c>
      <c r="Y211" s="2">
        <v>1</v>
      </c>
      <c r="Z211" s="2" t="s">
        <v>44</v>
      </c>
    </row>
    <row r="212" spans="1:26" x14ac:dyDescent="0.35">
      <c r="A212" s="2" t="s">
        <v>472</v>
      </c>
      <c r="B212" s="3">
        <v>46013</v>
      </c>
      <c r="C212" s="2" t="s">
        <v>473</v>
      </c>
      <c r="D212" s="2" t="s">
        <v>68</v>
      </c>
      <c r="E212" s="2" t="s">
        <v>29</v>
      </c>
      <c r="F212" s="2">
        <v>50</v>
      </c>
      <c r="G212" s="2" t="s">
        <v>81</v>
      </c>
      <c r="H212" s="2" t="s">
        <v>31</v>
      </c>
      <c r="I212" s="2" t="s">
        <v>81</v>
      </c>
      <c r="J212" s="2" t="s">
        <v>138</v>
      </c>
      <c r="K212" s="2">
        <v>1</v>
      </c>
      <c r="L212" s="2">
        <v>47164</v>
      </c>
      <c r="M212" s="2">
        <v>20</v>
      </c>
      <c r="N212" s="2">
        <v>9432.7999999999993</v>
      </c>
      <c r="O212" s="2">
        <v>6791.62</v>
      </c>
      <c r="P212" s="2">
        <v>27</v>
      </c>
      <c r="Q212" s="2">
        <v>44549.82</v>
      </c>
      <c r="R212" s="2" t="s">
        <v>33</v>
      </c>
      <c r="S212" s="2" t="s">
        <v>59</v>
      </c>
      <c r="T212" s="9" t="s">
        <v>1703</v>
      </c>
      <c r="U212" s="10" t="s">
        <v>1701</v>
      </c>
      <c r="V212" s="2" t="s">
        <v>35</v>
      </c>
      <c r="W212" s="2">
        <v>3</v>
      </c>
      <c r="X212" s="2" t="s">
        <v>44</v>
      </c>
      <c r="Y212" s="2">
        <v>3</v>
      </c>
      <c r="Z212" s="2" t="s">
        <v>82</v>
      </c>
    </row>
    <row r="213" spans="1:26" x14ac:dyDescent="0.35">
      <c r="A213" s="2" t="s">
        <v>474</v>
      </c>
      <c r="B213" s="3">
        <v>46001</v>
      </c>
      <c r="C213" s="2" t="s">
        <v>475</v>
      </c>
      <c r="D213" s="2" t="s">
        <v>68</v>
      </c>
      <c r="E213" s="2" t="s">
        <v>29</v>
      </c>
      <c r="F213" s="2">
        <v>35</v>
      </c>
      <c r="G213" s="2" t="s">
        <v>48</v>
      </c>
      <c r="H213" s="2" t="s">
        <v>49</v>
      </c>
      <c r="I213" s="2" t="s">
        <v>48</v>
      </c>
      <c r="J213" s="2" t="s">
        <v>70</v>
      </c>
      <c r="K213" s="2">
        <v>4</v>
      </c>
      <c r="L213" s="2">
        <v>12596</v>
      </c>
      <c r="M213" s="2">
        <v>15</v>
      </c>
      <c r="N213" s="2">
        <v>7557.6</v>
      </c>
      <c r="O213" s="2">
        <v>7708.75</v>
      </c>
      <c r="P213" s="2">
        <v>445</v>
      </c>
      <c r="Q213" s="2">
        <v>50980.15</v>
      </c>
      <c r="R213" s="2" t="s">
        <v>43</v>
      </c>
      <c r="S213" s="2" t="s">
        <v>34</v>
      </c>
      <c r="T213" s="9" t="s">
        <v>1705</v>
      </c>
      <c r="U213" s="10" t="s">
        <v>1702</v>
      </c>
      <c r="V213" s="2" t="s">
        <v>53</v>
      </c>
      <c r="W213" s="2">
        <v>8</v>
      </c>
      <c r="X213" s="2" t="s">
        <v>36</v>
      </c>
      <c r="Y213" s="2">
        <v>3</v>
      </c>
      <c r="Z213" s="2" t="s">
        <v>54</v>
      </c>
    </row>
    <row r="214" spans="1:26" x14ac:dyDescent="0.35">
      <c r="A214" s="2" t="s">
        <v>476</v>
      </c>
      <c r="B214" s="3">
        <v>46086</v>
      </c>
      <c r="C214" s="2" t="s">
        <v>477</v>
      </c>
      <c r="D214" s="2" t="s">
        <v>40</v>
      </c>
      <c r="E214" s="2" t="s">
        <v>41</v>
      </c>
      <c r="F214" s="2">
        <v>35</v>
      </c>
      <c r="G214" s="2" t="s">
        <v>122</v>
      </c>
      <c r="H214" s="2" t="s">
        <v>31</v>
      </c>
      <c r="I214" s="2" t="s">
        <v>122</v>
      </c>
      <c r="J214" s="2" t="s">
        <v>58</v>
      </c>
      <c r="K214" s="2">
        <v>3</v>
      </c>
      <c r="L214" s="2">
        <v>17489</v>
      </c>
      <c r="M214" s="2">
        <v>20</v>
      </c>
      <c r="N214" s="2">
        <v>10493.4</v>
      </c>
      <c r="O214" s="2">
        <v>7555.25</v>
      </c>
      <c r="P214" s="2">
        <v>241</v>
      </c>
      <c r="Q214" s="2">
        <v>49769.85</v>
      </c>
      <c r="R214" s="2" t="s">
        <v>76</v>
      </c>
      <c r="S214" s="2" t="s">
        <v>34</v>
      </c>
      <c r="T214" s="9" t="s">
        <v>1708</v>
      </c>
      <c r="U214" s="10" t="s">
        <v>52</v>
      </c>
      <c r="V214" s="2" t="s">
        <v>77</v>
      </c>
      <c r="W214" s="2">
        <v>8</v>
      </c>
      <c r="X214" s="2" t="s">
        <v>44</v>
      </c>
      <c r="Y214" s="2">
        <v>4</v>
      </c>
      <c r="Z214" s="2" t="s">
        <v>82</v>
      </c>
    </row>
    <row r="215" spans="1:26" x14ac:dyDescent="0.35">
      <c r="A215" s="2" t="s">
        <v>478</v>
      </c>
      <c r="B215" s="3">
        <v>46056</v>
      </c>
      <c r="C215" s="2" t="s">
        <v>412</v>
      </c>
      <c r="D215" s="2" t="s">
        <v>47</v>
      </c>
      <c r="E215" s="2" t="s">
        <v>41</v>
      </c>
      <c r="F215" s="2">
        <v>54</v>
      </c>
      <c r="G215" s="2" t="s">
        <v>42</v>
      </c>
      <c r="H215" s="2" t="s">
        <v>31</v>
      </c>
      <c r="I215" s="2" t="s">
        <v>42</v>
      </c>
      <c r="J215" s="2" t="s">
        <v>113</v>
      </c>
      <c r="K215" s="2">
        <v>2</v>
      </c>
      <c r="L215" s="2">
        <v>8534</v>
      </c>
      <c r="M215" s="2">
        <v>0</v>
      </c>
      <c r="N215" s="2">
        <v>0</v>
      </c>
      <c r="O215" s="2">
        <v>3072.24</v>
      </c>
      <c r="P215" s="2">
        <v>230</v>
      </c>
      <c r="Q215" s="2">
        <v>20370.240000000002</v>
      </c>
      <c r="R215" s="2" t="s">
        <v>33</v>
      </c>
      <c r="S215" s="2" t="s">
        <v>59</v>
      </c>
      <c r="T215" s="9" t="s">
        <v>1703</v>
      </c>
      <c r="U215" s="10" t="s">
        <v>1701</v>
      </c>
      <c r="V215" s="2" t="s">
        <v>35</v>
      </c>
      <c r="W215" s="2">
        <v>6</v>
      </c>
      <c r="X215" s="2" t="s">
        <v>36</v>
      </c>
      <c r="Y215" s="2">
        <v>3</v>
      </c>
      <c r="Z215" s="2" t="s">
        <v>54</v>
      </c>
    </row>
    <row r="216" spans="1:26" x14ac:dyDescent="0.35">
      <c r="A216" s="2" t="s">
        <v>479</v>
      </c>
      <c r="B216" s="3">
        <v>46006</v>
      </c>
      <c r="C216" s="2" t="s">
        <v>480</v>
      </c>
      <c r="D216" s="2" t="s">
        <v>96</v>
      </c>
      <c r="E216" s="2" t="s">
        <v>29</v>
      </c>
      <c r="F216" s="2">
        <v>48</v>
      </c>
      <c r="G216" s="2" t="s">
        <v>88</v>
      </c>
      <c r="H216" s="2" t="s">
        <v>49</v>
      </c>
      <c r="I216" s="2" t="s">
        <v>88</v>
      </c>
      <c r="J216" s="2" t="s">
        <v>113</v>
      </c>
      <c r="K216" s="2">
        <v>4</v>
      </c>
      <c r="L216" s="2">
        <v>22679</v>
      </c>
      <c r="M216" s="2">
        <v>0</v>
      </c>
      <c r="N216" s="2">
        <v>0</v>
      </c>
      <c r="O216" s="2">
        <v>16328.88</v>
      </c>
      <c r="P216" s="2">
        <v>412</v>
      </c>
      <c r="Q216" s="2">
        <v>107456.88</v>
      </c>
      <c r="R216" s="2" t="s">
        <v>51</v>
      </c>
      <c r="S216" s="2" t="s">
        <v>59</v>
      </c>
      <c r="T216" s="9" t="s">
        <v>1707</v>
      </c>
      <c r="U216" s="10" t="s">
        <v>1712</v>
      </c>
      <c r="V216" s="2" t="s">
        <v>53</v>
      </c>
      <c r="W216" s="2">
        <v>4</v>
      </c>
      <c r="X216" s="2" t="s">
        <v>36</v>
      </c>
      <c r="Y216" s="2">
        <v>5</v>
      </c>
      <c r="Z216" s="2" t="s">
        <v>44</v>
      </c>
    </row>
    <row r="217" spans="1:26" x14ac:dyDescent="0.35">
      <c r="A217" s="2" t="s">
        <v>481</v>
      </c>
      <c r="B217" s="3">
        <v>45834</v>
      </c>
      <c r="C217" s="2" t="s">
        <v>482</v>
      </c>
      <c r="D217" s="2" t="s">
        <v>80</v>
      </c>
      <c r="E217" s="2" t="s">
        <v>41</v>
      </c>
      <c r="F217" s="2">
        <v>29</v>
      </c>
      <c r="G217" s="2" t="s">
        <v>85</v>
      </c>
      <c r="H217" s="2" t="s">
        <v>31</v>
      </c>
      <c r="I217" s="2" t="s">
        <v>85</v>
      </c>
      <c r="J217" s="2" t="s">
        <v>65</v>
      </c>
      <c r="K217" s="2">
        <v>3</v>
      </c>
      <c r="L217" s="2">
        <v>10780</v>
      </c>
      <c r="M217" s="2">
        <v>15</v>
      </c>
      <c r="N217" s="2">
        <v>4851</v>
      </c>
      <c r="O217" s="2">
        <v>4948.0200000000004</v>
      </c>
      <c r="P217" s="2">
        <v>12</v>
      </c>
      <c r="Q217" s="2">
        <v>32449.02</v>
      </c>
      <c r="R217" s="2" t="s">
        <v>76</v>
      </c>
      <c r="S217" s="2" t="s">
        <v>59</v>
      </c>
      <c r="T217" s="9" t="s">
        <v>1708</v>
      </c>
      <c r="U217" s="10" t="s">
        <v>52</v>
      </c>
      <c r="V217" s="2" t="s">
        <v>77</v>
      </c>
      <c r="W217" s="2">
        <v>6</v>
      </c>
      <c r="X217" s="2" t="s">
        <v>36</v>
      </c>
      <c r="Y217" s="2">
        <v>2</v>
      </c>
      <c r="Z217" s="2" t="s">
        <v>37</v>
      </c>
    </row>
    <row r="218" spans="1:26" x14ac:dyDescent="0.35">
      <c r="A218" s="2" t="s">
        <v>483</v>
      </c>
      <c r="B218" s="3">
        <v>45780</v>
      </c>
      <c r="C218" s="2" t="s">
        <v>484</v>
      </c>
      <c r="D218" s="2" t="s">
        <v>47</v>
      </c>
      <c r="E218" s="2" t="s">
        <v>29</v>
      </c>
      <c r="F218" s="2">
        <v>22</v>
      </c>
      <c r="G218" s="2" t="s">
        <v>88</v>
      </c>
      <c r="H218" s="2" t="s">
        <v>49</v>
      </c>
      <c r="I218" s="2" t="s">
        <v>88</v>
      </c>
      <c r="J218" s="2" t="s">
        <v>190</v>
      </c>
      <c r="K218" s="2">
        <v>1</v>
      </c>
      <c r="L218" s="2">
        <v>41995</v>
      </c>
      <c r="M218" s="2">
        <v>15</v>
      </c>
      <c r="N218" s="2">
        <v>6299.25</v>
      </c>
      <c r="O218" s="2">
        <v>6425.23</v>
      </c>
      <c r="P218" s="2">
        <v>363</v>
      </c>
      <c r="Q218" s="2">
        <v>42483.99</v>
      </c>
      <c r="R218" s="2" t="s">
        <v>33</v>
      </c>
      <c r="S218" s="2" t="s">
        <v>34</v>
      </c>
      <c r="T218" s="9" t="s">
        <v>1703</v>
      </c>
      <c r="U218" s="10" t="s">
        <v>1701</v>
      </c>
      <c r="V218" s="2" t="s">
        <v>35</v>
      </c>
      <c r="W218" s="2">
        <v>10</v>
      </c>
      <c r="X218" s="2" t="s">
        <v>36</v>
      </c>
      <c r="Y218" s="2">
        <v>3</v>
      </c>
      <c r="Z218" s="2" t="s">
        <v>82</v>
      </c>
    </row>
    <row r="219" spans="1:26" x14ac:dyDescent="0.35">
      <c r="A219" s="2" t="s">
        <v>485</v>
      </c>
      <c r="B219" s="3">
        <v>45800</v>
      </c>
      <c r="C219" s="2" t="s">
        <v>486</v>
      </c>
      <c r="D219" s="2" t="s">
        <v>62</v>
      </c>
      <c r="E219" s="2" t="s">
        <v>29</v>
      </c>
      <c r="F219" s="2">
        <v>51</v>
      </c>
      <c r="G219" s="2" t="s">
        <v>42</v>
      </c>
      <c r="H219" s="2" t="s">
        <v>31</v>
      </c>
      <c r="I219" s="2" t="s">
        <v>42</v>
      </c>
      <c r="J219" s="2" t="s">
        <v>91</v>
      </c>
      <c r="K219" s="2">
        <v>1</v>
      </c>
      <c r="L219" s="2">
        <v>2778</v>
      </c>
      <c r="M219" s="2">
        <v>15</v>
      </c>
      <c r="N219" s="2">
        <v>416.7</v>
      </c>
      <c r="O219" s="2">
        <v>425.03</v>
      </c>
      <c r="P219" s="2">
        <v>387</v>
      </c>
      <c r="Q219" s="2">
        <v>3173.33</v>
      </c>
      <c r="R219" s="2" t="s">
        <v>76</v>
      </c>
      <c r="S219" s="2" t="s">
        <v>59</v>
      </c>
      <c r="T219" s="9" t="s">
        <v>1708</v>
      </c>
      <c r="U219" s="10" t="s">
        <v>52</v>
      </c>
      <c r="V219" s="2" t="s">
        <v>77</v>
      </c>
      <c r="W219" s="2">
        <v>9</v>
      </c>
      <c r="X219" s="2" t="s">
        <v>36</v>
      </c>
      <c r="Y219" s="2">
        <v>5</v>
      </c>
      <c r="Z219" s="2" t="s">
        <v>37</v>
      </c>
    </row>
    <row r="220" spans="1:26" x14ac:dyDescent="0.35">
      <c r="A220" s="2" t="s">
        <v>487</v>
      </c>
      <c r="B220" s="3">
        <v>45836</v>
      </c>
      <c r="C220" s="2" t="s">
        <v>488</v>
      </c>
      <c r="D220" s="2" t="s">
        <v>73</v>
      </c>
      <c r="E220" s="2" t="s">
        <v>41</v>
      </c>
      <c r="F220" s="2">
        <v>27</v>
      </c>
      <c r="G220" s="2" t="s">
        <v>63</v>
      </c>
      <c r="H220" s="2" t="s">
        <v>64</v>
      </c>
      <c r="I220" s="2" t="s">
        <v>63</v>
      </c>
      <c r="J220" s="2" t="s">
        <v>65</v>
      </c>
      <c r="K220" s="2">
        <v>3</v>
      </c>
      <c r="L220" s="2">
        <v>35468</v>
      </c>
      <c r="M220" s="2">
        <v>5</v>
      </c>
      <c r="N220" s="2">
        <v>5320.2</v>
      </c>
      <c r="O220" s="2">
        <v>18195.080000000002</v>
      </c>
      <c r="P220" s="2">
        <v>238</v>
      </c>
      <c r="Q220" s="2">
        <v>119516.88</v>
      </c>
      <c r="R220" s="2" t="s">
        <v>51</v>
      </c>
      <c r="S220" s="2" t="s">
        <v>59</v>
      </c>
      <c r="T220" s="9" t="s">
        <v>1709</v>
      </c>
      <c r="U220" s="10" t="s">
        <v>52</v>
      </c>
      <c r="V220" s="2" t="s">
        <v>53</v>
      </c>
      <c r="W220" s="2">
        <v>4</v>
      </c>
      <c r="X220" s="2" t="s">
        <v>44</v>
      </c>
      <c r="Y220" s="2">
        <v>1</v>
      </c>
      <c r="Z220" s="2" t="s">
        <v>82</v>
      </c>
    </row>
    <row r="221" spans="1:26" x14ac:dyDescent="0.35">
      <c r="A221" s="2" t="s">
        <v>489</v>
      </c>
      <c r="B221" s="3">
        <v>45990</v>
      </c>
      <c r="C221" s="2" t="s">
        <v>490</v>
      </c>
      <c r="D221" s="2" t="s">
        <v>80</v>
      </c>
      <c r="E221" s="2" t="s">
        <v>29</v>
      </c>
      <c r="F221" s="2">
        <v>50</v>
      </c>
      <c r="G221" s="2" t="s">
        <v>81</v>
      </c>
      <c r="H221" s="2" t="s">
        <v>31</v>
      </c>
      <c r="I221" s="2" t="s">
        <v>81</v>
      </c>
      <c r="J221" s="2" t="s">
        <v>65</v>
      </c>
      <c r="K221" s="2">
        <v>2</v>
      </c>
      <c r="L221" s="2">
        <v>32959</v>
      </c>
      <c r="M221" s="2">
        <v>20</v>
      </c>
      <c r="N221" s="2">
        <v>13183.6</v>
      </c>
      <c r="O221" s="2">
        <v>9492.19</v>
      </c>
      <c r="P221" s="2">
        <v>266</v>
      </c>
      <c r="Q221" s="2">
        <v>62492.59</v>
      </c>
      <c r="R221" s="2" t="s">
        <v>51</v>
      </c>
      <c r="S221" s="2" t="s">
        <v>59</v>
      </c>
      <c r="T221" s="9" t="s">
        <v>1710</v>
      </c>
      <c r="U221" s="10" t="s">
        <v>1711</v>
      </c>
      <c r="V221" s="2" t="s">
        <v>53</v>
      </c>
      <c r="W221" s="2">
        <v>8</v>
      </c>
      <c r="X221" s="2" t="s">
        <v>44</v>
      </c>
      <c r="Y221" s="2">
        <v>5</v>
      </c>
      <c r="Z221" s="2" t="s">
        <v>54</v>
      </c>
    </row>
    <row r="222" spans="1:26" x14ac:dyDescent="0.35">
      <c r="A222" s="2" t="s">
        <v>491</v>
      </c>
      <c r="B222" s="3">
        <v>45983</v>
      </c>
      <c r="C222" s="2" t="s">
        <v>492</v>
      </c>
      <c r="D222" s="2" t="s">
        <v>68</v>
      </c>
      <c r="E222" s="2" t="s">
        <v>29</v>
      </c>
      <c r="F222" s="2">
        <v>53</v>
      </c>
      <c r="G222" s="2" t="s">
        <v>85</v>
      </c>
      <c r="H222" s="2" t="s">
        <v>31</v>
      </c>
      <c r="I222" s="2" t="s">
        <v>85</v>
      </c>
      <c r="J222" s="2" t="s">
        <v>65</v>
      </c>
      <c r="K222" s="2">
        <v>4</v>
      </c>
      <c r="L222" s="2">
        <v>31028</v>
      </c>
      <c r="M222" s="2">
        <v>15</v>
      </c>
      <c r="N222" s="2">
        <v>18616.8</v>
      </c>
      <c r="O222" s="2">
        <v>18989.14</v>
      </c>
      <c r="P222" s="2">
        <v>443</v>
      </c>
      <c r="Q222" s="2">
        <v>124927.34</v>
      </c>
      <c r="R222" s="2" t="s">
        <v>76</v>
      </c>
      <c r="S222" s="2" t="s">
        <v>59</v>
      </c>
      <c r="T222" s="9" t="s">
        <v>1704</v>
      </c>
      <c r="U222" s="10" t="s">
        <v>52</v>
      </c>
      <c r="V222" s="2" t="s">
        <v>35</v>
      </c>
      <c r="W222" s="2">
        <v>1</v>
      </c>
      <c r="X222" s="2" t="s">
        <v>44</v>
      </c>
      <c r="Y222" s="2">
        <v>3</v>
      </c>
      <c r="Z222" s="2" t="s">
        <v>82</v>
      </c>
    </row>
    <row r="223" spans="1:26" x14ac:dyDescent="0.35">
      <c r="A223" s="2" t="s">
        <v>493</v>
      </c>
      <c r="B223" s="3">
        <v>45973</v>
      </c>
      <c r="C223" s="2" t="s">
        <v>494</v>
      </c>
      <c r="D223" s="2" t="s">
        <v>40</v>
      </c>
      <c r="E223" s="2" t="s">
        <v>41</v>
      </c>
      <c r="F223" s="2">
        <v>54</v>
      </c>
      <c r="G223" s="2" t="s">
        <v>122</v>
      </c>
      <c r="H223" s="2" t="s">
        <v>31</v>
      </c>
      <c r="I223" s="2" t="s">
        <v>122</v>
      </c>
      <c r="J223" s="2" t="s">
        <v>58</v>
      </c>
      <c r="K223" s="2">
        <v>4</v>
      </c>
      <c r="L223" s="2">
        <v>19158</v>
      </c>
      <c r="M223" s="2">
        <v>15</v>
      </c>
      <c r="N223" s="2">
        <v>11494.8</v>
      </c>
      <c r="O223" s="2">
        <v>11724.7</v>
      </c>
      <c r="P223" s="2">
        <v>319</v>
      </c>
      <c r="Q223" s="2">
        <v>77180.899999999994</v>
      </c>
      <c r="R223" s="2" t="s">
        <v>51</v>
      </c>
      <c r="S223" s="2" t="s">
        <v>34</v>
      </c>
      <c r="T223" s="9" t="s">
        <v>1708</v>
      </c>
      <c r="U223" s="10" t="s">
        <v>52</v>
      </c>
      <c r="V223" s="2" t="s">
        <v>77</v>
      </c>
      <c r="W223" s="2">
        <v>4</v>
      </c>
      <c r="X223" s="2" t="s">
        <v>44</v>
      </c>
      <c r="Y223" s="2">
        <v>2</v>
      </c>
      <c r="Z223" s="2" t="s">
        <v>82</v>
      </c>
    </row>
    <row r="224" spans="1:26" x14ac:dyDescent="0.35">
      <c r="A224" s="2" t="s">
        <v>495</v>
      </c>
      <c r="B224" s="3">
        <v>45791</v>
      </c>
      <c r="C224" s="2" t="s">
        <v>496</v>
      </c>
      <c r="D224" s="2" t="s">
        <v>96</v>
      </c>
      <c r="E224" s="2" t="s">
        <v>41</v>
      </c>
      <c r="F224" s="2">
        <v>57</v>
      </c>
      <c r="G224" s="2" t="s">
        <v>85</v>
      </c>
      <c r="H224" s="2" t="s">
        <v>31</v>
      </c>
      <c r="I224" s="2" t="s">
        <v>85</v>
      </c>
      <c r="J224" s="2" t="s">
        <v>32</v>
      </c>
      <c r="K224" s="2">
        <v>1</v>
      </c>
      <c r="L224" s="2">
        <v>25847</v>
      </c>
      <c r="M224" s="2">
        <v>10</v>
      </c>
      <c r="N224" s="2">
        <v>2584.6999999999998</v>
      </c>
      <c r="O224" s="2">
        <v>4187.21</v>
      </c>
      <c r="P224" s="2">
        <v>496</v>
      </c>
      <c r="Q224" s="2">
        <v>27945.51</v>
      </c>
      <c r="R224" s="2" t="s">
        <v>51</v>
      </c>
      <c r="S224" s="2" t="s">
        <v>34</v>
      </c>
      <c r="T224" s="9" t="s">
        <v>1708</v>
      </c>
      <c r="U224" s="10" t="s">
        <v>52</v>
      </c>
      <c r="V224" s="2" t="s">
        <v>77</v>
      </c>
      <c r="W224" s="2">
        <v>9</v>
      </c>
      <c r="X224" s="2" t="s">
        <v>44</v>
      </c>
      <c r="Y224" s="2">
        <v>1</v>
      </c>
      <c r="Z224" s="2" t="s">
        <v>54</v>
      </c>
    </row>
    <row r="225" spans="1:26" x14ac:dyDescent="0.35">
      <c r="A225" s="2" t="s">
        <v>497</v>
      </c>
      <c r="B225" s="3">
        <v>46003</v>
      </c>
      <c r="C225" s="2" t="s">
        <v>498</v>
      </c>
      <c r="D225" s="2" t="s">
        <v>73</v>
      </c>
      <c r="E225" s="2" t="s">
        <v>41</v>
      </c>
      <c r="F225" s="2">
        <v>44</v>
      </c>
      <c r="G225" s="2" t="s">
        <v>63</v>
      </c>
      <c r="H225" s="2" t="s">
        <v>64</v>
      </c>
      <c r="I225" s="2" t="s">
        <v>63</v>
      </c>
      <c r="J225" s="2" t="s">
        <v>190</v>
      </c>
      <c r="K225" s="2">
        <v>2</v>
      </c>
      <c r="L225" s="2">
        <v>27899</v>
      </c>
      <c r="M225" s="2">
        <v>5</v>
      </c>
      <c r="N225" s="2">
        <v>2789.9</v>
      </c>
      <c r="O225" s="2">
        <v>9541.4599999999991</v>
      </c>
      <c r="P225" s="2">
        <v>245</v>
      </c>
      <c r="Q225" s="2">
        <v>62794.559999999998</v>
      </c>
      <c r="R225" s="2" t="s">
        <v>51</v>
      </c>
      <c r="S225" s="2" t="s">
        <v>34</v>
      </c>
      <c r="T225" s="9" t="s">
        <v>1705</v>
      </c>
      <c r="U225" s="10" t="s">
        <v>1702</v>
      </c>
      <c r="V225" s="2" t="s">
        <v>53</v>
      </c>
      <c r="W225" s="2">
        <v>6</v>
      </c>
      <c r="X225" s="2" t="s">
        <v>44</v>
      </c>
      <c r="Y225" s="2">
        <v>2</v>
      </c>
      <c r="Z225" s="2" t="s">
        <v>37</v>
      </c>
    </row>
    <row r="226" spans="1:26" x14ac:dyDescent="0.35">
      <c r="A226" s="2" t="s">
        <v>499</v>
      </c>
      <c r="B226" s="3">
        <v>45975</v>
      </c>
      <c r="C226" s="2" t="s">
        <v>500</v>
      </c>
      <c r="D226" s="2" t="s">
        <v>57</v>
      </c>
      <c r="E226" s="2" t="s">
        <v>41</v>
      </c>
      <c r="F226" s="2">
        <v>32</v>
      </c>
      <c r="G226" s="2" t="s">
        <v>30</v>
      </c>
      <c r="H226" s="2" t="s">
        <v>31</v>
      </c>
      <c r="I226" s="2" t="s">
        <v>30</v>
      </c>
      <c r="J226" s="2" t="s">
        <v>138</v>
      </c>
      <c r="K226" s="2">
        <v>5</v>
      </c>
      <c r="L226" s="2">
        <v>4763</v>
      </c>
      <c r="M226" s="2">
        <v>20</v>
      </c>
      <c r="N226" s="2">
        <v>4763</v>
      </c>
      <c r="O226" s="2">
        <v>3429.36</v>
      </c>
      <c r="P226" s="2">
        <v>197</v>
      </c>
      <c r="Q226" s="2">
        <v>22678.36</v>
      </c>
      <c r="R226" s="2" t="s">
        <v>76</v>
      </c>
      <c r="S226" s="2" t="s">
        <v>34</v>
      </c>
      <c r="T226" s="9" t="s">
        <v>1707</v>
      </c>
      <c r="U226" s="10" t="s">
        <v>1712</v>
      </c>
      <c r="V226" s="2" t="s">
        <v>53</v>
      </c>
      <c r="W226" s="2">
        <v>6</v>
      </c>
      <c r="X226" s="2" t="s">
        <v>44</v>
      </c>
      <c r="Y226" s="2">
        <v>1</v>
      </c>
      <c r="Z226" s="2" t="s">
        <v>54</v>
      </c>
    </row>
    <row r="227" spans="1:26" x14ac:dyDescent="0.35">
      <c r="A227" s="2" t="s">
        <v>501</v>
      </c>
      <c r="B227" s="3">
        <v>45945</v>
      </c>
      <c r="C227" s="2" t="s">
        <v>502</v>
      </c>
      <c r="D227" s="2" t="s">
        <v>57</v>
      </c>
      <c r="E227" s="2" t="s">
        <v>41</v>
      </c>
      <c r="F227" s="2">
        <v>18</v>
      </c>
      <c r="G227" s="2" t="s">
        <v>30</v>
      </c>
      <c r="H227" s="2" t="s">
        <v>31</v>
      </c>
      <c r="I227" s="2" t="s">
        <v>30</v>
      </c>
      <c r="J227" s="2" t="s">
        <v>113</v>
      </c>
      <c r="K227" s="2">
        <v>2</v>
      </c>
      <c r="L227" s="2">
        <v>26643</v>
      </c>
      <c r="M227" s="2">
        <v>0</v>
      </c>
      <c r="N227" s="2">
        <v>0</v>
      </c>
      <c r="O227" s="2">
        <v>9591.48</v>
      </c>
      <c r="P227" s="2">
        <v>210</v>
      </c>
      <c r="Q227" s="2">
        <v>63087.48</v>
      </c>
      <c r="R227" s="2" t="s">
        <v>43</v>
      </c>
      <c r="S227" s="2" t="s">
        <v>34</v>
      </c>
      <c r="T227" s="9" t="s">
        <v>1703</v>
      </c>
      <c r="U227" s="10" t="s">
        <v>1701</v>
      </c>
      <c r="V227" s="2" t="s">
        <v>35</v>
      </c>
      <c r="W227" s="2">
        <v>3</v>
      </c>
      <c r="X227" s="2" t="s">
        <v>36</v>
      </c>
      <c r="Y227" s="2">
        <v>2</v>
      </c>
      <c r="Z227" s="2" t="s">
        <v>82</v>
      </c>
    </row>
    <row r="228" spans="1:26" x14ac:dyDescent="0.35">
      <c r="A228" s="2" t="s">
        <v>503</v>
      </c>
      <c r="B228" s="3">
        <v>45907</v>
      </c>
      <c r="C228" s="2" t="s">
        <v>504</v>
      </c>
      <c r="D228" s="2" t="s">
        <v>96</v>
      </c>
      <c r="E228" s="2" t="s">
        <v>41</v>
      </c>
      <c r="F228" s="2">
        <v>41</v>
      </c>
      <c r="G228" s="2" t="s">
        <v>85</v>
      </c>
      <c r="H228" s="2" t="s">
        <v>31</v>
      </c>
      <c r="I228" s="2" t="s">
        <v>85</v>
      </c>
      <c r="J228" s="2" t="s">
        <v>58</v>
      </c>
      <c r="K228" s="2">
        <v>2</v>
      </c>
      <c r="L228" s="2">
        <v>15860</v>
      </c>
      <c r="M228" s="2">
        <v>20</v>
      </c>
      <c r="N228" s="2">
        <v>6344</v>
      </c>
      <c r="O228" s="2">
        <v>4567.68</v>
      </c>
      <c r="P228" s="2">
        <v>237</v>
      </c>
      <c r="Q228" s="2">
        <v>30180.68</v>
      </c>
      <c r="R228" s="2" t="s">
        <v>33</v>
      </c>
      <c r="S228" s="2" t="s">
        <v>59</v>
      </c>
      <c r="T228" s="9" t="s">
        <v>1704</v>
      </c>
      <c r="U228" s="10" t="s">
        <v>52</v>
      </c>
      <c r="V228" s="2" t="s">
        <v>35</v>
      </c>
      <c r="W228" s="2">
        <v>9</v>
      </c>
      <c r="X228" s="2" t="s">
        <v>44</v>
      </c>
      <c r="Y228" s="2">
        <v>4</v>
      </c>
      <c r="Z228" s="2" t="s">
        <v>37</v>
      </c>
    </row>
    <row r="229" spans="1:26" x14ac:dyDescent="0.35">
      <c r="A229" s="2" t="s">
        <v>505</v>
      </c>
      <c r="B229" s="3">
        <v>46058</v>
      </c>
      <c r="C229" s="2" t="s">
        <v>506</v>
      </c>
      <c r="D229" s="2" t="s">
        <v>28</v>
      </c>
      <c r="E229" s="2" t="s">
        <v>41</v>
      </c>
      <c r="F229" s="2">
        <v>56</v>
      </c>
      <c r="G229" s="2" t="s">
        <v>81</v>
      </c>
      <c r="H229" s="2" t="s">
        <v>31</v>
      </c>
      <c r="I229" s="2" t="s">
        <v>81</v>
      </c>
      <c r="J229" s="2" t="s">
        <v>100</v>
      </c>
      <c r="K229" s="2">
        <v>5</v>
      </c>
      <c r="L229" s="2">
        <v>7974</v>
      </c>
      <c r="M229" s="2">
        <v>5</v>
      </c>
      <c r="N229" s="2">
        <v>1993.5</v>
      </c>
      <c r="O229" s="2">
        <v>6817.77</v>
      </c>
      <c r="P229" s="2">
        <v>291</v>
      </c>
      <c r="Q229" s="2">
        <v>44985.27</v>
      </c>
      <c r="R229" s="2" t="s">
        <v>76</v>
      </c>
      <c r="S229" s="2" t="s">
        <v>59</v>
      </c>
      <c r="T229" s="9" t="s">
        <v>1704</v>
      </c>
      <c r="U229" s="10" t="s">
        <v>52</v>
      </c>
      <c r="V229" s="2" t="s">
        <v>35</v>
      </c>
      <c r="W229" s="2">
        <v>4</v>
      </c>
      <c r="X229" s="2" t="s">
        <v>36</v>
      </c>
      <c r="Y229" s="2">
        <v>2</v>
      </c>
      <c r="Z229" s="2" t="s">
        <v>37</v>
      </c>
    </row>
    <row r="230" spans="1:26" x14ac:dyDescent="0.35">
      <c r="A230" s="2" t="s">
        <v>507</v>
      </c>
      <c r="B230" s="3">
        <v>46068</v>
      </c>
      <c r="C230" s="2" t="s">
        <v>508</v>
      </c>
      <c r="D230" s="2" t="s">
        <v>68</v>
      </c>
      <c r="E230" s="2" t="s">
        <v>29</v>
      </c>
      <c r="F230" s="2">
        <v>35</v>
      </c>
      <c r="G230" s="2" t="s">
        <v>63</v>
      </c>
      <c r="H230" s="2" t="s">
        <v>64</v>
      </c>
      <c r="I230" s="2" t="s">
        <v>63</v>
      </c>
      <c r="J230" s="2" t="s">
        <v>190</v>
      </c>
      <c r="K230" s="2">
        <v>3</v>
      </c>
      <c r="L230" s="2">
        <v>41035</v>
      </c>
      <c r="M230" s="2">
        <v>20</v>
      </c>
      <c r="N230" s="2">
        <v>24621</v>
      </c>
      <c r="O230" s="2">
        <v>17727.12</v>
      </c>
      <c r="P230" s="2">
        <v>486</v>
      </c>
      <c r="Q230" s="2">
        <v>116697.12</v>
      </c>
      <c r="R230" s="2" t="s">
        <v>33</v>
      </c>
      <c r="S230" s="2" t="s">
        <v>59</v>
      </c>
      <c r="T230" s="9" t="s">
        <v>1710</v>
      </c>
      <c r="U230" s="10" t="s">
        <v>1711</v>
      </c>
      <c r="V230" s="2" t="s">
        <v>53</v>
      </c>
      <c r="W230" s="2">
        <v>9</v>
      </c>
      <c r="X230" s="2" t="s">
        <v>44</v>
      </c>
      <c r="Y230" s="2">
        <v>1</v>
      </c>
      <c r="Z230" s="2" t="s">
        <v>82</v>
      </c>
    </row>
    <row r="231" spans="1:26" x14ac:dyDescent="0.35">
      <c r="A231" s="2" t="s">
        <v>509</v>
      </c>
      <c r="B231" s="3">
        <v>45802</v>
      </c>
      <c r="C231" s="2" t="s">
        <v>510</v>
      </c>
      <c r="D231" s="2" t="s">
        <v>28</v>
      </c>
      <c r="E231" s="2" t="s">
        <v>29</v>
      </c>
      <c r="F231" s="2">
        <v>23</v>
      </c>
      <c r="G231" s="2" t="s">
        <v>30</v>
      </c>
      <c r="H231" s="2" t="s">
        <v>31</v>
      </c>
      <c r="I231" s="2" t="s">
        <v>30</v>
      </c>
      <c r="J231" s="2" t="s">
        <v>190</v>
      </c>
      <c r="K231" s="2">
        <v>5</v>
      </c>
      <c r="L231" s="2">
        <v>13190</v>
      </c>
      <c r="M231" s="2">
        <v>0</v>
      </c>
      <c r="N231" s="2">
        <v>0</v>
      </c>
      <c r="O231" s="2">
        <v>11871</v>
      </c>
      <c r="P231" s="2">
        <v>493</v>
      </c>
      <c r="Q231" s="2">
        <v>78314</v>
      </c>
      <c r="R231" s="2" t="s">
        <v>43</v>
      </c>
      <c r="S231" s="2" t="s">
        <v>34</v>
      </c>
      <c r="T231" s="9" t="s">
        <v>1704</v>
      </c>
      <c r="U231" s="10" t="s">
        <v>52</v>
      </c>
      <c r="V231" s="2" t="s">
        <v>35</v>
      </c>
      <c r="W231" s="2">
        <v>10</v>
      </c>
      <c r="X231" s="2" t="s">
        <v>44</v>
      </c>
      <c r="Y231" s="2">
        <v>3</v>
      </c>
      <c r="Z231" s="2" t="s">
        <v>82</v>
      </c>
    </row>
    <row r="232" spans="1:26" x14ac:dyDescent="0.35">
      <c r="A232" s="2" t="s">
        <v>511</v>
      </c>
      <c r="B232" s="3">
        <v>46117</v>
      </c>
      <c r="C232" s="2" t="s">
        <v>512</v>
      </c>
      <c r="D232" s="2" t="s">
        <v>47</v>
      </c>
      <c r="E232" s="2" t="s">
        <v>41</v>
      </c>
      <c r="F232" s="2">
        <v>19</v>
      </c>
      <c r="G232" s="2" t="s">
        <v>122</v>
      </c>
      <c r="H232" s="2" t="s">
        <v>31</v>
      </c>
      <c r="I232" s="2" t="s">
        <v>122</v>
      </c>
      <c r="J232" s="2" t="s">
        <v>50</v>
      </c>
      <c r="K232" s="2">
        <v>3</v>
      </c>
      <c r="L232" s="2">
        <v>35079</v>
      </c>
      <c r="M232" s="2">
        <v>20</v>
      </c>
      <c r="N232" s="2">
        <v>21047.4</v>
      </c>
      <c r="O232" s="2">
        <v>15154.13</v>
      </c>
      <c r="P232" s="2">
        <v>50</v>
      </c>
      <c r="Q232" s="2">
        <v>99393.73</v>
      </c>
      <c r="R232" s="2" t="s">
        <v>51</v>
      </c>
      <c r="S232" s="2" t="s">
        <v>59</v>
      </c>
      <c r="T232" s="9" t="s">
        <v>1706</v>
      </c>
      <c r="U232" s="10" t="s">
        <v>52</v>
      </c>
      <c r="V232" s="2" t="s">
        <v>53</v>
      </c>
      <c r="W232" s="2">
        <v>8</v>
      </c>
      <c r="X232" s="2" t="s">
        <v>36</v>
      </c>
      <c r="Y232" s="2">
        <v>3</v>
      </c>
      <c r="Z232" s="2" t="s">
        <v>54</v>
      </c>
    </row>
    <row r="233" spans="1:26" x14ac:dyDescent="0.35">
      <c r="A233" s="2" t="s">
        <v>513</v>
      </c>
      <c r="B233" s="3">
        <v>45897</v>
      </c>
      <c r="C233" s="2" t="s">
        <v>424</v>
      </c>
      <c r="D233" s="2" t="s">
        <v>57</v>
      </c>
      <c r="E233" s="2" t="s">
        <v>29</v>
      </c>
      <c r="F233" s="2">
        <v>43</v>
      </c>
      <c r="G233" s="2" t="s">
        <v>69</v>
      </c>
      <c r="H233" s="2" t="s">
        <v>31</v>
      </c>
      <c r="I233" s="2" t="s">
        <v>69</v>
      </c>
      <c r="J233" s="2" t="s">
        <v>58</v>
      </c>
      <c r="K233" s="2">
        <v>4</v>
      </c>
      <c r="L233" s="2">
        <v>19650</v>
      </c>
      <c r="M233" s="2">
        <v>0</v>
      </c>
      <c r="N233" s="2">
        <v>0</v>
      </c>
      <c r="O233" s="2">
        <v>14148</v>
      </c>
      <c r="P233" s="2">
        <v>372</v>
      </c>
      <c r="Q233" s="2">
        <v>93120</v>
      </c>
      <c r="R233" s="2" t="s">
        <v>76</v>
      </c>
      <c r="S233" s="2" t="s">
        <v>59</v>
      </c>
      <c r="T233" s="9" t="s">
        <v>1710</v>
      </c>
      <c r="U233" s="10" t="s">
        <v>1711</v>
      </c>
      <c r="V233" s="2" t="s">
        <v>53</v>
      </c>
      <c r="W233" s="2">
        <v>3</v>
      </c>
      <c r="X233" s="2" t="s">
        <v>36</v>
      </c>
      <c r="Y233" s="2">
        <v>4</v>
      </c>
      <c r="Z233" s="2" t="s">
        <v>54</v>
      </c>
    </row>
    <row r="234" spans="1:26" x14ac:dyDescent="0.35">
      <c r="A234" s="2" t="s">
        <v>514</v>
      </c>
      <c r="B234" s="3">
        <v>46027</v>
      </c>
      <c r="C234" s="2" t="s">
        <v>515</v>
      </c>
      <c r="D234" s="2" t="s">
        <v>73</v>
      </c>
      <c r="E234" s="2" t="s">
        <v>41</v>
      </c>
      <c r="F234" s="2">
        <v>23</v>
      </c>
      <c r="G234" s="2" t="s">
        <v>63</v>
      </c>
      <c r="H234" s="2" t="s">
        <v>64</v>
      </c>
      <c r="I234" s="2" t="s">
        <v>63</v>
      </c>
      <c r="J234" s="2" t="s">
        <v>65</v>
      </c>
      <c r="K234" s="2">
        <v>3</v>
      </c>
      <c r="L234" s="2">
        <v>7283</v>
      </c>
      <c r="M234" s="2">
        <v>0</v>
      </c>
      <c r="N234" s="2">
        <v>0</v>
      </c>
      <c r="O234" s="2">
        <v>3932.82</v>
      </c>
      <c r="P234" s="2">
        <v>89</v>
      </c>
      <c r="Q234" s="2">
        <v>25870.82</v>
      </c>
      <c r="R234" s="2" t="s">
        <v>76</v>
      </c>
      <c r="S234" s="2" t="s">
        <v>34</v>
      </c>
      <c r="T234" s="9" t="s">
        <v>1707</v>
      </c>
      <c r="U234" s="10" t="s">
        <v>1712</v>
      </c>
      <c r="V234" s="2" t="s">
        <v>53</v>
      </c>
      <c r="W234" s="2">
        <v>5</v>
      </c>
      <c r="X234" s="2" t="s">
        <v>36</v>
      </c>
      <c r="Y234" s="2">
        <v>4</v>
      </c>
      <c r="Z234" s="2" t="s">
        <v>44</v>
      </c>
    </row>
    <row r="235" spans="1:26" x14ac:dyDescent="0.35">
      <c r="A235" s="2" t="s">
        <v>516</v>
      </c>
      <c r="B235" s="3">
        <v>45846</v>
      </c>
      <c r="C235" s="2" t="s">
        <v>517</v>
      </c>
      <c r="D235" s="2" t="s">
        <v>73</v>
      </c>
      <c r="E235" s="2" t="s">
        <v>29</v>
      </c>
      <c r="F235" s="2">
        <v>47</v>
      </c>
      <c r="G235" s="2" t="s">
        <v>122</v>
      </c>
      <c r="H235" s="2" t="s">
        <v>31</v>
      </c>
      <c r="I235" s="2" t="s">
        <v>122</v>
      </c>
      <c r="J235" s="2" t="s">
        <v>100</v>
      </c>
      <c r="K235" s="2">
        <v>2</v>
      </c>
      <c r="L235" s="2">
        <v>18597</v>
      </c>
      <c r="M235" s="2">
        <v>0</v>
      </c>
      <c r="N235" s="2">
        <v>0</v>
      </c>
      <c r="O235" s="2">
        <v>6694.92</v>
      </c>
      <c r="P235" s="2">
        <v>194</v>
      </c>
      <c r="Q235" s="2">
        <v>44082.92</v>
      </c>
      <c r="R235" s="2" t="s">
        <v>33</v>
      </c>
      <c r="S235" s="2" t="s">
        <v>34</v>
      </c>
      <c r="T235" s="9" t="s">
        <v>1704</v>
      </c>
      <c r="U235" s="10" t="s">
        <v>52</v>
      </c>
      <c r="V235" s="2" t="s">
        <v>35</v>
      </c>
      <c r="W235" s="2">
        <v>6</v>
      </c>
      <c r="X235" s="2" t="s">
        <v>44</v>
      </c>
      <c r="Y235" s="2">
        <v>1</v>
      </c>
      <c r="Z235" s="2" t="s">
        <v>37</v>
      </c>
    </row>
    <row r="236" spans="1:26" x14ac:dyDescent="0.35">
      <c r="A236" s="2" t="s">
        <v>518</v>
      </c>
      <c r="B236" s="3">
        <v>45812</v>
      </c>
      <c r="C236" s="2" t="s">
        <v>310</v>
      </c>
      <c r="D236" s="2" t="s">
        <v>73</v>
      </c>
      <c r="E236" s="2" t="s">
        <v>41</v>
      </c>
      <c r="F236" s="2">
        <v>41</v>
      </c>
      <c r="G236" s="2" t="s">
        <v>88</v>
      </c>
      <c r="H236" s="2" t="s">
        <v>49</v>
      </c>
      <c r="I236" s="2" t="s">
        <v>88</v>
      </c>
      <c r="J236" s="2" t="s">
        <v>113</v>
      </c>
      <c r="K236" s="2">
        <v>1</v>
      </c>
      <c r="L236" s="2">
        <v>17820</v>
      </c>
      <c r="M236" s="2">
        <v>20</v>
      </c>
      <c r="N236" s="2">
        <v>3564</v>
      </c>
      <c r="O236" s="2">
        <v>2566.08</v>
      </c>
      <c r="P236" s="2">
        <v>383</v>
      </c>
      <c r="Q236" s="2">
        <v>17205.080000000002</v>
      </c>
      <c r="R236" s="2" t="s">
        <v>76</v>
      </c>
      <c r="S236" s="2" t="s">
        <v>59</v>
      </c>
      <c r="T236" s="9" t="s">
        <v>1704</v>
      </c>
      <c r="U236" s="10" t="s">
        <v>52</v>
      </c>
      <c r="V236" s="2" t="s">
        <v>35</v>
      </c>
      <c r="W236" s="2">
        <v>8</v>
      </c>
      <c r="X236" s="2" t="s">
        <v>36</v>
      </c>
      <c r="Y236" s="2">
        <v>5</v>
      </c>
      <c r="Z236" s="2" t="s">
        <v>54</v>
      </c>
    </row>
    <row r="237" spans="1:26" x14ac:dyDescent="0.35">
      <c r="A237" s="2" t="s">
        <v>519</v>
      </c>
      <c r="B237" s="3">
        <v>45930</v>
      </c>
      <c r="C237" s="2" t="s">
        <v>520</v>
      </c>
      <c r="D237" s="2" t="s">
        <v>57</v>
      </c>
      <c r="E237" s="2" t="s">
        <v>29</v>
      </c>
      <c r="F237" s="2">
        <v>58</v>
      </c>
      <c r="G237" s="2" t="s">
        <v>88</v>
      </c>
      <c r="H237" s="2" t="s">
        <v>49</v>
      </c>
      <c r="I237" s="2" t="s">
        <v>88</v>
      </c>
      <c r="J237" s="2" t="s">
        <v>32</v>
      </c>
      <c r="K237" s="2">
        <v>5</v>
      </c>
      <c r="L237" s="2">
        <v>29380</v>
      </c>
      <c r="M237" s="2">
        <v>10</v>
      </c>
      <c r="N237" s="2">
        <v>14690</v>
      </c>
      <c r="O237" s="2">
        <v>23797.8</v>
      </c>
      <c r="P237" s="2">
        <v>177</v>
      </c>
      <c r="Q237" s="2">
        <v>156184.79999999999</v>
      </c>
      <c r="R237" s="2" t="s">
        <v>76</v>
      </c>
      <c r="S237" s="2" t="s">
        <v>59</v>
      </c>
      <c r="T237" s="9" t="s">
        <v>1704</v>
      </c>
      <c r="U237" s="10" t="s">
        <v>52</v>
      </c>
      <c r="V237" s="2" t="s">
        <v>35</v>
      </c>
      <c r="W237" s="2">
        <v>10</v>
      </c>
      <c r="X237" s="2" t="s">
        <v>44</v>
      </c>
      <c r="Y237" s="2">
        <v>1</v>
      </c>
      <c r="Z237" s="2" t="s">
        <v>37</v>
      </c>
    </row>
    <row r="238" spans="1:26" x14ac:dyDescent="0.35">
      <c r="A238" s="2" t="s">
        <v>521</v>
      </c>
      <c r="B238" s="3">
        <v>45960</v>
      </c>
      <c r="C238" s="2" t="s">
        <v>522</v>
      </c>
      <c r="D238" s="2" t="s">
        <v>80</v>
      </c>
      <c r="E238" s="2" t="s">
        <v>41</v>
      </c>
      <c r="F238" s="2">
        <v>55</v>
      </c>
      <c r="G238" s="2" t="s">
        <v>30</v>
      </c>
      <c r="H238" s="2" t="s">
        <v>31</v>
      </c>
      <c r="I238" s="2" t="s">
        <v>30</v>
      </c>
      <c r="J238" s="2" t="s">
        <v>100</v>
      </c>
      <c r="K238" s="2">
        <v>5</v>
      </c>
      <c r="L238" s="2">
        <v>48636</v>
      </c>
      <c r="M238" s="2">
        <v>20</v>
      </c>
      <c r="N238" s="2">
        <v>48636</v>
      </c>
      <c r="O238" s="2">
        <v>35017.919999999998</v>
      </c>
      <c r="P238" s="2">
        <v>254</v>
      </c>
      <c r="Q238" s="2">
        <v>229815.92</v>
      </c>
      <c r="R238" s="2" t="s">
        <v>43</v>
      </c>
      <c r="S238" s="2" t="s">
        <v>34</v>
      </c>
      <c r="T238" s="9" t="s">
        <v>1705</v>
      </c>
      <c r="U238" s="10" t="s">
        <v>1702</v>
      </c>
      <c r="V238" s="2" t="s">
        <v>53</v>
      </c>
      <c r="W238" s="2">
        <v>3</v>
      </c>
      <c r="X238" s="2" t="s">
        <v>36</v>
      </c>
      <c r="Y238" s="2">
        <v>2</v>
      </c>
      <c r="Z238" s="2" t="s">
        <v>37</v>
      </c>
    </row>
    <row r="239" spans="1:26" x14ac:dyDescent="0.35">
      <c r="A239" s="2" t="s">
        <v>523</v>
      </c>
      <c r="B239" s="3">
        <v>46092</v>
      </c>
      <c r="C239" s="2" t="s">
        <v>316</v>
      </c>
      <c r="D239" s="2" t="s">
        <v>47</v>
      </c>
      <c r="E239" s="2" t="s">
        <v>29</v>
      </c>
      <c r="F239" s="2">
        <v>40</v>
      </c>
      <c r="G239" s="2" t="s">
        <v>30</v>
      </c>
      <c r="H239" s="2" t="s">
        <v>31</v>
      </c>
      <c r="I239" s="2" t="s">
        <v>30</v>
      </c>
      <c r="J239" s="2" t="s">
        <v>91</v>
      </c>
      <c r="K239" s="2">
        <v>3</v>
      </c>
      <c r="L239" s="2">
        <v>4058</v>
      </c>
      <c r="M239" s="2">
        <v>0</v>
      </c>
      <c r="N239" s="2">
        <v>0</v>
      </c>
      <c r="O239" s="2">
        <v>2191.3200000000002</v>
      </c>
      <c r="P239" s="2">
        <v>130</v>
      </c>
      <c r="Q239" s="2">
        <v>14495.32</v>
      </c>
      <c r="R239" s="2" t="s">
        <v>33</v>
      </c>
      <c r="S239" s="2" t="s">
        <v>59</v>
      </c>
      <c r="T239" s="9" t="s">
        <v>1705</v>
      </c>
      <c r="U239" s="10" t="s">
        <v>1702</v>
      </c>
      <c r="V239" s="2" t="s">
        <v>53</v>
      </c>
      <c r="W239" s="2">
        <v>4</v>
      </c>
      <c r="X239" s="2" t="s">
        <v>36</v>
      </c>
      <c r="Y239" s="2">
        <v>5</v>
      </c>
      <c r="Z239" s="2" t="s">
        <v>82</v>
      </c>
    </row>
    <row r="240" spans="1:26" x14ac:dyDescent="0.35">
      <c r="A240" s="2" t="s">
        <v>524</v>
      </c>
      <c r="B240" s="3">
        <v>46070</v>
      </c>
      <c r="C240" s="2" t="s">
        <v>403</v>
      </c>
      <c r="D240" s="2" t="s">
        <v>68</v>
      </c>
      <c r="E240" s="2" t="s">
        <v>41</v>
      </c>
      <c r="F240" s="2">
        <v>50</v>
      </c>
      <c r="G240" s="2" t="s">
        <v>81</v>
      </c>
      <c r="H240" s="2" t="s">
        <v>31</v>
      </c>
      <c r="I240" s="2" t="s">
        <v>81</v>
      </c>
      <c r="J240" s="2" t="s">
        <v>190</v>
      </c>
      <c r="K240" s="2">
        <v>2</v>
      </c>
      <c r="L240" s="2">
        <v>16518</v>
      </c>
      <c r="M240" s="2">
        <v>15</v>
      </c>
      <c r="N240" s="2">
        <v>4955.3999999999996</v>
      </c>
      <c r="O240" s="2">
        <v>5054.51</v>
      </c>
      <c r="P240" s="2">
        <v>326</v>
      </c>
      <c r="Q240" s="2">
        <v>33461.11</v>
      </c>
      <c r="R240" s="2" t="s">
        <v>33</v>
      </c>
      <c r="S240" s="2" t="s">
        <v>34</v>
      </c>
      <c r="T240" s="9" t="s">
        <v>1704</v>
      </c>
      <c r="U240" s="10" t="s">
        <v>52</v>
      </c>
      <c r="V240" s="2" t="s">
        <v>35</v>
      </c>
      <c r="W240" s="2">
        <v>1</v>
      </c>
      <c r="X240" s="2" t="s">
        <v>44</v>
      </c>
      <c r="Y240" s="2">
        <v>1</v>
      </c>
      <c r="Z240" s="2" t="s">
        <v>44</v>
      </c>
    </row>
    <row r="241" spans="1:26" x14ac:dyDescent="0.35">
      <c r="A241" s="2" t="s">
        <v>525</v>
      </c>
      <c r="B241" s="3">
        <v>45807</v>
      </c>
      <c r="C241" s="2" t="s">
        <v>375</v>
      </c>
      <c r="D241" s="2" t="s">
        <v>68</v>
      </c>
      <c r="E241" s="2" t="s">
        <v>41</v>
      </c>
      <c r="F241" s="2">
        <v>42</v>
      </c>
      <c r="G241" s="2" t="s">
        <v>88</v>
      </c>
      <c r="H241" s="2" t="s">
        <v>49</v>
      </c>
      <c r="I241" s="2" t="s">
        <v>88</v>
      </c>
      <c r="J241" s="2" t="s">
        <v>65</v>
      </c>
      <c r="K241" s="2">
        <v>2</v>
      </c>
      <c r="L241" s="2">
        <v>42034</v>
      </c>
      <c r="M241" s="2">
        <v>20</v>
      </c>
      <c r="N241" s="2">
        <v>16813.599999999999</v>
      </c>
      <c r="O241" s="2">
        <v>12105.79</v>
      </c>
      <c r="P241" s="2">
        <v>55</v>
      </c>
      <c r="Q241" s="2">
        <v>79415.19</v>
      </c>
      <c r="R241" s="2" t="s">
        <v>33</v>
      </c>
      <c r="S241" s="2" t="s">
        <v>59</v>
      </c>
      <c r="T241" s="9" t="s">
        <v>1707</v>
      </c>
      <c r="U241" s="10" t="s">
        <v>1712</v>
      </c>
      <c r="V241" s="2" t="s">
        <v>53</v>
      </c>
      <c r="W241" s="2">
        <v>6</v>
      </c>
      <c r="X241" s="2" t="s">
        <v>44</v>
      </c>
      <c r="Y241" s="2">
        <v>1</v>
      </c>
      <c r="Z241" s="2" t="s">
        <v>54</v>
      </c>
    </row>
    <row r="242" spans="1:26" x14ac:dyDescent="0.35">
      <c r="A242" s="2" t="s">
        <v>526</v>
      </c>
      <c r="B242" s="3">
        <v>45973</v>
      </c>
      <c r="C242" s="2" t="s">
        <v>527</v>
      </c>
      <c r="D242" s="2" t="s">
        <v>73</v>
      </c>
      <c r="E242" s="2" t="s">
        <v>29</v>
      </c>
      <c r="F242" s="2">
        <v>43</v>
      </c>
      <c r="G242" s="2" t="s">
        <v>48</v>
      </c>
      <c r="H242" s="2" t="s">
        <v>49</v>
      </c>
      <c r="I242" s="2" t="s">
        <v>48</v>
      </c>
      <c r="J242" s="2" t="s">
        <v>100</v>
      </c>
      <c r="K242" s="2">
        <v>2</v>
      </c>
      <c r="L242" s="2">
        <v>40255</v>
      </c>
      <c r="M242" s="2">
        <v>0</v>
      </c>
      <c r="N242" s="2">
        <v>0</v>
      </c>
      <c r="O242" s="2">
        <v>14491.8</v>
      </c>
      <c r="P242" s="2">
        <v>415</v>
      </c>
      <c r="Q242" s="2">
        <v>95416.8</v>
      </c>
      <c r="R242" s="2" t="s">
        <v>76</v>
      </c>
      <c r="S242" s="2" t="s">
        <v>34</v>
      </c>
      <c r="T242" s="9" t="s">
        <v>1706</v>
      </c>
      <c r="U242" s="10" t="s">
        <v>52</v>
      </c>
      <c r="V242" s="2" t="s">
        <v>53</v>
      </c>
      <c r="W242" s="2">
        <v>6</v>
      </c>
      <c r="X242" s="2" t="s">
        <v>36</v>
      </c>
      <c r="Y242" s="2">
        <v>3</v>
      </c>
      <c r="Z242" s="2" t="s">
        <v>82</v>
      </c>
    </row>
    <row r="243" spans="1:26" x14ac:dyDescent="0.35">
      <c r="A243" s="2" t="s">
        <v>528</v>
      </c>
      <c r="B243" s="3">
        <v>45802</v>
      </c>
      <c r="C243" s="2" t="s">
        <v>529</v>
      </c>
      <c r="D243" s="2" t="s">
        <v>57</v>
      </c>
      <c r="E243" s="2" t="s">
        <v>41</v>
      </c>
      <c r="F243" s="2">
        <v>41</v>
      </c>
      <c r="G243" s="2" t="s">
        <v>30</v>
      </c>
      <c r="H243" s="2" t="s">
        <v>31</v>
      </c>
      <c r="I243" s="2" t="s">
        <v>30</v>
      </c>
      <c r="J243" s="2" t="s">
        <v>138</v>
      </c>
      <c r="K243" s="2">
        <v>2</v>
      </c>
      <c r="L243" s="2">
        <v>16819</v>
      </c>
      <c r="M243" s="2">
        <v>10</v>
      </c>
      <c r="N243" s="2">
        <v>3363.8</v>
      </c>
      <c r="O243" s="2">
        <v>5449.36</v>
      </c>
      <c r="P243" s="2">
        <v>185</v>
      </c>
      <c r="Q243" s="2">
        <v>35908.559999999998</v>
      </c>
      <c r="R243" s="2" t="s">
        <v>33</v>
      </c>
      <c r="S243" s="2" t="s">
        <v>59</v>
      </c>
      <c r="T243" s="9" t="s">
        <v>1704</v>
      </c>
      <c r="U243" s="10" t="s">
        <v>52</v>
      </c>
      <c r="V243" s="2" t="s">
        <v>35</v>
      </c>
      <c r="W243" s="2">
        <v>9</v>
      </c>
      <c r="X243" s="2" t="s">
        <v>44</v>
      </c>
      <c r="Y243" s="2">
        <v>1</v>
      </c>
      <c r="Z243" s="2" t="s">
        <v>82</v>
      </c>
    </row>
    <row r="244" spans="1:26" x14ac:dyDescent="0.35">
      <c r="A244" s="2" t="s">
        <v>530</v>
      </c>
      <c r="B244" s="3">
        <v>46034</v>
      </c>
      <c r="C244" s="2" t="s">
        <v>531</v>
      </c>
      <c r="D244" s="2" t="s">
        <v>47</v>
      </c>
      <c r="E244" s="2" t="s">
        <v>41</v>
      </c>
      <c r="F244" s="2">
        <v>36</v>
      </c>
      <c r="G244" s="2" t="s">
        <v>30</v>
      </c>
      <c r="H244" s="2" t="s">
        <v>31</v>
      </c>
      <c r="I244" s="2" t="s">
        <v>30</v>
      </c>
      <c r="J244" s="2" t="s">
        <v>91</v>
      </c>
      <c r="K244" s="2">
        <v>5</v>
      </c>
      <c r="L244" s="2">
        <v>17749</v>
      </c>
      <c r="M244" s="2">
        <v>0</v>
      </c>
      <c r="N244" s="2">
        <v>0</v>
      </c>
      <c r="O244" s="2">
        <v>15974.1</v>
      </c>
      <c r="P244" s="2">
        <v>215</v>
      </c>
      <c r="Q244" s="2">
        <v>104934.1</v>
      </c>
      <c r="R244" s="2" t="s">
        <v>43</v>
      </c>
      <c r="S244" s="2" t="s">
        <v>34</v>
      </c>
      <c r="T244" s="9" t="s">
        <v>1707</v>
      </c>
      <c r="U244" s="10" t="s">
        <v>1712</v>
      </c>
      <c r="V244" s="2" t="s">
        <v>53</v>
      </c>
      <c r="W244" s="2">
        <v>9</v>
      </c>
      <c r="X244" s="2" t="s">
        <v>36</v>
      </c>
      <c r="Y244" s="2">
        <v>1</v>
      </c>
      <c r="Z244" s="2" t="s">
        <v>54</v>
      </c>
    </row>
    <row r="245" spans="1:26" x14ac:dyDescent="0.35">
      <c r="A245" s="2" t="s">
        <v>532</v>
      </c>
      <c r="B245" s="3">
        <v>45850</v>
      </c>
      <c r="C245" s="2" t="s">
        <v>533</v>
      </c>
      <c r="D245" s="2" t="s">
        <v>68</v>
      </c>
      <c r="E245" s="2" t="s">
        <v>29</v>
      </c>
      <c r="F245" s="2">
        <v>59</v>
      </c>
      <c r="G245" s="2" t="s">
        <v>88</v>
      </c>
      <c r="H245" s="2" t="s">
        <v>49</v>
      </c>
      <c r="I245" s="2" t="s">
        <v>88</v>
      </c>
      <c r="J245" s="2" t="s">
        <v>50</v>
      </c>
      <c r="K245" s="2">
        <v>1</v>
      </c>
      <c r="L245" s="2">
        <v>17819</v>
      </c>
      <c r="M245" s="2">
        <v>15</v>
      </c>
      <c r="N245" s="2">
        <v>2672.85</v>
      </c>
      <c r="O245" s="2">
        <v>2726.31</v>
      </c>
      <c r="P245" s="2">
        <v>350</v>
      </c>
      <c r="Q245" s="2">
        <v>18222.46</v>
      </c>
      <c r="R245" s="2" t="s">
        <v>76</v>
      </c>
      <c r="S245" s="2" t="s">
        <v>59</v>
      </c>
      <c r="T245" s="9" t="s">
        <v>1709</v>
      </c>
      <c r="U245" s="10" t="s">
        <v>52</v>
      </c>
      <c r="V245" s="2" t="s">
        <v>53</v>
      </c>
      <c r="W245" s="2">
        <v>4</v>
      </c>
      <c r="X245" s="2" t="s">
        <v>44</v>
      </c>
      <c r="Y245" s="2">
        <v>3</v>
      </c>
      <c r="Z245" s="2" t="s">
        <v>82</v>
      </c>
    </row>
    <row r="246" spans="1:26" x14ac:dyDescent="0.35">
      <c r="A246" s="2" t="s">
        <v>534</v>
      </c>
      <c r="B246" s="3">
        <v>45873</v>
      </c>
      <c r="C246" s="2" t="s">
        <v>200</v>
      </c>
      <c r="D246" s="2" t="s">
        <v>62</v>
      </c>
      <c r="E246" s="2" t="s">
        <v>41</v>
      </c>
      <c r="F246" s="2">
        <v>30</v>
      </c>
      <c r="G246" s="2" t="s">
        <v>42</v>
      </c>
      <c r="H246" s="2" t="s">
        <v>31</v>
      </c>
      <c r="I246" s="2" t="s">
        <v>42</v>
      </c>
      <c r="J246" s="2" t="s">
        <v>190</v>
      </c>
      <c r="K246" s="2">
        <v>3</v>
      </c>
      <c r="L246" s="2">
        <v>34354</v>
      </c>
      <c r="M246" s="2">
        <v>5</v>
      </c>
      <c r="N246" s="2">
        <v>5153.1000000000004</v>
      </c>
      <c r="O246" s="2">
        <v>17623.599999999999</v>
      </c>
      <c r="P246" s="2">
        <v>57</v>
      </c>
      <c r="Q246" s="2">
        <v>115589.5</v>
      </c>
      <c r="R246" s="2" t="s">
        <v>76</v>
      </c>
      <c r="S246" s="2" t="s">
        <v>59</v>
      </c>
      <c r="T246" s="9" t="s">
        <v>1710</v>
      </c>
      <c r="U246" s="10" t="s">
        <v>1711</v>
      </c>
      <c r="V246" s="2" t="s">
        <v>53</v>
      </c>
      <c r="W246" s="2">
        <v>3</v>
      </c>
      <c r="X246" s="2" t="s">
        <v>44</v>
      </c>
      <c r="Y246" s="2">
        <v>3</v>
      </c>
      <c r="Z246" s="2" t="s">
        <v>54</v>
      </c>
    </row>
    <row r="247" spans="1:26" x14ac:dyDescent="0.35">
      <c r="A247" s="2" t="s">
        <v>535</v>
      </c>
      <c r="B247" s="3">
        <v>46084</v>
      </c>
      <c r="C247" s="2" t="s">
        <v>536</v>
      </c>
      <c r="D247" s="2" t="s">
        <v>68</v>
      </c>
      <c r="E247" s="2" t="s">
        <v>29</v>
      </c>
      <c r="F247" s="2">
        <v>52</v>
      </c>
      <c r="G247" s="2" t="s">
        <v>30</v>
      </c>
      <c r="H247" s="2" t="s">
        <v>31</v>
      </c>
      <c r="I247" s="2" t="s">
        <v>30</v>
      </c>
      <c r="J247" s="2" t="s">
        <v>190</v>
      </c>
      <c r="K247" s="2">
        <v>3</v>
      </c>
      <c r="L247" s="2">
        <v>20946</v>
      </c>
      <c r="M247" s="2">
        <v>20</v>
      </c>
      <c r="N247" s="2">
        <v>12567.6</v>
      </c>
      <c r="O247" s="2">
        <v>9048.67</v>
      </c>
      <c r="P247" s="2">
        <v>113</v>
      </c>
      <c r="Q247" s="2">
        <v>59432.07</v>
      </c>
      <c r="R247" s="2" t="s">
        <v>33</v>
      </c>
      <c r="S247" s="2" t="s">
        <v>34</v>
      </c>
      <c r="T247" s="9" t="s">
        <v>1705</v>
      </c>
      <c r="U247" s="10" t="s">
        <v>1702</v>
      </c>
      <c r="V247" s="2" t="s">
        <v>53</v>
      </c>
      <c r="W247" s="2">
        <v>10</v>
      </c>
      <c r="X247" s="2" t="s">
        <v>44</v>
      </c>
      <c r="Y247" s="2">
        <v>3</v>
      </c>
      <c r="Z247" s="2" t="s">
        <v>82</v>
      </c>
    </row>
    <row r="248" spans="1:26" x14ac:dyDescent="0.35">
      <c r="A248" s="2" t="s">
        <v>537</v>
      </c>
      <c r="B248" s="3">
        <v>45819</v>
      </c>
      <c r="C248" s="2" t="s">
        <v>538</v>
      </c>
      <c r="D248" s="2" t="s">
        <v>99</v>
      </c>
      <c r="E248" s="2" t="s">
        <v>41</v>
      </c>
      <c r="F248" s="2">
        <v>22</v>
      </c>
      <c r="G248" s="2" t="s">
        <v>69</v>
      </c>
      <c r="H248" s="2" t="s">
        <v>31</v>
      </c>
      <c r="I248" s="2" t="s">
        <v>69</v>
      </c>
      <c r="J248" s="2" t="s">
        <v>65</v>
      </c>
      <c r="K248" s="2">
        <v>5</v>
      </c>
      <c r="L248" s="2">
        <v>46655</v>
      </c>
      <c r="M248" s="2">
        <v>20</v>
      </c>
      <c r="N248" s="2">
        <v>46655</v>
      </c>
      <c r="O248" s="2">
        <v>33591.599999999999</v>
      </c>
      <c r="P248" s="2">
        <v>138</v>
      </c>
      <c r="Q248" s="2">
        <v>220349.6</v>
      </c>
      <c r="R248" s="2" t="s">
        <v>51</v>
      </c>
      <c r="S248" s="2" t="s">
        <v>34</v>
      </c>
      <c r="T248" s="9" t="s">
        <v>1705</v>
      </c>
      <c r="U248" s="10" t="s">
        <v>1702</v>
      </c>
      <c r="V248" s="2" t="s">
        <v>53</v>
      </c>
      <c r="W248" s="2">
        <v>9</v>
      </c>
      <c r="X248" s="2" t="s">
        <v>36</v>
      </c>
      <c r="Y248" s="2">
        <v>3</v>
      </c>
      <c r="Z248" s="2" t="s">
        <v>82</v>
      </c>
    </row>
    <row r="249" spans="1:26" x14ac:dyDescent="0.35">
      <c r="A249" s="2" t="s">
        <v>539</v>
      </c>
      <c r="B249" s="3">
        <v>46003</v>
      </c>
      <c r="C249" s="2" t="s">
        <v>540</v>
      </c>
      <c r="D249" s="2" t="s">
        <v>99</v>
      </c>
      <c r="E249" s="2" t="s">
        <v>41</v>
      </c>
      <c r="F249" s="2">
        <v>36</v>
      </c>
      <c r="G249" s="2" t="s">
        <v>88</v>
      </c>
      <c r="H249" s="2" t="s">
        <v>49</v>
      </c>
      <c r="I249" s="2" t="s">
        <v>88</v>
      </c>
      <c r="J249" s="2" t="s">
        <v>113</v>
      </c>
      <c r="K249" s="2">
        <v>4</v>
      </c>
      <c r="L249" s="2">
        <v>3168</v>
      </c>
      <c r="M249" s="2">
        <v>20</v>
      </c>
      <c r="N249" s="2">
        <v>2534.4</v>
      </c>
      <c r="O249" s="2">
        <v>1824.77</v>
      </c>
      <c r="P249" s="2">
        <v>447</v>
      </c>
      <c r="Q249" s="2">
        <v>12409.37</v>
      </c>
      <c r="R249" s="2" t="s">
        <v>51</v>
      </c>
      <c r="S249" s="2" t="s">
        <v>59</v>
      </c>
      <c r="T249" s="9" t="s">
        <v>1704</v>
      </c>
      <c r="U249" s="10" t="s">
        <v>52</v>
      </c>
      <c r="V249" s="2" t="s">
        <v>35</v>
      </c>
      <c r="W249" s="2">
        <v>9</v>
      </c>
      <c r="X249" s="2" t="s">
        <v>44</v>
      </c>
      <c r="Y249" s="2">
        <v>3</v>
      </c>
      <c r="Z249" s="2" t="s">
        <v>82</v>
      </c>
    </row>
    <row r="250" spans="1:26" x14ac:dyDescent="0.35">
      <c r="A250" s="2" t="s">
        <v>541</v>
      </c>
      <c r="B250" s="3">
        <v>45869</v>
      </c>
      <c r="C250" s="2" t="s">
        <v>542</v>
      </c>
      <c r="D250" s="2" t="s">
        <v>68</v>
      </c>
      <c r="E250" s="2" t="s">
        <v>29</v>
      </c>
      <c r="F250" s="2">
        <v>38</v>
      </c>
      <c r="G250" s="2" t="s">
        <v>85</v>
      </c>
      <c r="H250" s="2" t="s">
        <v>31</v>
      </c>
      <c r="I250" s="2" t="s">
        <v>85</v>
      </c>
      <c r="J250" s="2" t="s">
        <v>113</v>
      </c>
      <c r="K250" s="2">
        <v>3</v>
      </c>
      <c r="L250" s="2">
        <v>13647</v>
      </c>
      <c r="M250" s="2">
        <v>20</v>
      </c>
      <c r="N250" s="2">
        <v>8188.2</v>
      </c>
      <c r="O250" s="2">
        <v>5895.5</v>
      </c>
      <c r="P250" s="2">
        <v>193</v>
      </c>
      <c r="Q250" s="2">
        <v>38841.300000000003</v>
      </c>
      <c r="R250" s="2" t="s">
        <v>43</v>
      </c>
      <c r="S250" s="2" t="s">
        <v>59</v>
      </c>
      <c r="T250" s="9" t="s">
        <v>1704</v>
      </c>
      <c r="U250" s="10" t="s">
        <v>52</v>
      </c>
      <c r="V250" s="2" t="s">
        <v>35</v>
      </c>
      <c r="W250" s="2">
        <v>9</v>
      </c>
      <c r="X250" s="2" t="s">
        <v>36</v>
      </c>
      <c r="Y250" s="2">
        <v>5</v>
      </c>
      <c r="Z250" s="2" t="s">
        <v>82</v>
      </c>
    </row>
    <row r="251" spans="1:26" x14ac:dyDescent="0.35">
      <c r="A251" s="2" t="s">
        <v>543</v>
      </c>
      <c r="B251" s="3">
        <v>45931</v>
      </c>
      <c r="C251" s="2" t="s">
        <v>544</v>
      </c>
      <c r="D251" s="2" t="s">
        <v>47</v>
      </c>
      <c r="E251" s="2" t="s">
        <v>29</v>
      </c>
      <c r="F251" s="2">
        <v>49</v>
      </c>
      <c r="G251" s="2" t="s">
        <v>85</v>
      </c>
      <c r="H251" s="2" t="s">
        <v>31</v>
      </c>
      <c r="I251" s="2" t="s">
        <v>85</v>
      </c>
      <c r="J251" s="2" t="s">
        <v>70</v>
      </c>
      <c r="K251" s="2">
        <v>3</v>
      </c>
      <c r="L251" s="2">
        <v>10903</v>
      </c>
      <c r="M251" s="2">
        <v>0</v>
      </c>
      <c r="N251" s="2">
        <v>0</v>
      </c>
      <c r="O251" s="2">
        <v>5887.62</v>
      </c>
      <c r="P251" s="2">
        <v>412</v>
      </c>
      <c r="Q251" s="2">
        <v>39008.620000000003</v>
      </c>
      <c r="R251" s="2" t="s">
        <v>76</v>
      </c>
      <c r="S251" s="2" t="s">
        <v>34</v>
      </c>
      <c r="T251" s="9" t="s">
        <v>1709</v>
      </c>
      <c r="U251" s="10" t="s">
        <v>52</v>
      </c>
      <c r="V251" s="2" t="s">
        <v>53</v>
      </c>
      <c r="W251" s="2">
        <v>8</v>
      </c>
      <c r="X251" s="2" t="s">
        <v>36</v>
      </c>
      <c r="Y251" s="2">
        <v>5</v>
      </c>
      <c r="Z251" s="2" t="s">
        <v>82</v>
      </c>
    </row>
    <row r="252" spans="1:26" x14ac:dyDescent="0.35">
      <c r="A252" s="2" t="s">
        <v>545</v>
      </c>
      <c r="B252" s="3">
        <v>45905</v>
      </c>
      <c r="C252" s="2" t="s">
        <v>546</v>
      </c>
      <c r="D252" s="2" t="s">
        <v>80</v>
      </c>
      <c r="E252" s="2" t="s">
        <v>41</v>
      </c>
      <c r="F252" s="2">
        <v>21</v>
      </c>
      <c r="G252" s="2" t="s">
        <v>85</v>
      </c>
      <c r="H252" s="2" t="s">
        <v>31</v>
      </c>
      <c r="I252" s="2" t="s">
        <v>85</v>
      </c>
      <c r="J252" s="2" t="s">
        <v>138</v>
      </c>
      <c r="K252" s="2">
        <v>4</v>
      </c>
      <c r="L252" s="2">
        <v>12320</v>
      </c>
      <c r="M252" s="2">
        <v>15</v>
      </c>
      <c r="N252" s="2">
        <v>7392</v>
      </c>
      <c r="O252" s="2">
        <v>7539.84</v>
      </c>
      <c r="P252" s="2">
        <v>154</v>
      </c>
      <c r="Q252" s="2">
        <v>49581.84</v>
      </c>
      <c r="R252" s="2" t="s">
        <v>33</v>
      </c>
      <c r="S252" s="2" t="s">
        <v>59</v>
      </c>
      <c r="T252" s="9" t="s">
        <v>1709</v>
      </c>
      <c r="U252" s="10" t="s">
        <v>52</v>
      </c>
      <c r="V252" s="2" t="s">
        <v>53</v>
      </c>
      <c r="W252" s="2">
        <v>5</v>
      </c>
      <c r="X252" s="2" t="s">
        <v>44</v>
      </c>
      <c r="Y252" s="2">
        <v>5</v>
      </c>
      <c r="Z252" s="2" t="s">
        <v>82</v>
      </c>
    </row>
    <row r="253" spans="1:26" x14ac:dyDescent="0.35">
      <c r="A253" s="2" t="s">
        <v>547</v>
      </c>
      <c r="B253" s="3">
        <v>45885</v>
      </c>
      <c r="C253" s="2" t="s">
        <v>548</v>
      </c>
      <c r="D253" s="2" t="s">
        <v>28</v>
      </c>
      <c r="E253" s="2" t="s">
        <v>41</v>
      </c>
      <c r="F253" s="2">
        <v>37</v>
      </c>
      <c r="G253" s="2" t="s">
        <v>88</v>
      </c>
      <c r="H253" s="2" t="s">
        <v>49</v>
      </c>
      <c r="I253" s="2" t="s">
        <v>88</v>
      </c>
      <c r="J253" s="2" t="s">
        <v>138</v>
      </c>
      <c r="K253" s="2">
        <v>1</v>
      </c>
      <c r="L253" s="2">
        <v>14063</v>
      </c>
      <c r="M253" s="2">
        <v>10</v>
      </c>
      <c r="N253" s="2">
        <v>1406.3</v>
      </c>
      <c r="O253" s="2">
        <v>2278.21</v>
      </c>
      <c r="P253" s="2">
        <v>103</v>
      </c>
      <c r="Q253" s="2">
        <v>15037.91</v>
      </c>
      <c r="R253" s="2" t="s">
        <v>43</v>
      </c>
      <c r="S253" s="2" t="s">
        <v>59</v>
      </c>
      <c r="T253" s="9" t="s">
        <v>1707</v>
      </c>
      <c r="U253" s="10" t="s">
        <v>1712</v>
      </c>
      <c r="V253" s="2" t="s">
        <v>53</v>
      </c>
      <c r="W253" s="2">
        <v>2</v>
      </c>
      <c r="X253" s="2" t="s">
        <v>44</v>
      </c>
      <c r="Y253" s="2">
        <v>1</v>
      </c>
      <c r="Z253" s="2" t="s">
        <v>82</v>
      </c>
    </row>
    <row r="254" spans="1:26" x14ac:dyDescent="0.35">
      <c r="A254" s="2" t="s">
        <v>549</v>
      </c>
      <c r="B254" s="3">
        <v>46065</v>
      </c>
      <c r="C254" s="2" t="s">
        <v>325</v>
      </c>
      <c r="D254" s="2" t="s">
        <v>96</v>
      </c>
      <c r="E254" s="2" t="s">
        <v>41</v>
      </c>
      <c r="F254" s="2">
        <v>45</v>
      </c>
      <c r="G254" s="2" t="s">
        <v>122</v>
      </c>
      <c r="H254" s="2" t="s">
        <v>31</v>
      </c>
      <c r="I254" s="2" t="s">
        <v>122</v>
      </c>
      <c r="J254" s="2" t="s">
        <v>113</v>
      </c>
      <c r="K254" s="2">
        <v>3</v>
      </c>
      <c r="L254" s="2">
        <v>38458</v>
      </c>
      <c r="M254" s="2">
        <v>0</v>
      </c>
      <c r="N254" s="2">
        <v>0</v>
      </c>
      <c r="O254" s="2">
        <v>20767.32</v>
      </c>
      <c r="P254" s="2">
        <v>484</v>
      </c>
      <c r="Q254" s="2">
        <v>136625.32</v>
      </c>
      <c r="R254" s="2" t="s">
        <v>76</v>
      </c>
      <c r="S254" s="2" t="s">
        <v>59</v>
      </c>
      <c r="T254" s="9" t="s">
        <v>1704</v>
      </c>
      <c r="U254" s="10" t="s">
        <v>52</v>
      </c>
      <c r="V254" s="2" t="s">
        <v>35</v>
      </c>
      <c r="W254" s="2">
        <v>4</v>
      </c>
      <c r="X254" s="2" t="s">
        <v>36</v>
      </c>
      <c r="Y254" s="2">
        <v>1</v>
      </c>
      <c r="Z254" s="2" t="s">
        <v>82</v>
      </c>
    </row>
    <row r="255" spans="1:26" x14ac:dyDescent="0.35">
      <c r="A255" s="2" t="s">
        <v>550</v>
      </c>
      <c r="B255" s="3">
        <v>45790</v>
      </c>
      <c r="C255" s="2" t="s">
        <v>551</v>
      </c>
      <c r="D255" s="2" t="s">
        <v>73</v>
      </c>
      <c r="E255" s="2" t="s">
        <v>41</v>
      </c>
      <c r="F255" s="2">
        <v>40</v>
      </c>
      <c r="G255" s="2" t="s">
        <v>127</v>
      </c>
      <c r="H255" s="2" t="s">
        <v>31</v>
      </c>
      <c r="I255" s="2" t="s">
        <v>127</v>
      </c>
      <c r="J255" s="2" t="s">
        <v>70</v>
      </c>
      <c r="K255" s="2">
        <v>3</v>
      </c>
      <c r="L255" s="2">
        <v>2136</v>
      </c>
      <c r="M255" s="2">
        <v>0</v>
      </c>
      <c r="N255" s="2">
        <v>0</v>
      </c>
      <c r="O255" s="2">
        <v>1153.44</v>
      </c>
      <c r="P255" s="2">
        <v>388</v>
      </c>
      <c r="Q255" s="2">
        <v>7949.44</v>
      </c>
      <c r="R255" s="2" t="s">
        <v>51</v>
      </c>
      <c r="S255" s="2" t="s">
        <v>59</v>
      </c>
      <c r="T255" s="9" t="s">
        <v>1708</v>
      </c>
      <c r="U255" s="10" t="s">
        <v>52</v>
      </c>
      <c r="V255" s="2" t="s">
        <v>77</v>
      </c>
      <c r="W255" s="2">
        <v>9</v>
      </c>
      <c r="X255" s="2" t="s">
        <v>36</v>
      </c>
      <c r="Y255" s="2">
        <v>5</v>
      </c>
      <c r="Z255" s="2" t="s">
        <v>44</v>
      </c>
    </row>
    <row r="256" spans="1:26" x14ac:dyDescent="0.35">
      <c r="A256" s="2" t="s">
        <v>552</v>
      </c>
      <c r="B256" s="3">
        <v>45879</v>
      </c>
      <c r="C256" s="2" t="s">
        <v>553</v>
      </c>
      <c r="D256" s="2" t="s">
        <v>68</v>
      </c>
      <c r="E256" s="2" t="s">
        <v>41</v>
      </c>
      <c r="F256" s="2">
        <v>50</v>
      </c>
      <c r="G256" s="2" t="s">
        <v>48</v>
      </c>
      <c r="H256" s="2" t="s">
        <v>49</v>
      </c>
      <c r="I256" s="2" t="s">
        <v>48</v>
      </c>
      <c r="J256" s="2" t="s">
        <v>32</v>
      </c>
      <c r="K256" s="2">
        <v>4</v>
      </c>
      <c r="L256" s="2">
        <v>6313</v>
      </c>
      <c r="M256" s="2">
        <v>20</v>
      </c>
      <c r="N256" s="2">
        <v>5050.3999999999996</v>
      </c>
      <c r="O256" s="2">
        <v>3636.29</v>
      </c>
      <c r="P256" s="2">
        <v>1</v>
      </c>
      <c r="Q256" s="2">
        <v>23838.89</v>
      </c>
      <c r="R256" s="2" t="s">
        <v>51</v>
      </c>
      <c r="S256" s="2" t="s">
        <v>34</v>
      </c>
      <c r="T256" s="9" t="s">
        <v>1709</v>
      </c>
      <c r="U256" s="10" t="s">
        <v>52</v>
      </c>
      <c r="V256" s="2" t="s">
        <v>53</v>
      </c>
      <c r="W256" s="2">
        <v>2</v>
      </c>
      <c r="X256" s="2" t="s">
        <v>36</v>
      </c>
      <c r="Y256" s="2">
        <v>1</v>
      </c>
      <c r="Z256" s="2" t="s">
        <v>54</v>
      </c>
    </row>
    <row r="257" spans="1:26" x14ac:dyDescent="0.35">
      <c r="A257" s="2" t="s">
        <v>554</v>
      </c>
      <c r="B257" s="3">
        <v>46121</v>
      </c>
      <c r="C257" s="2" t="s">
        <v>555</v>
      </c>
      <c r="D257" s="2" t="s">
        <v>57</v>
      </c>
      <c r="E257" s="2" t="s">
        <v>41</v>
      </c>
      <c r="F257" s="2">
        <v>46</v>
      </c>
      <c r="G257" s="2" t="s">
        <v>122</v>
      </c>
      <c r="H257" s="2" t="s">
        <v>31</v>
      </c>
      <c r="I257" s="2" t="s">
        <v>122</v>
      </c>
      <c r="J257" s="2" t="s">
        <v>70</v>
      </c>
      <c r="K257" s="2">
        <v>4</v>
      </c>
      <c r="L257" s="2">
        <v>26827</v>
      </c>
      <c r="M257" s="2">
        <v>5</v>
      </c>
      <c r="N257" s="2">
        <v>5365.4</v>
      </c>
      <c r="O257" s="2">
        <v>18349.669999999998</v>
      </c>
      <c r="P257" s="2">
        <v>70</v>
      </c>
      <c r="Q257" s="2">
        <v>120362.27</v>
      </c>
      <c r="R257" s="2" t="s">
        <v>51</v>
      </c>
      <c r="S257" s="2" t="s">
        <v>34</v>
      </c>
      <c r="T257" s="9" t="s">
        <v>1708</v>
      </c>
      <c r="U257" s="10" t="s">
        <v>52</v>
      </c>
      <c r="V257" s="2" t="s">
        <v>77</v>
      </c>
      <c r="W257" s="2">
        <v>5</v>
      </c>
      <c r="X257" s="2" t="s">
        <v>36</v>
      </c>
      <c r="Y257" s="2">
        <v>2</v>
      </c>
      <c r="Z257" s="2" t="s">
        <v>82</v>
      </c>
    </row>
    <row r="258" spans="1:26" x14ac:dyDescent="0.35">
      <c r="A258" s="2" t="s">
        <v>556</v>
      </c>
      <c r="B258" s="3">
        <v>45876</v>
      </c>
      <c r="C258" s="2" t="s">
        <v>557</v>
      </c>
      <c r="D258" s="2" t="s">
        <v>80</v>
      </c>
      <c r="E258" s="2" t="s">
        <v>29</v>
      </c>
      <c r="F258" s="2">
        <v>44</v>
      </c>
      <c r="G258" s="2" t="s">
        <v>88</v>
      </c>
      <c r="H258" s="2" t="s">
        <v>49</v>
      </c>
      <c r="I258" s="2" t="s">
        <v>88</v>
      </c>
      <c r="J258" s="2" t="s">
        <v>70</v>
      </c>
      <c r="K258" s="2">
        <v>4</v>
      </c>
      <c r="L258" s="2">
        <v>20044</v>
      </c>
      <c r="M258" s="2">
        <v>10</v>
      </c>
      <c r="N258" s="2">
        <v>8017.6</v>
      </c>
      <c r="O258" s="2">
        <v>12988.51</v>
      </c>
      <c r="P258" s="2">
        <v>449</v>
      </c>
      <c r="Q258" s="2">
        <v>85595.91</v>
      </c>
      <c r="R258" s="2" t="s">
        <v>43</v>
      </c>
      <c r="S258" s="2" t="s">
        <v>59</v>
      </c>
      <c r="T258" s="9" t="s">
        <v>1710</v>
      </c>
      <c r="U258" s="10" t="s">
        <v>1711</v>
      </c>
      <c r="V258" s="2" t="s">
        <v>53</v>
      </c>
      <c r="W258" s="2">
        <v>4</v>
      </c>
      <c r="X258" s="2" t="s">
        <v>44</v>
      </c>
      <c r="Y258" s="2">
        <v>5</v>
      </c>
      <c r="Z258" s="2" t="s">
        <v>54</v>
      </c>
    </row>
    <row r="259" spans="1:26" x14ac:dyDescent="0.35">
      <c r="A259" s="2" t="s">
        <v>558</v>
      </c>
      <c r="B259" s="3">
        <v>45934</v>
      </c>
      <c r="C259" s="2" t="s">
        <v>559</v>
      </c>
      <c r="D259" s="2" t="s">
        <v>96</v>
      </c>
      <c r="E259" s="2" t="s">
        <v>29</v>
      </c>
      <c r="F259" s="2">
        <v>60</v>
      </c>
      <c r="G259" s="2" t="s">
        <v>127</v>
      </c>
      <c r="H259" s="2" t="s">
        <v>31</v>
      </c>
      <c r="I259" s="2" t="s">
        <v>127</v>
      </c>
      <c r="J259" s="2" t="s">
        <v>190</v>
      </c>
      <c r="K259" s="2">
        <v>5</v>
      </c>
      <c r="L259" s="2">
        <v>2751</v>
      </c>
      <c r="M259" s="2">
        <v>20</v>
      </c>
      <c r="N259" s="2">
        <v>2751</v>
      </c>
      <c r="O259" s="2">
        <v>1980.72</v>
      </c>
      <c r="P259" s="2">
        <v>347</v>
      </c>
      <c r="Q259" s="2">
        <v>13331.72</v>
      </c>
      <c r="R259" s="2" t="s">
        <v>33</v>
      </c>
      <c r="S259" s="2" t="s">
        <v>34</v>
      </c>
      <c r="T259" s="9" t="s">
        <v>1708</v>
      </c>
      <c r="U259" s="10" t="s">
        <v>52</v>
      </c>
      <c r="V259" s="2" t="s">
        <v>77</v>
      </c>
      <c r="W259" s="2">
        <v>5</v>
      </c>
      <c r="X259" s="2" t="s">
        <v>36</v>
      </c>
      <c r="Y259" s="2">
        <v>5</v>
      </c>
      <c r="Z259" s="2" t="s">
        <v>37</v>
      </c>
    </row>
    <row r="260" spans="1:26" x14ac:dyDescent="0.35">
      <c r="A260" s="2" t="s">
        <v>560</v>
      </c>
      <c r="B260" s="3">
        <v>46001</v>
      </c>
      <c r="C260" s="2" t="s">
        <v>561</v>
      </c>
      <c r="D260" s="2" t="s">
        <v>47</v>
      </c>
      <c r="E260" s="2" t="s">
        <v>29</v>
      </c>
      <c r="F260" s="2">
        <v>28</v>
      </c>
      <c r="G260" s="2" t="s">
        <v>30</v>
      </c>
      <c r="H260" s="2" t="s">
        <v>31</v>
      </c>
      <c r="I260" s="2" t="s">
        <v>30</v>
      </c>
      <c r="J260" s="2" t="s">
        <v>138</v>
      </c>
      <c r="K260" s="2">
        <v>4</v>
      </c>
      <c r="L260" s="2">
        <v>5599</v>
      </c>
      <c r="M260" s="2">
        <v>20</v>
      </c>
      <c r="N260" s="2">
        <v>4479.2</v>
      </c>
      <c r="O260" s="2">
        <v>3225.02</v>
      </c>
      <c r="P260" s="2">
        <v>479</v>
      </c>
      <c r="Q260" s="2">
        <v>21620.82</v>
      </c>
      <c r="R260" s="2" t="s">
        <v>33</v>
      </c>
      <c r="S260" s="2" t="s">
        <v>34</v>
      </c>
      <c r="T260" s="9" t="s">
        <v>1708</v>
      </c>
      <c r="U260" s="10" t="s">
        <v>52</v>
      </c>
      <c r="V260" s="2" t="s">
        <v>77</v>
      </c>
      <c r="W260" s="2">
        <v>4</v>
      </c>
      <c r="X260" s="2" t="s">
        <v>44</v>
      </c>
      <c r="Y260" s="2">
        <v>5</v>
      </c>
      <c r="Z260" s="2" t="s">
        <v>82</v>
      </c>
    </row>
    <row r="261" spans="1:26" x14ac:dyDescent="0.35">
      <c r="A261" s="2" t="s">
        <v>562</v>
      </c>
      <c r="B261" s="3">
        <v>45937</v>
      </c>
      <c r="C261" s="2" t="s">
        <v>563</v>
      </c>
      <c r="D261" s="2" t="s">
        <v>57</v>
      </c>
      <c r="E261" s="2" t="s">
        <v>41</v>
      </c>
      <c r="F261" s="2">
        <v>42</v>
      </c>
      <c r="G261" s="2" t="s">
        <v>48</v>
      </c>
      <c r="H261" s="2" t="s">
        <v>49</v>
      </c>
      <c r="I261" s="2" t="s">
        <v>48</v>
      </c>
      <c r="J261" s="2" t="s">
        <v>190</v>
      </c>
      <c r="K261" s="2">
        <v>1</v>
      </c>
      <c r="L261" s="2">
        <v>13659</v>
      </c>
      <c r="M261" s="2">
        <v>20</v>
      </c>
      <c r="N261" s="2">
        <v>2731.8</v>
      </c>
      <c r="O261" s="2">
        <v>1966.9</v>
      </c>
      <c r="P261" s="2">
        <v>370</v>
      </c>
      <c r="Q261" s="2">
        <v>13264.1</v>
      </c>
      <c r="R261" s="2" t="s">
        <v>51</v>
      </c>
      <c r="S261" s="2" t="s">
        <v>59</v>
      </c>
      <c r="T261" s="9" t="s">
        <v>1704</v>
      </c>
      <c r="U261" s="10" t="s">
        <v>52</v>
      </c>
      <c r="V261" s="2" t="s">
        <v>35</v>
      </c>
      <c r="W261" s="2">
        <v>2</v>
      </c>
      <c r="X261" s="2" t="s">
        <v>36</v>
      </c>
      <c r="Y261" s="2">
        <v>1</v>
      </c>
      <c r="Z261" s="2" t="s">
        <v>82</v>
      </c>
    </row>
    <row r="262" spans="1:26" x14ac:dyDescent="0.35">
      <c r="A262" s="2" t="s">
        <v>564</v>
      </c>
      <c r="B262" s="3">
        <v>46034</v>
      </c>
      <c r="C262" s="2" t="s">
        <v>565</v>
      </c>
      <c r="D262" s="2" t="s">
        <v>96</v>
      </c>
      <c r="E262" s="2" t="s">
        <v>29</v>
      </c>
      <c r="F262" s="2">
        <v>41</v>
      </c>
      <c r="G262" s="2" t="s">
        <v>85</v>
      </c>
      <c r="H262" s="2" t="s">
        <v>31</v>
      </c>
      <c r="I262" s="2" t="s">
        <v>85</v>
      </c>
      <c r="J262" s="2" t="s">
        <v>113</v>
      </c>
      <c r="K262" s="2">
        <v>3</v>
      </c>
      <c r="L262" s="2">
        <v>35927</v>
      </c>
      <c r="M262" s="2">
        <v>15</v>
      </c>
      <c r="N262" s="2">
        <v>16167.15</v>
      </c>
      <c r="O262" s="2">
        <v>16490.490000000002</v>
      </c>
      <c r="P262" s="2">
        <v>110</v>
      </c>
      <c r="Q262" s="2">
        <v>108214.34</v>
      </c>
      <c r="R262" s="2" t="s">
        <v>43</v>
      </c>
      <c r="S262" s="2" t="s">
        <v>34</v>
      </c>
      <c r="T262" s="9" t="s">
        <v>1705</v>
      </c>
      <c r="U262" s="10" t="s">
        <v>1702</v>
      </c>
      <c r="V262" s="2" t="s">
        <v>53</v>
      </c>
      <c r="W262" s="2">
        <v>1</v>
      </c>
      <c r="X262" s="2" t="s">
        <v>36</v>
      </c>
      <c r="Y262" s="2">
        <v>2</v>
      </c>
      <c r="Z262" s="2" t="s">
        <v>37</v>
      </c>
    </row>
    <row r="263" spans="1:26" x14ac:dyDescent="0.35">
      <c r="A263" s="2" t="s">
        <v>566</v>
      </c>
      <c r="B263" s="3">
        <v>45870</v>
      </c>
      <c r="C263" s="2" t="s">
        <v>567</v>
      </c>
      <c r="D263" s="2" t="s">
        <v>28</v>
      </c>
      <c r="E263" s="2" t="s">
        <v>29</v>
      </c>
      <c r="F263" s="2">
        <v>51</v>
      </c>
      <c r="G263" s="2" t="s">
        <v>48</v>
      </c>
      <c r="H263" s="2" t="s">
        <v>49</v>
      </c>
      <c r="I263" s="2" t="s">
        <v>48</v>
      </c>
      <c r="J263" s="2" t="s">
        <v>113</v>
      </c>
      <c r="K263" s="2">
        <v>2</v>
      </c>
      <c r="L263" s="2">
        <v>8718</v>
      </c>
      <c r="M263" s="2">
        <v>5</v>
      </c>
      <c r="N263" s="2">
        <v>871.8</v>
      </c>
      <c r="O263" s="2">
        <v>2981.56</v>
      </c>
      <c r="P263" s="2">
        <v>320</v>
      </c>
      <c r="Q263" s="2">
        <v>19865.759999999998</v>
      </c>
      <c r="R263" s="2" t="s">
        <v>51</v>
      </c>
      <c r="S263" s="2" t="s">
        <v>34</v>
      </c>
      <c r="T263" s="9" t="s">
        <v>1705</v>
      </c>
      <c r="U263" s="10" t="s">
        <v>1702</v>
      </c>
      <c r="V263" s="2" t="s">
        <v>53</v>
      </c>
      <c r="W263" s="2">
        <v>9</v>
      </c>
      <c r="X263" s="2" t="s">
        <v>36</v>
      </c>
      <c r="Y263" s="2">
        <v>3</v>
      </c>
      <c r="Z263" s="2" t="s">
        <v>54</v>
      </c>
    </row>
    <row r="264" spans="1:26" x14ac:dyDescent="0.35">
      <c r="A264" s="2" t="s">
        <v>568</v>
      </c>
      <c r="B264" s="3">
        <v>45943</v>
      </c>
      <c r="C264" s="2" t="s">
        <v>569</v>
      </c>
      <c r="D264" s="2" t="s">
        <v>80</v>
      </c>
      <c r="E264" s="2" t="s">
        <v>29</v>
      </c>
      <c r="F264" s="2">
        <v>50</v>
      </c>
      <c r="G264" s="2" t="s">
        <v>85</v>
      </c>
      <c r="H264" s="2" t="s">
        <v>31</v>
      </c>
      <c r="I264" s="2" t="s">
        <v>85</v>
      </c>
      <c r="J264" s="2" t="s">
        <v>138</v>
      </c>
      <c r="K264" s="2">
        <v>4</v>
      </c>
      <c r="L264" s="2">
        <v>10032</v>
      </c>
      <c r="M264" s="2">
        <v>5</v>
      </c>
      <c r="N264" s="2">
        <v>2006.4</v>
      </c>
      <c r="O264" s="2">
        <v>6861.89</v>
      </c>
      <c r="P264" s="2">
        <v>42</v>
      </c>
      <c r="Q264" s="2">
        <v>45025.49</v>
      </c>
      <c r="R264" s="2" t="s">
        <v>33</v>
      </c>
      <c r="S264" s="2" t="s">
        <v>34</v>
      </c>
      <c r="T264" s="9" t="s">
        <v>1706</v>
      </c>
      <c r="U264" s="10" t="s">
        <v>52</v>
      </c>
      <c r="V264" s="2" t="s">
        <v>53</v>
      </c>
      <c r="W264" s="2">
        <v>3</v>
      </c>
      <c r="X264" s="2" t="s">
        <v>36</v>
      </c>
      <c r="Y264" s="2">
        <v>3</v>
      </c>
      <c r="Z264" s="2" t="s">
        <v>44</v>
      </c>
    </row>
    <row r="265" spans="1:26" x14ac:dyDescent="0.35">
      <c r="A265" s="2" t="s">
        <v>570</v>
      </c>
      <c r="B265" s="3">
        <v>46033</v>
      </c>
      <c r="C265" s="2" t="s">
        <v>571</v>
      </c>
      <c r="D265" s="2" t="s">
        <v>40</v>
      </c>
      <c r="E265" s="2" t="s">
        <v>41</v>
      </c>
      <c r="F265" s="2">
        <v>59</v>
      </c>
      <c r="G265" s="2" t="s">
        <v>81</v>
      </c>
      <c r="H265" s="2" t="s">
        <v>31</v>
      </c>
      <c r="I265" s="2" t="s">
        <v>81</v>
      </c>
      <c r="J265" s="2" t="s">
        <v>32</v>
      </c>
      <c r="K265" s="2">
        <v>4</v>
      </c>
      <c r="L265" s="2">
        <v>9542</v>
      </c>
      <c r="M265" s="2">
        <v>20</v>
      </c>
      <c r="N265" s="2">
        <v>7633.6</v>
      </c>
      <c r="O265" s="2">
        <v>5496.19</v>
      </c>
      <c r="P265" s="2">
        <v>372</v>
      </c>
      <c r="Q265" s="2">
        <v>36402.589999999997</v>
      </c>
      <c r="R265" s="2" t="s">
        <v>43</v>
      </c>
      <c r="S265" s="2" t="s">
        <v>59</v>
      </c>
      <c r="T265" s="9" t="s">
        <v>1709</v>
      </c>
      <c r="U265" s="10" t="s">
        <v>52</v>
      </c>
      <c r="V265" s="2" t="s">
        <v>53</v>
      </c>
      <c r="W265" s="2">
        <v>10</v>
      </c>
      <c r="X265" s="2" t="s">
        <v>44</v>
      </c>
      <c r="Y265" s="2">
        <v>3</v>
      </c>
      <c r="Z265" s="2" t="s">
        <v>82</v>
      </c>
    </row>
    <row r="266" spans="1:26" x14ac:dyDescent="0.35">
      <c r="A266" s="2" t="s">
        <v>572</v>
      </c>
      <c r="B266" s="3">
        <v>46009</v>
      </c>
      <c r="C266" s="2" t="s">
        <v>321</v>
      </c>
      <c r="D266" s="2" t="s">
        <v>99</v>
      </c>
      <c r="E266" s="2" t="s">
        <v>29</v>
      </c>
      <c r="F266" s="2">
        <v>41</v>
      </c>
      <c r="G266" s="2" t="s">
        <v>69</v>
      </c>
      <c r="H266" s="2" t="s">
        <v>31</v>
      </c>
      <c r="I266" s="2" t="s">
        <v>69</v>
      </c>
      <c r="J266" s="2" t="s">
        <v>138</v>
      </c>
      <c r="K266" s="2">
        <v>1</v>
      </c>
      <c r="L266" s="2">
        <v>9992</v>
      </c>
      <c r="M266" s="2">
        <v>10</v>
      </c>
      <c r="N266" s="2">
        <v>999.2</v>
      </c>
      <c r="O266" s="2">
        <v>1618.7</v>
      </c>
      <c r="P266" s="2">
        <v>323</v>
      </c>
      <c r="Q266" s="2">
        <v>10934.5</v>
      </c>
      <c r="R266" s="2" t="s">
        <v>33</v>
      </c>
      <c r="S266" s="2" t="s">
        <v>59</v>
      </c>
      <c r="T266" s="9" t="s">
        <v>1710</v>
      </c>
      <c r="U266" s="10" t="s">
        <v>1711</v>
      </c>
      <c r="V266" s="2" t="s">
        <v>53</v>
      </c>
      <c r="W266" s="2">
        <v>10</v>
      </c>
      <c r="X266" s="2" t="s">
        <v>44</v>
      </c>
      <c r="Y266" s="2">
        <v>4</v>
      </c>
      <c r="Z266" s="2" t="s">
        <v>54</v>
      </c>
    </row>
    <row r="267" spans="1:26" x14ac:dyDescent="0.35">
      <c r="A267" s="2" t="s">
        <v>573</v>
      </c>
      <c r="B267" s="3">
        <v>45940</v>
      </c>
      <c r="C267" s="2" t="s">
        <v>574</v>
      </c>
      <c r="D267" s="2" t="s">
        <v>96</v>
      </c>
      <c r="E267" s="2" t="s">
        <v>41</v>
      </c>
      <c r="F267" s="2">
        <v>25</v>
      </c>
      <c r="G267" s="2" t="s">
        <v>63</v>
      </c>
      <c r="H267" s="2" t="s">
        <v>64</v>
      </c>
      <c r="I267" s="2" t="s">
        <v>63</v>
      </c>
      <c r="J267" s="2" t="s">
        <v>100</v>
      </c>
      <c r="K267" s="2">
        <v>2</v>
      </c>
      <c r="L267" s="2">
        <v>2594</v>
      </c>
      <c r="M267" s="2">
        <v>5</v>
      </c>
      <c r="N267" s="2">
        <v>259.39999999999998</v>
      </c>
      <c r="O267" s="2">
        <v>887.15</v>
      </c>
      <c r="P267" s="2">
        <v>259</v>
      </c>
      <c r="Q267" s="2">
        <v>6074.75</v>
      </c>
      <c r="R267" s="2" t="s">
        <v>76</v>
      </c>
      <c r="S267" s="2" t="s">
        <v>34</v>
      </c>
      <c r="T267" s="9" t="s">
        <v>1707</v>
      </c>
      <c r="U267" s="10" t="s">
        <v>1712</v>
      </c>
      <c r="V267" s="2" t="s">
        <v>53</v>
      </c>
      <c r="W267" s="2">
        <v>10</v>
      </c>
      <c r="X267" s="2" t="s">
        <v>44</v>
      </c>
      <c r="Y267" s="2">
        <v>5</v>
      </c>
      <c r="Z267" s="2" t="s">
        <v>44</v>
      </c>
    </row>
    <row r="268" spans="1:26" x14ac:dyDescent="0.35">
      <c r="A268" s="2" t="s">
        <v>575</v>
      </c>
      <c r="B268" s="3">
        <v>46121</v>
      </c>
      <c r="C268" s="2" t="s">
        <v>576</v>
      </c>
      <c r="D268" s="2" t="s">
        <v>73</v>
      </c>
      <c r="E268" s="2" t="s">
        <v>41</v>
      </c>
      <c r="F268" s="2">
        <v>27</v>
      </c>
      <c r="G268" s="2" t="s">
        <v>48</v>
      </c>
      <c r="H268" s="2" t="s">
        <v>49</v>
      </c>
      <c r="I268" s="2" t="s">
        <v>48</v>
      </c>
      <c r="J268" s="2" t="s">
        <v>70</v>
      </c>
      <c r="K268" s="2">
        <v>3</v>
      </c>
      <c r="L268" s="2">
        <v>33711</v>
      </c>
      <c r="M268" s="2">
        <v>15</v>
      </c>
      <c r="N268" s="2">
        <v>15169.95</v>
      </c>
      <c r="O268" s="2">
        <v>15473.35</v>
      </c>
      <c r="P268" s="2">
        <v>84</v>
      </c>
      <c r="Q268" s="2">
        <v>101520.4</v>
      </c>
      <c r="R268" s="2" t="s">
        <v>33</v>
      </c>
      <c r="S268" s="2" t="s">
        <v>34</v>
      </c>
      <c r="T268" s="9" t="s">
        <v>1708</v>
      </c>
      <c r="U268" s="10" t="s">
        <v>52</v>
      </c>
      <c r="V268" s="2" t="s">
        <v>77</v>
      </c>
      <c r="W268" s="2">
        <v>6</v>
      </c>
      <c r="X268" s="2" t="s">
        <v>44</v>
      </c>
      <c r="Y268" s="2">
        <v>5</v>
      </c>
      <c r="Z268" s="2" t="s">
        <v>37</v>
      </c>
    </row>
    <row r="269" spans="1:26" x14ac:dyDescent="0.35">
      <c r="A269" s="2" t="s">
        <v>577</v>
      </c>
      <c r="B269" s="3">
        <v>45821</v>
      </c>
      <c r="C269" s="2" t="s">
        <v>133</v>
      </c>
      <c r="D269" s="2" t="s">
        <v>62</v>
      </c>
      <c r="E269" s="2" t="s">
        <v>29</v>
      </c>
      <c r="F269" s="2">
        <v>41</v>
      </c>
      <c r="G269" s="2" t="s">
        <v>85</v>
      </c>
      <c r="H269" s="2" t="s">
        <v>31</v>
      </c>
      <c r="I269" s="2" t="s">
        <v>85</v>
      </c>
      <c r="J269" s="2" t="s">
        <v>58</v>
      </c>
      <c r="K269" s="2">
        <v>5</v>
      </c>
      <c r="L269" s="2">
        <v>28384</v>
      </c>
      <c r="M269" s="2">
        <v>20</v>
      </c>
      <c r="N269" s="2">
        <v>28384</v>
      </c>
      <c r="O269" s="2">
        <v>20436.48</v>
      </c>
      <c r="P269" s="2">
        <v>302</v>
      </c>
      <c r="Q269" s="2">
        <v>134274.48000000001</v>
      </c>
      <c r="R269" s="2" t="s">
        <v>33</v>
      </c>
      <c r="S269" s="2" t="s">
        <v>59</v>
      </c>
      <c r="T269" s="9" t="s">
        <v>1707</v>
      </c>
      <c r="U269" s="10" t="s">
        <v>1712</v>
      </c>
      <c r="V269" s="2" t="s">
        <v>53</v>
      </c>
      <c r="W269" s="2">
        <v>7</v>
      </c>
      <c r="X269" s="2" t="s">
        <v>36</v>
      </c>
      <c r="Y269" s="2">
        <v>3</v>
      </c>
      <c r="Z269" s="2" t="s">
        <v>44</v>
      </c>
    </row>
    <row r="270" spans="1:26" x14ac:dyDescent="0.35">
      <c r="A270" s="2" t="s">
        <v>578</v>
      </c>
      <c r="B270" s="3">
        <v>46092</v>
      </c>
      <c r="C270" s="2" t="s">
        <v>579</v>
      </c>
      <c r="D270" s="2" t="s">
        <v>80</v>
      </c>
      <c r="E270" s="2" t="s">
        <v>41</v>
      </c>
      <c r="F270" s="2">
        <v>29</v>
      </c>
      <c r="G270" s="2" t="s">
        <v>48</v>
      </c>
      <c r="H270" s="2" t="s">
        <v>49</v>
      </c>
      <c r="I270" s="2" t="s">
        <v>48</v>
      </c>
      <c r="J270" s="2" t="s">
        <v>65</v>
      </c>
      <c r="K270" s="2">
        <v>3</v>
      </c>
      <c r="L270" s="2">
        <v>35019</v>
      </c>
      <c r="M270" s="2">
        <v>15</v>
      </c>
      <c r="N270" s="2">
        <v>15758.55</v>
      </c>
      <c r="O270" s="2">
        <v>16073.72</v>
      </c>
      <c r="P270" s="2">
        <v>151</v>
      </c>
      <c r="Q270" s="2">
        <v>105523.17</v>
      </c>
      <c r="R270" s="2" t="s">
        <v>76</v>
      </c>
      <c r="S270" s="2" t="s">
        <v>59</v>
      </c>
      <c r="T270" s="9" t="s">
        <v>1710</v>
      </c>
      <c r="U270" s="10" t="s">
        <v>1711</v>
      </c>
      <c r="V270" s="2" t="s">
        <v>53</v>
      </c>
      <c r="W270" s="2">
        <v>3</v>
      </c>
      <c r="X270" s="2" t="s">
        <v>36</v>
      </c>
      <c r="Y270" s="2">
        <v>5</v>
      </c>
      <c r="Z270" s="2" t="s">
        <v>54</v>
      </c>
    </row>
    <row r="271" spans="1:26" x14ac:dyDescent="0.35">
      <c r="A271" s="2" t="s">
        <v>580</v>
      </c>
      <c r="B271" s="3">
        <v>45800</v>
      </c>
      <c r="C271" s="2" t="s">
        <v>581</v>
      </c>
      <c r="D271" s="2" t="s">
        <v>96</v>
      </c>
      <c r="E271" s="2" t="s">
        <v>41</v>
      </c>
      <c r="F271" s="2">
        <v>59</v>
      </c>
      <c r="G271" s="2" t="s">
        <v>30</v>
      </c>
      <c r="H271" s="2" t="s">
        <v>31</v>
      </c>
      <c r="I271" s="2" t="s">
        <v>30</v>
      </c>
      <c r="J271" s="2" t="s">
        <v>32</v>
      </c>
      <c r="K271" s="2">
        <v>3</v>
      </c>
      <c r="L271" s="2">
        <v>19289</v>
      </c>
      <c r="M271" s="2">
        <v>10</v>
      </c>
      <c r="N271" s="2">
        <v>5786.7</v>
      </c>
      <c r="O271" s="2">
        <v>9374.4500000000007</v>
      </c>
      <c r="P271" s="2">
        <v>261</v>
      </c>
      <c r="Q271" s="2">
        <v>61715.75</v>
      </c>
      <c r="R271" s="2" t="s">
        <v>33</v>
      </c>
      <c r="S271" s="2" t="s">
        <v>34</v>
      </c>
      <c r="T271" s="9" t="s">
        <v>1704</v>
      </c>
      <c r="U271" s="10" t="s">
        <v>52</v>
      </c>
      <c r="V271" s="2" t="s">
        <v>35</v>
      </c>
      <c r="W271" s="2">
        <v>4</v>
      </c>
      <c r="X271" s="2" t="s">
        <v>36</v>
      </c>
      <c r="Y271" s="2">
        <v>3</v>
      </c>
      <c r="Z271" s="2" t="s">
        <v>37</v>
      </c>
    </row>
    <row r="272" spans="1:26" x14ac:dyDescent="0.35">
      <c r="A272" s="2" t="s">
        <v>582</v>
      </c>
      <c r="B272" s="3">
        <v>46015</v>
      </c>
      <c r="C272" s="2" t="s">
        <v>412</v>
      </c>
      <c r="D272" s="2" t="s">
        <v>62</v>
      </c>
      <c r="E272" s="2" t="s">
        <v>29</v>
      </c>
      <c r="F272" s="2">
        <v>44</v>
      </c>
      <c r="G272" s="2" t="s">
        <v>88</v>
      </c>
      <c r="H272" s="2" t="s">
        <v>49</v>
      </c>
      <c r="I272" s="2" t="s">
        <v>88</v>
      </c>
      <c r="J272" s="2" t="s">
        <v>58</v>
      </c>
      <c r="K272" s="2">
        <v>4</v>
      </c>
      <c r="L272" s="2">
        <v>47723</v>
      </c>
      <c r="M272" s="2">
        <v>10</v>
      </c>
      <c r="N272" s="2">
        <v>19089.2</v>
      </c>
      <c r="O272" s="2">
        <v>30924.5</v>
      </c>
      <c r="P272" s="2">
        <v>497</v>
      </c>
      <c r="Q272" s="2">
        <v>203224.3</v>
      </c>
      <c r="R272" s="2" t="s">
        <v>76</v>
      </c>
      <c r="S272" s="2" t="s">
        <v>59</v>
      </c>
      <c r="T272" s="9" t="s">
        <v>1703</v>
      </c>
      <c r="U272" s="10" t="s">
        <v>1701</v>
      </c>
      <c r="V272" s="2" t="s">
        <v>35</v>
      </c>
      <c r="W272" s="2">
        <v>8</v>
      </c>
      <c r="X272" s="2" t="s">
        <v>36</v>
      </c>
      <c r="Y272" s="2">
        <v>1</v>
      </c>
      <c r="Z272" s="2" t="s">
        <v>37</v>
      </c>
    </row>
    <row r="273" spans="1:26" x14ac:dyDescent="0.35">
      <c r="A273" s="2" t="s">
        <v>583</v>
      </c>
      <c r="B273" s="3">
        <v>46001</v>
      </c>
      <c r="C273" s="2" t="s">
        <v>406</v>
      </c>
      <c r="D273" s="2" t="s">
        <v>47</v>
      </c>
      <c r="E273" s="2" t="s">
        <v>29</v>
      </c>
      <c r="F273" s="2">
        <v>44</v>
      </c>
      <c r="G273" s="2" t="s">
        <v>42</v>
      </c>
      <c r="H273" s="2" t="s">
        <v>31</v>
      </c>
      <c r="I273" s="2" t="s">
        <v>42</v>
      </c>
      <c r="J273" s="2" t="s">
        <v>50</v>
      </c>
      <c r="K273" s="2">
        <v>5</v>
      </c>
      <c r="L273" s="2">
        <v>36579</v>
      </c>
      <c r="M273" s="2">
        <v>5</v>
      </c>
      <c r="N273" s="2">
        <v>9144.75</v>
      </c>
      <c r="O273" s="2">
        <v>31275.040000000001</v>
      </c>
      <c r="P273" s="2">
        <v>326</v>
      </c>
      <c r="Q273" s="2">
        <v>205351.29</v>
      </c>
      <c r="R273" s="2" t="s">
        <v>76</v>
      </c>
      <c r="S273" s="2" t="s">
        <v>59</v>
      </c>
      <c r="T273" s="9" t="s">
        <v>1709</v>
      </c>
      <c r="U273" s="10" t="s">
        <v>52</v>
      </c>
      <c r="V273" s="2" t="s">
        <v>53</v>
      </c>
      <c r="W273" s="2">
        <v>4</v>
      </c>
      <c r="X273" s="2" t="s">
        <v>36</v>
      </c>
      <c r="Y273" s="2">
        <v>4</v>
      </c>
      <c r="Z273" s="2" t="s">
        <v>54</v>
      </c>
    </row>
    <row r="274" spans="1:26" x14ac:dyDescent="0.35">
      <c r="A274" s="2" t="s">
        <v>584</v>
      </c>
      <c r="B274" s="3">
        <v>46085</v>
      </c>
      <c r="C274" s="2" t="s">
        <v>585</v>
      </c>
      <c r="D274" s="2" t="s">
        <v>57</v>
      </c>
      <c r="E274" s="2" t="s">
        <v>41</v>
      </c>
      <c r="F274" s="2">
        <v>28</v>
      </c>
      <c r="G274" s="2" t="s">
        <v>30</v>
      </c>
      <c r="H274" s="2" t="s">
        <v>31</v>
      </c>
      <c r="I274" s="2" t="s">
        <v>30</v>
      </c>
      <c r="J274" s="2" t="s">
        <v>138</v>
      </c>
      <c r="K274" s="2">
        <v>2</v>
      </c>
      <c r="L274" s="2">
        <v>30501</v>
      </c>
      <c r="M274" s="2">
        <v>10</v>
      </c>
      <c r="N274" s="2">
        <v>6100.2</v>
      </c>
      <c r="O274" s="2">
        <v>9882.32</v>
      </c>
      <c r="P274" s="2">
        <v>215</v>
      </c>
      <c r="Q274" s="2">
        <v>64999.12</v>
      </c>
      <c r="R274" s="2" t="s">
        <v>51</v>
      </c>
      <c r="S274" s="2" t="s">
        <v>59</v>
      </c>
      <c r="T274" s="9" t="s">
        <v>1709</v>
      </c>
      <c r="U274" s="10" t="s">
        <v>52</v>
      </c>
      <c r="V274" s="2" t="s">
        <v>53</v>
      </c>
      <c r="W274" s="2">
        <v>8</v>
      </c>
      <c r="X274" s="2" t="s">
        <v>36</v>
      </c>
      <c r="Y274" s="2">
        <v>2</v>
      </c>
      <c r="Z274" s="2" t="s">
        <v>44</v>
      </c>
    </row>
    <row r="275" spans="1:26" x14ac:dyDescent="0.35">
      <c r="A275" s="2" t="s">
        <v>586</v>
      </c>
      <c r="B275" s="3">
        <v>45908</v>
      </c>
      <c r="C275" s="2" t="s">
        <v>587</v>
      </c>
      <c r="D275" s="2" t="s">
        <v>40</v>
      </c>
      <c r="E275" s="2" t="s">
        <v>29</v>
      </c>
      <c r="F275" s="2">
        <v>19</v>
      </c>
      <c r="G275" s="2" t="s">
        <v>42</v>
      </c>
      <c r="H275" s="2" t="s">
        <v>31</v>
      </c>
      <c r="I275" s="2" t="s">
        <v>42</v>
      </c>
      <c r="J275" s="2" t="s">
        <v>70</v>
      </c>
      <c r="K275" s="2">
        <v>3</v>
      </c>
      <c r="L275" s="2">
        <v>35905</v>
      </c>
      <c r="M275" s="2">
        <v>20</v>
      </c>
      <c r="N275" s="2">
        <v>21543</v>
      </c>
      <c r="O275" s="2">
        <v>15510.96</v>
      </c>
      <c r="P275" s="2">
        <v>69</v>
      </c>
      <c r="Q275" s="2">
        <v>101751.96</v>
      </c>
      <c r="R275" s="2" t="s">
        <v>76</v>
      </c>
      <c r="S275" s="2" t="s">
        <v>59</v>
      </c>
      <c r="T275" s="9" t="s">
        <v>1708</v>
      </c>
      <c r="U275" s="10" t="s">
        <v>52</v>
      </c>
      <c r="V275" s="2" t="s">
        <v>77</v>
      </c>
      <c r="W275" s="2">
        <v>6</v>
      </c>
      <c r="X275" s="2" t="s">
        <v>36</v>
      </c>
      <c r="Y275" s="2">
        <v>4</v>
      </c>
      <c r="Z275" s="2" t="s">
        <v>44</v>
      </c>
    </row>
    <row r="276" spans="1:26" x14ac:dyDescent="0.35">
      <c r="A276" s="2" t="s">
        <v>588</v>
      </c>
      <c r="B276" s="3">
        <v>45871</v>
      </c>
      <c r="C276" s="2" t="s">
        <v>108</v>
      </c>
      <c r="D276" s="2" t="s">
        <v>99</v>
      </c>
      <c r="E276" s="2" t="s">
        <v>41</v>
      </c>
      <c r="F276" s="2">
        <v>38</v>
      </c>
      <c r="G276" s="2" t="s">
        <v>127</v>
      </c>
      <c r="H276" s="2" t="s">
        <v>31</v>
      </c>
      <c r="I276" s="2" t="s">
        <v>127</v>
      </c>
      <c r="J276" s="2" t="s">
        <v>50</v>
      </c>
      <c r="K276" s="2">
        <v>3</v>
      </c>
      <c r="L276" s="2">
        <v>16019</v>
      </c>
      <c r="M276" s="2">
        <v>10</v>
      </c>
      <c r="N276" s="2">
        <v>4805.7</v>
      </c>
      <c r="O276" s="2">
        <v>7785.23</v>
      </c>
      <c r="P276" s="2">
        <v>9</v>
      </c>
      <c r="Q276" s="2">
        <v>51045.53</v>
      </c>
      <c r="R276" s="2" t="s">
        <v>76</v>
      </c>
      <c r="S276" s="2" t="s">
        <v>59</v>
      </c>
      <c r="T276" s="9" t="s">
        <v>1708</v>
      </c>
      <c r="U276" s="10" t="s">
        <v>52</v>
      </c>
      <c r="V276" s="2" t="s">
        <v>77</v>
      </c>
      <c r="W276" s="2">
        <v>4</v>
      </c>
      <c r="X276" s="2" t="s">
        <v>36</v>
      </c>
      <c r="Y276" s="2">
        <v>4</v>
      </c>
      <c r="Z276" s="2" t="s">
        <v>54</v>
      </c>
    </row>
    <row r="277" spans="1:26" x14ac:dyDescent="0.35">
      <c r="A277" s="2" t="s">
        <v>589</v>
      </c>
      <c r="B277" s="3">
        <v>45877</v>
      </c>
      <c r="C277" s="2" t="s">
        <v>590</v>
      </c>
      <c r="D277" s="2" t="s">
        <v>80</v>
      </c>
      <c r="E277" s="2" t="s">
        <v>29</v>
      </c>
      <c r="F277" s="2">
        <v>22</v>
      </c>
      <c r="G277" s="2" t="s">
        <v>85</v>
      </c>
      <c r="H277" s="2" t="s">
        <v>31</v>
      </c>
      <c r="I277" s="2" t="s">
        <v>85</v>
      </c>
      <c r="J277" s="2" t="s">
        <v>50</v>
      </c>
      <c r="K277" s="2">
        <v>4</v>
      </c>
      <c r="L277" s="2">
        <v>19232</v>
      </c>
      <c r="M277" s="2">
        <v>10</v>
      </c>
      <c r="N277" s="2">
        <v>7692.8</v>
      </c>
      <c r="O277" s="2">
        <v>12462.34</v>
      </c>
      <c r="P277" s="2">
        <v>295</v>
      </c>
      <c r="Q277" s="2">
        <v>81992.539999999994</v>
      </c>
      <c r="R277" s="2" t="s">
        <v>51</v>
      </c>
      <c r="S277" s="2" t="s">
        <v>59</v>
      </c>
      <c r="T277" s="9" t="s">
        <v>1703</v>
      </c>
      <c r="U277" s="10" t="s">
        <v>1701</v>
      </c>
      <c r="V277" s="2" t="s">
        <v>35</v>
      </c>
      <c r="W277" s="2">
        <v>6</v>
      </c>
      <c r="X277" s="2" t="s">
        <v>36</v>
      </c>
      <c r="Y277" s="2">
        <v>5</v>
      </c>
      <c r="Z277" s="2" t="s">
        <v>54</v>
      </c>
    </row>
    <row r="278" spans="1:26" x14ac:dyDescent="0.35">
      <c r="A278" s="2" t="s">
        <v>591</v>
      </c>
      <c r="B278" s="3">
        <v>45978</v>
      </c>
      <c r="C278" s="2" t="s">
        <v>592</v>
      </c>
      <c r="D278" s="2" t="s">
        <v>47</v>
      </c>
      <c r="E278" s="2" t="s">
        <v>29</v>
      </c>
      <c r="F278" s="2">
        <v>57</v>
      </c>
      <c r="G278" s="2" t="s">
        <v>69</v>
      </c>
      <c r="H278" s="2" t="s">
        <v>31</v>
      </c>
      <c r="I278" s="2" t="s">
        <v>69</v>
      </c>
      <c r="J278" s="2" t="s">
        <v>91</v>
      </c>
      <c r="K278" s="2">
        <v>3</v>
      </c>
      <c r="L278" s="2">
        <v>26220</v>
      </c>
      <c r="M278" s="2">
        <v>5</v>
      </c>
      <c r="N278" s="2">
        <v>3933</v>
      </c>
      <c r="O278" s="2">
        <v>13450.86</v>
      </c>
      <c r="P278" s="2">
        <v>337</v>
      </c>
      <c r="Q278" s="2">
        <v>88514.86</v>
      </c>
      <c r="R278" s="2" t="s">
        <v>76</v>
      </c>
      <c r="S278" s="2" t="s">
        <v>34</v>
      </c>
      <c r="T278" s="9" t="s">
        <v>1704</v>
      </c>
      <c r="U278" s="10" t="s">
        <v>52</v>
      </c>
      <c r="V278" s="2" t="s">
        <v>35</v>
      </c>
      <c r="W278" s="2">
        <v>9</v>
      </c>
      <c r="X278" s="2" t="s">
        <v>44</v>
      </c>
      <c r="Y278" s="2">
        <v>5</v>
      </c>
      <c r="Z278" s="2" t="s">
        <v>44</v>
      </c>
    </row>
    <row r="279" spans="1:26" x14ac:dyDescent="0.35">
      <c r="A279" s="2" t="s">
        <v>593</v>
      </c>
      <c r="B279" s="3">
        <v>45872</v>
      </c>
      <c r="C279" s="2" t="s">
        <v>106</v>
      </c>
      <c r="D279" s="2" t="s">
        <v>68</v>
      </c>
      <c r="E279" s="2" t="s">
        <v>41</v>
      </c>
      <c r="F279" s="2">
        <v>60</v>
      </c>
      <c r="G279" s="2" t="s">
        <v>30</v>
      </c>
      <c r="H279" s="2" t="s">
        <v>31</v>
      </c>
      <c r="I279" s="2" t="s">
        <v>30</v>
      </c>
      <c r="J279" s="2" t="s">
        <v>138</v>
      </c>
      <c r="K279" s="2">
        <v>2</v>
      </c>
      <c r="L279" s="2">
        <v>8816</v>
      </c>
      <c r="M279" s="2">
        <v>20</v>
      </c>
      <c r="N279" s="2">
        <v>3526.4</v>
      </c>
      <c r="O279" s="2">
        <v>2539.0100000000002</v>
      </c>
      <c r="P279" s="2">
        <v>394</v>
      </c>
      <c r="Q279" s="2">
        <v>17038.61</v>
      </c>
      <c r="R279" s="2" t="s">
        <v>43</v>
      </c>
      <c r="S279" s="2" t="s">
        <v>34</v>
      </c>
      <c r="T279" s="9" t="s">
        <v>1704</v>
      </c>
      <c r="U279" s="10" t="s">
        <v>52</v>
      </c>
      <c r="V279" s="2" t="s">
        <v>35</v>
      </c>
      <c r="W279" s="2">
        <v>5</v>
      </c>
      <c r="X279" s="2" t="s">
        <v>36</v>
      </c>
      <c r="Y279" s="2">
        <v>4</v>
      </c>
      <c r="Z279" s="2" t="s">
        <v>44</v>
      </c>
    </row>
    <row r="280" spans="1:26" x14ac:dyDescent="0.35">
      <c r="A280" s="2" t="s">
        <v>594</v>
      </c>
      <c r="B280" s="3">
        <v>45773</v>
      </c>
      <c r="C280" s="2" t="s">
        <v>595</v>
      </c>
      <c r="D280" s="2" t="s">
        <v>73</v>
      </c>
      <c r="E280" s="2" t="s">
        <v>41</v>
      </c>
      <c r="F280" s="2">
        <v>32</v>
      </c>
      <c r="G280" s="2" t="s">
        <v>127</v>
      </c>
      <c r="H280" s="2" t="s">
        <v>31</v>
      </c>
      <c r="I280" s="2" t="s">
        <v>127</v>
      </c>
      <c r="J280" s="2" t="s">
        <v>65</v>
      </c>
      <c r="K280" s="2">
        <v>1</v>
      </c>
      <c r="L280" s="2">
        <v>21091</v>
      </c>
      <c r="M280" s="2">
        <v>10</v>
      </c>
      <c r="N280" s="2">
        <v>2109.1</v>
      </c>
      <c r="O280" s="2">
        <v>3416.74</v>
      </c>
      <c r="P280" s="2">
        <v>177</v>
      </c>
      <c r="Q280" s="2">
        <v>22575.64</v>
      </c>
      <c r="R280" s="2" t="s">
        <v>51</v>
      </c>
      <c r="S280" s="2" t="s">
        <v>59</v>
      </c>
      <c r="T280" s="9" t="s">
        <v>1709</v>
      </c>
      <c r="U280" s="10" t="s">
        <v>52</v>
      </c>
      <c r="V280" s="2" t="s">
        <v>53</v>
      </c>
      <c r="W280" s="2">
        <v>1</v>
      </c>
      <c r="X280" s="2" t="s">
        <v>44</v>
      </c>
      <c r="Y280" s="2">
        <v>1</v>
      </c>
      <c r="Z280" s="2" t="s">
        <v>37</v>
      </c>
    </row>
    <row r="281" spans="1:26" x14ac:dyDescent="0.35">
      <c r="A281" s="2" t="s">
        <v>596</v>
      </c>
      <c r="B281" s="3">
        <v>46032</v>
      </c>
      <c r="C281" s="2" t="s">
        <v>527</v>
      </c>
      <c r="D281" s="2" t="s">
        <v>47</v>
      </c>
      <c r="E281" s="2" t="s">
        <v>29</v>
      </c>
      <c r="F281" s="2">
        <v>19</v>
      </c>
      <c r="G281" s="2" t="s">
        <v>85</v>
      </c>
      <c r="H281" s="2" t="s">
        <v>31</v>
      </c>
      <c r="I281" s="2" t="s">
        <v>85</v>
      </c>
      <c r="J281" s="2" t="s">
        <v>65</v>
      </c>
      <c r="K281" s="2">
        <v>2</v>
      </c>
      <c r="L281" s="2">
        <v>46647</v>
      </c>
      <c r="M281" s="2">
        <v>0</v>
      </c>
      <c r="N281" s="2">
        <v>0</v>
      </c>
      <c r="O281" s="2">
        <v>16792.919999999998</v>
      </c>
      <c r="P281" s="2">
        <v>477</v>
      </c>
      <c r="Q281" s="2">
        <v>110563.92</v>
      </c>
      <c r="R281" s="2" t="s">
        <v>33</v>
      </c>
      <c r="S281" s="2" t="s">
        <v>34</v>
      </c>
      <c r="T281" s="9" t="s">
        <v>1710</v>
      </c>
      <c r="U281" s="10" t="s">
        <v>1711</v>
      </c>
      <c r="V281" s="2" t="s">
        <v>53</v>
      </c>
      <c r="W281" s="2">
        <v>6</v>
      </c>
      <c r="X281" s="2" t="s">
        <v>36</v>
      </c>
      <c r="Y281" s="2">
        <v>2</v>
      </c>
      <c r="Z281" s="2" t="s">
        <v>54</v>
      </c>
    </row>
    <row r="282" spans="1:26" x14ac:dyDescent="0.35">
      <c r="A282" s="2" t="s">
        <v>597</v>
      </c>
      <c r="B282" s="3">
        <v>46042</v>
      </c>
      <c r="C282" s="2" t="s">
        <v>598</v>
      </c>
      <c r="D282" s="2" t="s">
        <v>73</v>
      </c>
      <c r="E282" s="2" t="s">
        <v>41</v>
      </c>
      <c r="F282" s="2">
        <v>57</v>
      </c>
      <c r="G282" s="2" t="s">
        <v>30</v>
      </c>
      <c r="H282" s="2" t="s">
        <v>31</v>
      </c>
      <c r="I282" s="2" t="s">
        <v>30</v>
      </c>
      <c r="J282" s="2" t="s">
        <v>50</v>
      </c>
      <c r="K282" s="2">
        <v>1</v>
      </c>
      <c r="L282" s="2">
        <v>46084</v>
      </c>
      <c r="M282" s="2">
        <v>10</v>
      </c>
      <c r="N282" s="2">
        <v>4608.3999999999996</v>
      </c>
      <c r="O282" s="2">
        <v>7465.61</v>
      </c>
      <c r="P282" s="2">
        <v>166</v>
      </c>
      <c r="Q282" s="2">
        <v>49107.21</v>
      </c>
      <c r="R282" s="2" t="s">
        <v>33</v>
      </c>
      <c r="S282" s="2" t="s">
        <v>59</v>
      </c>
      <c r="T282" s="9" t="s">
        <v>1709</v>
      </c>
      <c r="U282" s="10" t="s">
        <v>52</v>
      </c>
      <c r="V282" s="2" t="s">
        <v>53</v>
      </c>
      <c r="W282" s="2">
        <v>4</v>
      </c>
      <c r="X282" s="2" t="s">
        <v>44</v>
      </c>
      <c r="Y282" s="2">
        <v>3</v>
      </c>
      <c r="Z282" s="2" t="s">
        <v>54</v>
      </c>
    </row>
    <row r="283" spans="1:26" x14ac:dyDescent="0.35">
      <c r="A283" s="2" t="s">
        <v>599</v>
      </c>
      <c r="B283" s="3">
        <v>46115</v>
      </c>
      <c r="C283" s="2" t="s">
        <v>600</v>
      </c>
      <c r="D283" s="2" t="s">
        <v>99</v>
      </c>
      <c r="E283" s="2" t="s">
        <v>29</v>
      </c>
      <c r="F283" s="2">
        <v>27</v>
      </c>
      <c r="G283" s="2" t="s">
        <v>81</v>
      </c>
      <c r="H283" s="2" t="s">
        <v>31</v>
      </c>
      <c r="I283" s="2" t="s">
        <v>81</v>
      </c>
      <c r="J283" s="2" t="s">
        <v>50</v>
      </c>
      <c r="K283" s="2">
        <v>2</v>
      </c>
      <c r="L283" s="2">
        <v>13526</v>
      </c>
      <c r="M283" s="2">
        <v>0</v>
      </c>
      <c r="N283" s="2">
        <v>0</v>
      </c>
      <c r="O283" s="2">
        <v>4869.3599999999997</v>
      </c>
      <c r="P283" s="2">
        <v>286</v>
      </c>
      <c r="Q283" s="2">
        <v>32207.360000000001</v>
      </c>
      <c r="R283" s="2" t="s">
        <v>43</v>
      </c>
      <c r="S283" s="2" t="s">
        <v>59</v>
      </c>
      <c r="T283" s="9" t="s">
        <v>1709</v>
      </c>
      <c r="U283" s="10" t="s">
        <v>52</v>
      </c>
      <c r="V283" s="2" t="s">
        <v>53</v>
      </c>
      <c r="W283" s="2">
        <v>8</v>
      </c>
      <c r="X283" s="2" t="s">
        <v>36</v>
      </c>
      <c r="Y283" s="2">
        <v>5</v>
      </c>
      <c r="Z283" s="2" t="s">
        <v>37</v>
      </c>
    </row>
    <row r="284" spans="1:26" x14ac:dyDescent="0.35">
      <c r="A284" s="2" t="s">
        <v>601</v>
      </c>
      <c r="B284" s="3">
        <v>45908</v>
      </c>
      <c r="C284" s="2" t="s">
        <v>192</v>
      </c>
      <c r="D284" s="2" t="s">
        <v>68</v>
      </c>
      <c r="E284" s="2" t="s">
        <v>29</v>
      </c>
      <c r="F284" s="2">
        <v>23</v>
      </c>
      <c r="G284" s="2" t="s">
        <v>85</v>
      </c>
      <c r="H284" s="2" t="s">
        <v>31</v>
      </c>
      <c r="I284" s="2" t="s">
        <v>85</v>
      </c>
      <c r="J284" s="2" t="s">
        <v>138</v>
      </c>
      <c r="K284" s="2">
        <v>2</v>
      </c>
      <c r="L284" s="2">
        <v>24594</v>
      </c>
      <c r="M284" s="2">
        <v>15</v>
      </c>
      <c r="N284" s="2">
        <v>7378.2</v>
      </c>
      <c r="O284" s="2">
        <v>7525.76</v>
      </c>
      <c r="P284" s="2">
        <v>423</v>
      </c>
      <c r="Q284" s="2">
        <v>49758.559999999998</v>
      </c>
      <c r="R284" s="2" t="s">
        <v>33</v>
      </c>
      <c r="S284" s="2" t="s">
        <v>34</v>
      </c>
      <c r="T284" s="9" t="s">
        <v>1709</v>
      </c>
      <c r="U284" s="10" t="s">
        <v>52</v>
      </c>
      <c r="V284" s="2" t="s">
        <v>53</v>
      </c>
      <c r="W284" s="2">
        <v>5</v>
      </c>
      <c r="X284" s="2" t="s">
        <v>44</v>
      </c>
      <c r="Y284" s="2">
        <v>3</v>
      </c>
      <c r="Z284" s="2" t="s">
        <v>54</v>
      </c>
    </row>
    <row r="285" spans="1:26" x14ac:dyDescent="0.35">
      <c r="A285" s="2" t="s">
        <v>602</v>
      </c>
      <c r="B285" s="3">
        <v>46093</v>
      </c>
      <c r="C285" s="2" t="s">
        <v>603</v>
      </c>
      <c r="D285" s="2" t="s">
        <v>62</v>
      </c>
      <c r="E285" s="2" t="s">
        <v>41</v>
      </c>
      <c r="F285" s="2">
        <v>48</v>
      </c>
      <c r="G285" s="2" t="s">
        <v>69</v>
      </c>
      <c r="H285" s="2" t="s">
        <v>31</v>
      </c>
      <c r="I285" s="2" t="s">
        <v>69</v>
      </c>
      <c r="J285" s="2" t="s">
        <v>50</v>
      </c>
      <c r="K285" s="2">
        <v>1</v>
      </c>
      <c r="L285" s="2">
        <v>8792</v>
      </c>
      <c r="M285" s="2">
        <v>20</v>
      </c>
      <c r="N285" s="2">
        <v>1758.4</v>
      </c>
      <c r="O285" s="2">
        <v>1266.05</v>
      </c>
      <c r="P285" s="2">
        <v>83</v>
      </c>
      <c r="Q285" s="2">
        <v>8382.65</v>
      </c>
      <c r="R285" s="2" t="s">
        <v>33</v>
      </c>
      <c r="S285" s="2" t="s">
        <v>34</v>
      </c>
      <c r="T285" s="9" t="s">
        <v>1704</v>
      </c>
      <c r="U285" s="10" t="s">
        <v>52</v>
      </c>
      <c r="V285" s="2" t="s">
        <v>35</v>
      </c>
      <c r="W285" s="2">
        <v>3</v>
      </c>
      <c r="X285" s="2" t="s">
        <v>44</v>
      </c>
      <c r="Y285" s="2">
        <v>2</v>
      </c>
      <c r="Z285" s="2" t="s">
        <v>54</v>
      </c>
    </row>
    <row r="286" spans="1:26" x14ac:dyDescent="0.35">
      <c r="A286" s="2" t="s">
        <v>604</v>
      </c>
      <c r="B286" s="3">
        <v>45830</v>
      </c>
      <c r="C286" s="2" t="s">
        <v>331</v>
      </c>
      <c r="D286" s="2" t="s">
        <v>73</v>
      </c>
      <c r="E286" s="2" t="s">
        <v>29</v>
      </c>
      <c r="F286" s="2">
        <v>44</v>
      </c>
      <c r="G286" s="2" t="s">
        <v>85</v>
      </c>
      <c r="H286" s="2" t="s">
        <v>31</v>
      </c>
      <c r="I286" s="2" t="s">
        <v>85</v>
      </c>
      <c r="J286" s="2" t="s">
        <v>70</v>
      </c>
      <c r="K286" s="2">
        <v>2</v>
      </c>
      <c r="L286" s="2">
        <v>39070</v>
      </c>
      <c r="M286" s="2">
        <v>0</v>
      </c>
      <c r="N286" s="2">
        <v>0</v>
      </c>
      <c r="O286" s="2">
        <v>14065.2</v>
      </c>
      <c r="P286" s="2">
        <v>255</v>
      </c>
      <c r="Q286" s="2">
        <v>92460.2</v>
      </c>
      <c r="R286" s="2" t="s">
        <v>33</v>
      </c>
      <c r="S286" s="2" t="s">
        <v>59</v>
      </c>
      <c r="T286" s="9" t="s">
        <v>1703</v>
      </c>
      <c r="U286" s="10" t="s">
        <v>1701</v>
      </c>
      <c r="V286" s="2" t="s">
        <v>35</v>
      </c>
      <c r="W286" s="2">
        <v>9</v>
      </c>
      <c r="X286" s="2" t="s">
        <v>44</v>
      </c>
      <c r="Y286" s="2">
        <v>5</v>
      </c>
      <c r="Z286" s="2" t="s">
        <v>54</v>
      </c>
    </row>
    <row r="287" spans="1:26" x14ac:dyDescent="0.35">
      <c r="A287" s="2" t="s">
        <v>605</v>
      </c>
      <c r="B287" s="3">
        <v>46091</v>
      </c>
      <c r="C287" s="2" t="s">
        <v>606</v>
      </c>
      <c r="D287" s="2" t="s">
        <v>40</v>
      </c>
      <c r="E287" s="2" t="s">
        <v>41</v>
      </c>
      <c r="F287" s="2">
        <v>29</v>
      </c>
      <c r="G287" s="2" t="s">
        <v>69</v>
      </c>
      <c r="H287" s="2" t="s">
        <v>31</v>
      </c>
      <c r="I287" s="2" t="s">
        <v>69</v>
      </c>
      <c r="J287" s="2" t="s">
        <v>32</v>
      </c>
      <c r="K287" s="2">
        <v>2</v>
      </c>
      <c r="L287" s="2">
        <v>4186</v>
      </c>
      <c r="M287" s="2">
        <v>15</v>
      </c>
      <c r="N287" s="2">
        <v>1255.8</v>
      </c>
      <c r="O287" s="2">
        <v>1280.92</v>
      </c>
      <c r="P287" s="2">
        <v>320</v>
      </c>
      <c r="Q287" s="2">
        <v>8717.1200000000008</v>
      </c>
      <c r="R287" s="2" t="s">
        <v>76</v>
      </c>
      <c r="S287" s="2" t="s">
        <v>59</v>
      </c>
      <c r="T287" s="9" t="s">
        <v>1710</v>
      </c>
      <c r="U287" s="10" t="s">
        <v>1711</v>
      </c>
      <c r="V287" s="2" t="s">
        <v>53</v>
      </c>
      <c r="W287" s="2">
        <v>2</v>
      </c>
      <c r="X287" s="2" t="s">
        <v>44</v>
      </c>
      <c r="Y287" s="2">
        <v>4</v>
      </c>
      <c r="Z287" s="2" t="s">
        <v>37</v>
      </c>
    </row>
    <row r="288" spans="1:26" x14ac:dyDescent="0.35">
      <c r="A288" s="2" t="s">
        <v>607</v>
      </c>
      <c r="B288" s="3">
        <v>45852</v>
      </c>
      <c r="C288" s="2" t="s">
        <v>608</v>
      </c>
      <c r="D288" s="2" t="s">
        <v>73</v>
      </c>
      <c r="E288" s="2" t="s">
        <v>41</v>
      </c>
      <c r="F288" s="2">
        <v>39</v>
      </c>
      <c r="G288" s="2" t="s">
        <v>122</v>
      </c>
      <c r="H288" s="2" t="s">
        <v>31</v>
      </c>
      <c r="I288" s="2" t="s">
        <v>122</v>
      </c>
      <c r="J288" s="2" t="s">
        <v>113</v>
      </c>
      <c r="K288" s="2">
        <v>3</v>
      </c>
      <c r="L288" s="2">
        <v>27724</v>
      </c>
      <c r="M288" s="2">
        <v>0</v>
      </c>
      <c r="N288" s="2">
        <v>0</v>
      </c>
      <c r="O288" s="2">
        <v>14970.96</v>
      </c>
      <c r="P288" s="2">
        <v>412</v>
      </c>
      <c r="Q288" s="2">
        <v>98554.96</v>
      </c>
      <c r="R288" s="2" t="s">
        <v>43</v>
      </c>
      <c r="S288" s="2" t="s">
        <v>59</v>
      </c>
      <c r="T288" s="9" t="s">
        <v>1710</v>
      </c>
      <c r="U288" s="10" t="s">
        <v>1711</v>
      </c>
      <c r="V288" s="2" t="s">
        <v>53</v>
      </c>
      <c r="W288" s="2">
        <v>7</v>
      </c>
      <c r="X288" s="2" t="s">
        <v>36</v>
      </c>
      <c r="Y288" s="2">
        <v>4</v>
      </c>
      <c r="Z288" s="2" t="s">
        <v>54</v>
      </c>
    </row>
    <row r="289" spans="1:26" x14ac:dyDescent="0.35">
      <c r="A289" s="2" t="s">
        <v>609</v>
      </c>
      <c r="B289" s="3">
        <v>45816</v>
      </c>
      <c r="C289" s="2" t="s">
        <v>610</v>
      </c>
      <c r="D289" s="2" t="s">
        <v>47</v>
      </c>
      <c r="E289" s="2" t="s">
        <v>41</v>
      </c>
      <c r="F289" s="2">
        <v>22</v>
      </c>
      <c r="G289" s="2" t="s">
        <v>48</v>
      </c>
      <c r="H289" s="2" t="s">
        <v>49</v>
      </c>
      <c r="I289" s="2" t="s">
        <v>48</v>
      </c>
      <c r="J289" s="2" t="s">
        <v>58</v>
      </c>
      <c r="K289" s="2">
        <v>2</v>
      </c>
      <c r="L289" s="2">
        <v>25863</v>
      </c>
      <c r="M289" s="2">
        <v>15</v>
      </c>
      <c r="N289" s="2">
        <v>7758.9</v>
      </c>
      <c r="O289" s="2">
        <v>7914.08</v>
      </c>
      <c r="P289" s="2">
        <v>282</v>
      </c>
      <c r="Q289" s="2">
        <v>52163.18</v>
      </c>
      <c r="R289" s="2" t="s">
        <v>43</v>
      </c>
      <c r="S289" s="2" t="s">
        <v>34</v>
      </c>
      <c r="T289" s="9" t="s">
        <v>1706</v>
      </c>
      <c r="U289" s="10" t="s">
        <v>52</v>
      </c>
      <c r="V289" s="2" t="s">
        <v>53</v>
      </c>
      <c r="W289" s="2">
        <v>7</v>
      </c>
      <c r="X289" s="2" t="s">
        <v>36</v>
      </c>
      <c r="Y289" s="2">
        <v>4</v>
      </c>
      <c r="Z289" s="2" t="s">
        <v>44</v>
      </c>
    </row>
    <row r="290" spans="1:26" x14ac:dyDescent="0.35">
      <c r="A290" s="2" t="s">
        <v>611</v>
      </c>
      <c r="B290" s="3">
        <v>46103</v>
      </c>
      <c r="C290" s="2" t="s">
        <v>612</v>
      </c>
      <c r="D290" s="2" t="s">
        <v>47</v>
      </c>
      <c r="E290" s="2" t="s">
        <v>41</v>
      </c>
      <c r="F290" s="2">
        <v>45</v>
      </c>
      <c r="G290" s="2" t="s">
        <v>69</v>
      </c>
      <c r="H290" s="2" t="s">
        <v>31</v>
      </c>
      <c r="I290" s="2" t="s">
        <v>69</v>
      </c>
      <c r="J290" s="2" t="s">
        <v>70</v>
      </c>
      <c r="K290" s="2">
        <v>3</v>
      </c>
      <c r="L290" s="2">
        <v>5942</v>
      </c>
      <c r="M290" s="2">
        <v>5</v>
      </c>
      <c r="N290" s="2">
        <v>891.3</v>
      </c>
      <c r="O290" s="2">
        <v>3048.25</v>
      </c>
      <c r="P290" s="2">
        <v>248</v>
      </c>
      <c r="Q290" s="2">
        <v>20230.95</v>
      </c>
      <c r="R290" s="2" t="s">
        <v>76</v>
      </c>
      <c r="S290" s="2" t="s">
        <v>34</v>
      </c>
      <c r="T290" s="9" t="s">
        <v>1706</v>
      </c>
      <c r="U290" s="10" t="s">
        <v>52</v>
      </c>
      <c r="V290" s="2" t="s">
        <v>53</v>
      </c>
      <c r="W290" s="2">
        <v>8</v>
      </c>
      <c r="X290" s="2" t="s">
        <v>44</v>
      </c>
      <c r="Y290" s="2">
        <v>2</v>
      </c>
      <c r="Z290" s="2" t="s">
        <v>54</v>
      </c>
    </row>
    <row r="291" spans="1:26" x14ac:dyDescent="0.35">
      <c r="A291" s="2" t="s">
        <v>613</v>
      </c>
      <c r="B291" s="3">
        <v>45787</v>
      </c>
      <c r="C291" s="2" t="s">
        <v>614</v>
      </c>
      <c r="D291" s="2" t="s">
        <v>96</v>
      </c>
      <c r="E291" s="2" t="s">
        <v>41</v>
      </c>
      <c r="F291" s="2">
        <v>54</v>
      </c>
      <c r="G291" s="2" t="s">
        <v>42</v>
      </c>
      <c r="H291" s="2" t="s">
        <v>31</v>
      </c>
      <c r="I291" s="2" t="s">
        <v>42</v>
      </c>
      <c r="J291" s="2" t="s">
        <v>50</v>
      </c>
      <c r="K291" s="2">
        <v>2</v>
      </c>
      <c r="L291" s="2">
        <v>5637</v>
      </c>
      <c r="M291" s="2">
        <v>20</v>
      </c>
      <c r="N291" s="2">
        <v>2254.8000000000002</v>
      </c>
      <c r="O291" s="2">
        <v>1623.46</v>
      </c>
      <c r="P291" s="2">
        <v>105</v>
      </c>
      <c r="Q291" s="2">
        <v>10747.66</v>
      </c>
      <c r="R291" s="2" t="s">
        <v>43</v>
      </c>
      <c r="S291" s="2" t="s">
        <v>34</v>
      </c>
      <c r="T291" s="9" t="s">
        <v>1710</v>
      </c>
      <c r="U291" s="10" t="s">
        <v>1711</v>
      </c>
      <c r="V291" s="2" t="s">
        <v>53</v>
      </c>
      <c r="W291" s="2">
        <v>7</v>
      </c>
      <c r="X291" s="2" t="s">
        <v>36</v>
      </c>
      <c r="Y291" s="2">
        <v>5</v>
      </c>
      <c r="Z291" s="2" t="s">
        <v>82</v>
      </c>
    </row>
    <row r="292" spans="1:26" x14ac:dyDescent="0.35">
      <c r="A292" s="2" t="s">
        <v>615</v>
      </c>
      <c r="B292" s="3">
        <v>45759</v>
      </c>
      <c r="C292" s="2" t="s">
        <v>616</v>
      </c>
      <c r="D292" s="2" t="s">
        <v>40</v>
      </c>
      <c r="E292" s="2" t="s">
        <v>41</v>
      </c>
      <c r="F292" s="2">
        <v>48</v>
      </c>
      <c r="G292" s="2" t="s">
        <v>81</v>
      </c>
      <c r="H292" s="2" t="s">
        <v>31</v>
      </c>
      <c r="I292" s="2" t="s">
        <v>81</v>
      </c>
      <c r="J292" s="2" t="s">
        <v>113</v>
      </c>
      <c r="K292" s="2">
        <v>3</v>
      </c>
      <c r="L292" s="2">
        <v>11265</v>
      </c>
      <c r="M292" s="2">
        <v>15</v>
      </c>
      <c r="N292" s="2">
        <v>5069.25</v>
      </c>
      <c r="O292" s="2">
        <v>5170.6400000000003</v>
      </c>
      <c r="P292" s="2">
        <v>234</v>
      </c>
      <c r="Q292" s="2">
        <v>34130.39</v>
      </c>
      <c r="R292" s="2" t="s">
        <v>51</v>
      </c>
      <c r="S292" s="2" t="s">
        <v>59</v>
      </c>
      <c r="T292" s="9" t="s">
        <v>1704</v>
      </c>
      <c r="U292" s="10" t="s">
        <v>52</v>
      </c>
      <c r="V292" s="2" t="s">
        <v>35</v>
      </c>
      <c r="W292" s="2">
        <v>6</v>
      </c>
      <c r="X292" s="2" t="s">
        <v>36</v>
      </c>
      <c r="Y292" s="2">
        <v>1</v>
      </c>
      <c r="Z292" s="2" t="s">
        <v>82</v>
      </c>
    </row>
    <row r="293" spans="1:26" x14ac:dyDescent="0.35">
      <c r="A293" s="2" t="s">
        <v>617</v>
      </c>
      <c r="B293" s="3">
        <v>45849</v>
      </c>
      <c r="C293" s="2" t="s">
        <v>618</v>
      </c>
      <c r="D293" s="2" t="s">
        <v>57</v>
      </c>
      <c r="E293" s="2" t="s">
        <v>41</v>
      </c>
      <c r="F293" s="2">
        <v>31</v>
      </c>
      <c r="G293" s="2" t="s">
        <v>42</v>
      </c>
      <c r="H293" s="2" t="s">
        <v>31</v>
      </c>
      <c r="I293" s="2" t="s">
        <v>42</v>
      </c>
      <c r="J293" s="2" t="s">
        <v>91</v>
      </c>
      <c r="K293" s="2">
        <v>3</v>
      </c>
      <c r="L293" s="2">
        <v>1419</v>
      </c>
      <c r="M293" s="2">
        <v>10</v>
      </c>
      <c r="N293" s="2">
        <v>425.7</v>
      </c>
      <c r="O293" s="2">
        <v>689.63</v>
      </c>
      <c r="P293" s="2">
        <v>407</v>
      </c>
      <c r="Q293" s="2">
        <v>4927.93</v>
      </c>
      <c r="R293" s="2" t="s">
        <v>51</v>
      </c>
      <c r="S293" s="2" t="s">
        <v>59</v>
      </c>
      <c r="T293" s="9" t="s">
        <v>1707</v>
      </c>
      <c r="U293" s="10" t="s">
        <v>1712</v>
      </c>
      <c r="V293" s="2" t="s">
        <v>53</v>
      </c>
      <c r="W293" s="2">
        <v>8</v>
      </c>
      <c r="X293" s="2" t="s">
        <v>36</v>
      </c>
      <c r="Y293" s="2">
        <v>5</v>
      </c>
      <c r="Z293" s="2" t="s">
        <v>54</v>
      </c>
    </row>
    <row r="294" spans="1:26" x14ac:dyDescent="0.35">
      <c r="A294" s="2" t="s">
        <v>619</v>
      </c>
      <c r="B294" s="3">
        <v>46036</v>
      </c>
      <c r="C294" s="2" t="s">
        <v>620</v>
      </c>
      <c r="D294" s="2" t="s">
        <v>47</v>
      </c>
      <c r="E294" s="2" t="s">
        <v>41</v>
      </c>
      <c r="F294" s="2">
        <v>48</v>
      </c>
      <c r="G294" s="2" t="s">
        <v>48</v>
      </c>
      <c r="H294" s="2" t="s">
        <v>49</v>
      </c>
      <c r="I294" s="2" t="s">
        <v>48</v>
      </c>
      <c r="J294" s="2" t="s">
        <v>32</v>
      </c>
      <c r="K294" s="2">
        <v>4</v>
      </c>
      <c r="L294" s="2">
        <v>14676</v>
      </c>
      <c r="M294" s="2">
        <v>5</v>
      </c>
      <c r="N294" s="2">
        <v>2935.2</v>
      </c>
      <c r="O294" s="2">
        <v>10038.379999999999</v>
      </c>
      <c r="P294" s="2">
        <v>318</v>
      </c>
      <c r="Q294" s="2">
        <v>66125.179999999993</v>
      </c>
      <c r="R294" s="2" t="s">
        <v>51</v>
      </c>
      <c r="S294" s="2" t="s">
        <v>59</v>
      </c>
      <c r="T294" s="9" t="s">
        <v>1709</v>
      </c>
      <c r="U294" s="10" t="s">
        <v>52</v>
      </c>
      <c r="V294" s="2" t="s">
        <v>53</v>
      </c>
      <c r="W294" s="2">
        <v>10</v>
      </c>
      <c r="X294" s="2" t="s">
        <v>36</v>
      </c>
      <c r="Y294" s="2">
        <v>4</v>
      </c>
      <c r="Z294" s="2" t="s">
        <v>37</v>
      </c>
    </row>
    <row r="295" spans="1:26" x14ac:dyDescent="0.35">
      <c r="A295" s="2" t="s">
        <v>621</v>
      </c>
      <c r="B295" s="3">
        <v>46007</v>
      </c>
      <c r="C295" s="2" t="s">
        <v>622</v>
      </c>
      <c r="D295" s="2" t="s">
        <v>47</v>
      </c>
      <c r="E295" s="2" t="s">
        <v>29</v>
      </c>
      <c r="F295" s="2">
        <v>48</v>
      </c>
      <c r="G295" s="2" t="s">
        <v>48</v>
      </c>
      <c r="H295" s="2" t="s">
        <v>49</v>
      </c>
      <c r="I295" s="2" t="s">
        <v>48</v>
      </c>
      <c r="J295" s="2" t="s">
        <v>190</v>
      </c>
      <c r="K295" s="2">
        <v>1</v>
      </c>
      <c r="L295" s="2">
        <v>31678</v>
      </c>
      <c r="M295" s="2">
        <v>10</v>
      </c>
      <c r="N295" s="2">
        <v>3167.8</v>
      </c>
      <c r="O295" s="2">
        <v>5131.84</v>
      </c>
      <c r="P295" s="2">
        <v>175</v>
      </c>
      <c r="Q295" s="2">
        <v>33817.040000000001</v>
      </c>
      <c r="R295" s="2" t="s">
        <v>51</v>
      </c>
      <c r="S295" s="2" t="s">
        <v>34</v>
      </c>
      <c r="T295" s="9" t="s">
        <v>1706</v>
      </c>
      <c r="U295" s="10" t="s">
        <v>52</v>
      </c>
      <c r="V295" s="2" t="s">
        <v>53</v>
      </c>
      <c r="W295" s="2">
        <v>2</v>
      </c>
      <c r="X295" s="2" t="s">
        <v>44</v>
      </c>
      <c r="Y295" s="2">
        <v>5</v>
      </c>
      <c r="Z295" s="2" t="s">
        <v>82</v>
      </c>
    </row>
    <row r="296" spans="1:26" x14ac:dyDescent="0.35">
      <c r="A296" s="2" t="s">
        <v>623</v>
      </c>
      <c r="B296" s="3">
        <v>46022</v>
      </c>
      <c r="C296" s="2" t="s">
        <v>624</v>
      </c>
      <c r="D296" s="2" t="s">
        <v>80</v>
      </c>
      <c r="E296" s="2" t="s">
        <v>41</v>
      </c>
      <c r="F296" s="2">
        <v>32</v>
      </c>
      <c r="G296" s="2" t="s">
        <v>48</v>
      </c>
      <c r="H296" s="2" t="s">
        <v>49</v>
      </c>
      <c r="I296" s="2" t="s">
        <v>48</v>
      </c>
      <c r="J296" s="2" t="s">
        <v>138</v>
      </c>
      <c r="K296" s="2">
        <v>4</v>
      </c>
      <c r="L296" s="2">
        <v>11363</v>
      </c>
      <c r="M296" s="2">
        <v>10</v>
      </c>
      <c r="N296" s="2">
        <v>4545.2</v>
      </c>
      <c r="O296" s="2">
        <v>7363.22</v>
      </c>
      <c r="P296" s="2">
        <v>249</v>
      </c>
      <c r="Q296" s="2">
        <v>48519.02</v>
      </c>
      <c r="R296" s="2" t="s">
        <v>33</v>
      </c>
      <c r="S296" s="2" t="s">
        <v>59</v>
      </c>
      <c r="T296" s="9" t="s">
        <v>1709</v>
      </c>
      <c r="U296" s="10" t="s">
        <v>52</v>
      </c>
      <c r="V296" s="2" t="s">
        <v>53</v>
      </c>
      <c r="W296" s="2">
        <v>9</v>
      </c>
      <c r="X296" s="2" t="s">
        <v>36</v>
      </c>
      <c r="Y296" s="2">
        <v>2</v>
      </c>
      <c r="Z296" s="2" t="s">
        <v>44</v>
      </c>
    </row>
    <row r="297" spans="1:26" x14ac:dyDescent="0.35">
      <c r="A297" s="2" t="s">
        <v>625</v>
      </c>
      <c r="B297" s="3">
        <v>45899</v>
      </c>
      <c r="C297" s="2" t="s">
        <v>626</v>
      </c>
      <c r="D297" s="2" t="s">
        <v>62</v>
      </c>
      <c r="E297" s="2" t="s">
        <v>41</v>
      </c>
      <c r="F297" s="2">
        <v>40</v>
      </c>
      <c r="G297" s="2" t="s">
        <v>48</v>
      </c>
      <c r="H297" s="2" t="s">
        <v>49</v>
      </c>
      <c r="I297" s="2" t="s">
        <v>48</v>
      </c>
      <c r="J297" s="2" t="s">
        <v>138</v>
      </c>
      <c r="K297" s="2">
        <v>5</v>
      </c>
      <c r="L297" s="2">
        <v>27019</v>
      </c>
      <c r="M297" s="2">
        <v>0</v>
      </c>
      <c r="N297" s="2">
        <v>0</v>
      </c>
      <c r="O297" s="2">
        <v>24317.1</v>
      </c>
      <c r="P297" s="2">
        <v>462</v>
      </c>
      <c r="Q297" s="2">
        <v>159874.1</v>
      </c>
      <c r="R297" s="2" t="s">
        <v>43</v>
      </c>
      <c r="S297" s="2" t="s">
        <v>34</v>
      </c>
      <c r="T297" s="9" t="s">
        <v>1710</v>
      </c>
      <c r="U297" s="10" t="s">
        <v>1711</v>
      </c>
      <c r="V297" s="2" t="s">
        <v>53</v>
      </c>
      <c r="W297" s="2">
        <v>6</v>
      </c>
      <c r="X297" s="2" t="s">
        <v>44</v>
      </c>
      <c r="Y297" s="2">
        <v>4</v>
      </c>
      <c r="Z297" s="2" t="s">
        <v>44</v>
      </c>
    </row>
    <row r="298" spans="1:26" x14ac:dyDescent="0.35">
      <c r="A298" s="2" t="s">
        <v>627</v>
      </c>
      <c r="B298" s="3">
        <v>46024</v>
      </c>
      <c r="C298" s="2" t="s">
        <v>236</v>
      </c>
      <c r="D298" s="2" t="s">
        <v>62</v>
      </c>
      <c r="E298" s="2" t="s">
        <v>41</v>
      </c>
      <c r="F298" s="2">
        <v>22</v>
      </c>
      <c r="G298" s="2" t="s">
        <v>42</v>
      </c>
      <c r="H298" s="2" t="s">
        <v>31</v>
      </c>
      <c r="I298" s="2" t="s">
        <v>42</v>
      </c>
      <c r="J298" s="2" t="s">
        <v>58</v>
      </c>
      <c r="K298" s="2">
        <v>3</v>
      </c>
      <c r="L298" s="2">
        <v>20219</v>
      </c>
      <c r="M298" s="2">
        <v>15</v>
      </c>
      <c r="N298" s="2">
        <v>9098.5499999999993</v>
      </c>
      <c r="O298" s="2">
        <v>9280.52</v>
      </c>
      <c r="P298" s="2">
        <v>212</v>
      </c>
      <c r="Q298" s="2">
        <v>61050.97</v>
      </c>
      <c r="R298" s="2" t="s">
        <v>76</v>
      </c>
      <c r="S298" s="2" t="s">
        <v>59</v>
      </c>
      <c r="T298" s="9" t="s">
        <v>1708</v>
      </c>
      <c r="U298" s="10" t="s">
        <v>52</v>
      </c>
      <c r="V298" s="2" t="s">
        <v>77</v>
      </c>
      <c r="W298" s="2">
        <v>6</v>
      </c>
      <c r="X298" s="2" t="s">
        <v>36</v>
      </c>
      <c r="Y298" s="2">
        <v>4</v>
      </c>
      <c r="Z298" s="2" t="s">
        <v>82</v>
      </c>
    </row>
    <row r="299" spans="1:26" x14ac:dyDescent="0.35">
      <c r="A299" s="2" t="s">
        <v>628</v>
      </c>
      <c r="B299" s="3">
        <v>45771</v>
      </c>
      <c r="C299" s="2" t="s">
        <v>629</v>
      </c>
      <c r="D299" s="2" t="s">
        <v>96</v>
      </c>
      <c r="E299" s="2" t="s">
        <v>41</v>
      </c>
      <c r="F299" s="2">
        <v>49</v>
      </c>
      <c r="G299" s="2" t="s">
        <v>127</v>
      </c>
      <c r="H299" s="2" t="s">
        <v>31</v>
      </c>
      <c r="I299" s="2" t="s">
        <v>127</v>
      </c>
      <c r="J299" s="2" t="s">
        <v>70</v>
      </c>
      <c r="K299" s="2">
        <v>4</v>
      </c>
      <c r="L299" s="2">
        <v>17648</v>
      </c>
      <c r="M299" s="2">
        <v>20</v>
      </c>
      <c r="N299" s="2">
        <v>14118.4</v>
      </c>
      <c r="O299" s="2">
        <v>10165.25</v>
      </c>
      <c r="P299" s="2">
        <v>6</v>
      </c>
      <c r="Q299" s="2">
        <v>66644.850000000006</v>
      </c>
      <c r="R299" s="2" t="s">
        <v>51</v>
      </c>
      <c r="S299" s="2" t="s">
        <v>59</v>
      </c>
      <c r="T299" s="9" t="s">
        <v>1707</v>
      </c>
      <c r="U299" s="10" t="s">
        <v>1712</v>
      </c>
      <c r="V299" s="2" t="s">
        <v>53</v>
      </c>
      <c r="W299" s="2">
        <v>3</v>
      </c>
      <c r="X299" s="2" t="s">
        <v>44</v>
      </c>
      <c r="Y299" s="2">
        <v>3</v>
      </c>
      <c r="Z299" s="2" t="s">
        <v>82</v>
      </c>
    </row>
    <row r="300" spans="1:26" x14ac:dyDescent="0.35">
      <c r="A300" s="2" t="s">
        <v>630</v>
      </c>
      <c r="B300" s="3">
        <v>46026</v>
      </c>
      <c r="C300" s="2" t="s">
        <v>410</v>
      </c>
      <c r="D300" s="2" t="s">
        <v>73</v>
      </c>
      <c r="E300" s="2" t="s">
        <v>29</v>
      </c>
      <c r="F300" s="2">
        <v>54</v>
      </c>
      <c r="G300" s="2" t="s">
        <v>122</v>
      </c>
      <c r="H300" s="2" t="s">
        <v>31</v>
      </c>
      <c r="I300" s="2" t="s">
        <v>122</v>
      </c>
      <c r="J300" s="2" t="s">
        <v>113</v>
      </c>
      <c r="K300" s="2">
        <v>5</v>
      </c>
      <c r="L300" s="2">
        <v>2574</v>
      </c>
      <c r="M300" s="2">
        <v>10</v>
      </c>
      <c r="N300" s="2">
        <v>1287</v>
      </c>
      <c r="O300" s="2">
        <v>2084.94</v>
      </c>
      <c r="P300" s="2">
        <v>263</v>
      </c>
      <c r="Q300" s="2">
        <v>13930.94</v>
      </c>
      <c r="R300" s="2" t="s">
        <v>76</v>
      </c>
      <c r="S300" s="2" t="s">
        <v>59</v>
      </c>
      <c r="T300" s="9" t="s">
        <v>1707</v>
      </c>
      <c r="U300" s="10" t="s">
        <v>1712</v>
      </c>
      <c r="V300" s="2" t="s">
        <v>53</v>
      </c>
      <c r="W300" s="2">
        <v>9</v>
      </c>
      <c r="X300" s="2" t="s">
        <v>36</v>
      </c>
      <c r="Y300" s="2">
        <v>5</v>
      </c>
      <c r="Z300" s="2" t="s">
        <v>82</v>
      </c>
    </row>
    <row r="301" spans="1:26" x14ac:dyDescent="0.35">
      <c r="A301" s="2" t="s">
        <v>631</v>
      </c>
      <c r="B301" s="3">
        <v>45824</v>
      </c>
      <c r="C301" s="2" t="s">
        <v>632</v>
      </c>
      <c r="D301" s="2" t="s">
        <v>99</v>
      </c>
      <c r="E301" s="2" t="s">
        <v>41</v>
      </c>
      <c r="F301" s="2">
        <v>51</v>
      </c>
      <c r="G301" s="2" t="s">
        <v>88</v>
      </c>
      <c r="H301" s="2" t="s">
        <v>49</v>
      </c>
      <c r="I301" s="2" t="s">
        <v>88</v>
      </c>
      <c r="J301" s="2" t="s">
        <v>138</v>
      </c>
      <c r="K301" s="2">
        <v>1</v>
      </c>
      <c r="L301" s="2">
        <v>41491</v>
      </c>
      <c r="M301" s="2">
        <v>5</v>
      </c>
      <c r="N301" s="2">
        <v>2074.5500000000002</v>
      </c>
      <c r="O301" s="2">
        <v>7094.96</v>
      </c>
      <c r="P301" s="2">
        <v>267</v>
      </c>
      <c r="Q301" s="2">
        <v>46778.41</v>
      </c>
      <c r="R301" s="2" t="s">
        <v>76</v>
      </c>
      <c r="S301" s="2" t="s">
        <v>34</v>
      </c>
      <c r="T301" s="9" t="s">
        <v>1708</v>
      </c>
      <c r="U301" s="10" t="s">
        <v>52</v>
      </c>
      <c r="V301" s="2" t="s">
        <v>77</v>
      </c>
      <c r="W301" s="2">
        <v>9</v>
      </c>
      <c r="X301" s="2" t="s">
        <v>44</v>
      </c>
      <c r="Y301" s="2">
        <v>1</v>
      </c>
      <c r="Z301" s="2" t="s">
        <v>82</v>
      </c>
    </row>
    <row r="302" spans="1:26" x14ac:dyDescent="0.35">
      <c r="A302" s="2" t="s">
        <v>633</v>
      </c>
      <c r="B302" s="3">
        <v>46049</v>
      </c>
      <c r="C302" s="2" t="s">
        <v>634</v>
      </c>
      <c r="D302" s="2" t="s">
        <v>62</v>
      </c>
      <c r="E302" s="2" t="s">
        <v>29</v>
      </c>
      <c r="F302" s="2">
        <v>50</v>
      </c>
      <c r="G302" s="2" t="s">
        <v>42</v>
      </c>
      <c r="H302" s="2" t="s">
        <v>31</v>
      </c>
      <c r="I302" s="2" t="s">
        <v>42</v>
      </c>
      <c r="J302" s="2" t="s">
        <v>32</v>
      </c>
      <c r="K302" s="2">
        <v>1</v>
      </c>
      <c r="L302" s="2">
        <v>34811</v>
      </c>
      <c r="M302" s="2">
        <v>0</v>
      </c>
      <c r="N302" s="2">
        <v>0</v>
      </c>
      <c r="O302" s="2">
        <v>6265.98</v>
      </c>
      <c r="P302" s="2">
        <v>256</v>
      </c>
      <c r="Q302" s="2">
        <v>41332.980000000003</v>
      </c>
      <c r="R302" s="2" t="s">
        <v>43</v>
      </c>
      <c r="S302" s="2" t="s">
        <v>34</v>
      </c>
      <c r="T302" s="9" t="s">
        <v>1706</v>
      </c>
      <c r="U302" s="10" t="s">
        <v>52</v>
      </c>
      <c r="V302" s="2" t="s">
        <v>53</v>
      </c>
      <c r="W302" s="2">
        <v>2</v>
      </c>
      <c r="X302" s="2" t="s">
        <v>44</v>
      </c>
      <c r="Y302" s="2">
        <v>2</v>
      </c>
      <c r="Z302" s="2" t="s">
        <v>44</v>
      </c>
    </row>
    <row r="303" spans="1:26" x14ac:dyDescent="0.35">
      <c r="A303" s="2" t="s">
        <v>635</v>
      </c>
      <c r="B303" s="3">
        <v>46104</v>
      </c>
      <c r="C303" s="2" t="s">
        <v>636</v>
      </c>
      <c r="D303" s="2" t="s">
        <v>47</v>
      </c>
      <c r="E303" s="2" t="s">
        <v>41</v>
      </c>
      <c r="F303" s="2">
        <v>46</v>
      </c>
      <c r="G303" s="2" t="s">
        <v>30</v>
      </c>
      <c r="H303" s="2" t="s">
        <v>31</v>
      </c>
      <c r="I303" s="2" t="s">
        <v>30</v>
      </c>
      <c r="J303" s="2" t="s">
        <v>91</v>
      </c>
      <c r="K303" s="2">
        <v>2</v>
      </c>
      <c r="L303" s="2">
        <v>42244</v>
      </c>
      <c r="M303" s="2">
        <v>10</v>
      </c>
      <c r="N303" s="2">
        <v>8448.7999999999993</v>
      </c>
      <c r="O303" s="2">
        <v>13687.06</v>
      </c>
      <c r="P303" s="2">
        <v>25</v>
      </c>
      <c r="Q303" s="2">
        <v>89751.26</v>
      </c>
      <c r="R303" s="2" t="s">
        <v>51</v>
      </c>
      <c r="S303" s="2" t="s">
        <v>34</v>
      </c>
      <c r="T303" s="9" t="s">
        <v>1710</v>
      </c>
      <c r="U303" s="10" t="s">
        <v>1711</v>
      </c>
      <c r="V303" s="2" t="s">
        <v>53</v>
      </c>
      <c r="W303" s="2">
        <v>8</v>
      </c>
      <c r="X303" s="2" t="s">
        <v>44</v>
      </c>
      <c r="Y303" s="2">
        <v>1</v>
      </c>
      <c r="Z303" s="2" t="s">
        <v>44</v>
      </c>
    </row>
    <row r="304" spans="1:26" x14ac:dyDescent="0.35">
      <c r="A304" s="2" t="s">
        <v>637</v>
      </c>
      <c r="B304" s="3">
        <v>45872</v>
      </c>
      <c r="C304" s="2" t="s">
        <v>399</v>
      </c>
      <c r="D304" s="2" t="s">
        <v>96</v>
      </c>
      <c r="E304" s="2" t="s">
        <v>41</v>
      </c>
      <c r="F304" s="2">
        <v>34</v>
      </c>
      <c r="G304" s="2" t="s">
        <v>69</v>
      </c>
      <c r="H304" s="2" t="s">
        <v>31</v>
      </c>
      <c r="I304" s="2" t="s">
        <v>69</v>
      </c>
      <c r="J304" s="2" t="s">
        <v>91</v>
      </c>
      <c r="K304" s="2">
        <v>3</v>
      </c>
      <c r="L304" s="2">
        <v>27252</v>
      </c>
      <c r="M304" s="2">
        <v>20</v>
      </c>
      <c r="N304" s="2">
        <v>16351.2</v>
      </c>
      <c r="O304" s="2">
        <v>11772.86</v>
      </c>
      <c r="P304" s="2">
        <v>470</v>
      </c>
      <c r="Q304" s="2">
        <v>77647.66</v>
      </c>
      <c r="R304" s="2" t="s">
        <v>43</v>
      </c>
      <c r="S304" s="2" t="s">
        <v>34</v>
      </c>
      <c r="T304" s="9" t="s">
        <v>1703</v>
      </c>
      <c r="U304" s="10" t="s">
        <v>1701</v>
      </c>
      <c r="V304" s="2" t="s">
        <v>35</v>
      </c>
      <c r="W304" s="2">
        <v>4</v>
      </c>
      <c r="X304" s="2" t="s">
        <v>44</v>
      </c>
      <c r="Y304" s="2">
        <v>4</v>
      </c>
      <c r="Z304" s="2" t="s">
        <v>54</v>
      </c>
    </row>
    <row r="305" spans="1:26" x14ac:dyDescent="0.35">
      <c r="A305" s="2" t="s">
        <v>638</v>
      </c>
      <c r="B305" s="3">
        <v>45874</v>
      </c>
      <c r="C305" s="2" t="s">
        <v>639</v>
      </c>
      <c r="D305" s="2" t="s">
        <v>62</v>
      </c>
      <c r="E305" s="2" t="s">
        <v>41</v>
      </c>
      <c r="F305" s="2">
        <v>42</v>
      </c>
      <c r="G305" s="2" t="s">
        <v>85</v>
      </c>
      <c r="H305" s="2" t="s">
        <v>31</v>
      </c>
      <c r="I305" s="2" t="s">
        <v>85</v>
      </c>
      <c r="J305" s="2" t="s">
        <v>91</v>
      </c>
      <c r="K305" s="2">
        <v>5</v>
      </c>
      <c r="L305" s="2">
        <v>33762</v>
      </c>
      <c r="M305" s="2">
        <v>0</v>
      </c>
      <c r="N305" s="2">
        <v>0</v>
      </c>
      <c r="O305" s="2">
        <v>30385.8</v>
      </c>
      <c r="P305" s="2">
        <v>363</v>
      </c>
      <c r="Q305" s="2">
        <v>199558.8</v>
      </c>
      <c r="R305" s="2" t="s">
        <v>33</v>
      </c>
      <c r="S305" s="2" t="s">
        <v>59</v>
      </c>
      <c r="T305" s="9" t="s">
        <v>1703</v>
      </c>
      <c r="U305" s="10" t="s">
        <v>1701</v>
      </c>
      <c r="V305" s="2" t="s">
        <v>35</v>
      </c>
      <c r="W305" s="2">
        <v>9</v>
      </c>
      <c r="X305" s="2" t="s">
        <v>36</v>
      </c>
      <c r="Y305" s="2">
        <v>1</v>
      </c>
      <c r="Z305" s="2" t="s">
        <v>54</v>
      </c>
    </row>
    <row r="306" spans="1:26" x14ac:dyDescent="0.35">
      <c r="A306" s="2" t="s">
        <v>640</v>
      </c>
      <c r="B306" s="3">
        <v>45811</v>
      </c>
      <c r="C306" s="2" t="s">
        <v>641</v>
      </c>
      <c r="D306" s="2" t="s">
        <v>96</v>
      </c>
      <c r="E306" s="2" t="s">
        <v>41</v>
      </c>
      <c r="F306" s="2">
        <v>42</v>
      </c>
      <c r="G306" s="2" t="s">
        <v>81</v>
      </c>
      <c r="H306" s="2" t="s">
        <v>31</v>
      </c>
      <c r="I306" s="2" t="s">
        <v>81</v>
      </c>
      <c r="J306" s="2" t="s">
        <v>113</v>
      </c>
      <c r="K306" s="2">
        <v>2</v>
      </c>
      <c r="L306" s="2">
        <v>22031</v>
      </c>
      <c r="M306" s="2">
        <v>0</v>
      </c>
      <c r="N306" s="2">
        <v>0</v>
      </c>
      <c r="O306" s="2">
        <v>7931.16</v>
      </c>
      <c r="P306" s="2">
        <v>84</v>
      </c>
      <c r="Q306" s="2">
        <v>52077.16</v>
      </c>
      <c r="R306" s="2" t="s">
        <v>33</v>
      </c>
      <c r="S306" s="2" t="s">
        <v>34</v>
      </c>
      <c r="T306" s="9" t="s">
        <v>1708</v>
      </c>
      <c r="U306" s="10" t="s">
        <v>52</v>
      </c>
      <c r="V306" s="2" t="s">
        <v>77</v>
      </c>
      <c r="W306" s="2">
        <v>1</v>
      </c>
      <c r="X306" s="2" t="s">
        <v>36</v>
      </c>
      <c r="Y306" s="2">
        <v>4</v>
      </c>
      <c r="Z306" s="2" t="s">
        <v>44</v>
      </c>
    </row>
    <row r="307" spans="1:26" x14ac:dyDescent="0.35">
      <c r="A307" s="2" t="s">
        <v>642</v>
      </c>
      <c r="B307" s="3">
        <v>45835</v>
      </c>
      <c r="C307" s="2" t="s">
        <v>643</v>
      </c>
      <c r="D307" s="2" t="s">
        <v>47</v>
      </c>
      <c r="E307" s="2" t="s">
        <v>41</v>
      </c>
      <c r="F307" s="2">
        <v>50</v>
      </c>
      <c r="G307" s="2" t="s">
        <v>48</v>
      </c>
      <c r="H307" s="2" t="s">
        <v>49</v>
      </c>
      <c r="I307" s="2" t="s">
        <v>48</v>
      </c>
      <c r="J307" s="2" t="s">
        <v>113</v>
      </c>
      <c r="K307" s="2">
        <v>2</v>
      </c>
      <c r="L307" s="2">
        <v>19288</v>
      </c>
      <c r="M307" s="2">
        <v>5</v>
      </c>
      <c r="N307" s="2">
        <v>1928.8</v>
      </c>
      <c r="O307" s="2">
        <v>6596.5</v>
      </c>
      <c r="P307" s="2">
        <v>389</v>
      </c>
      <c r="Q307" s="2">
        <v>43632.7</v>
      </c>
      <c r="R307" s="2" t="s">
        <v>43</v>
      </c>
      <c r="S307" s="2" t="s">
        <v>59</v>
      </c>
      <c r="T307" s="9" t="s">
        <v>1709</v>
      </c>
      <c r="U307" s="10" t="s">
        <v>52</v>
      </c>
      <c r="V307" s="2" t="s">
        <v>53</v>
      </c>
      <c r="W307" s="2">
        <v>1</v>
      </c>
      <c r="X307" s="2" t="s">
        <v>36</v>
      </c>
      <c r="Y307" s="2">
        <v>2</v>
      </c>
      <c r="Z307" s="2" t="s">
        <v>54</v>
      </c>
    </row>
    <row r="308" spans="1:26" x14ac:dyDescent="0.35">
      <c r="A308" s="2" t="s">
        <v>644</v>
      </c>
      <c r="B308" s="3">
        <v>45896</v>
      </c>
      <c r="C308" s="2" t="s">
        <v>645</v>
      </c>
      <c r="D308" s="2" t="s">
        <v>96</v>
      </c>
      <c r="E308" s="2" t="s">
        <v>41</v>
      </c>
      <c r="F308" s="2">
        <v>41</v>
      </c>
      <c r="G308" s="2" t="s">
        <v>69</v>
      </c>
      <c r="H308" s="2" t="s">
        <v>31</v>
      </c>
      <c r="I308" s="2" t="s">
        <v>69</v>
      </c>
      <c r="J308" s="2" t="s">
        <v>50</v>
      </c>
      <c r="K308" s="2">
        <v>3</v>
      </c>
      <c r="L308" s="2">
        <v>4554</v>
      </c>
      <c r="M308" s="2">
        <v>0</v>
      </c>
      <c r="N308" s="2">
        <v>0</v>
      </c>
      <c r="O308" s="2">
        <v>2459.16</v>
      </c>
      <c r="P308" s="2">
        <v>402</v>
      </c>
      <c r="Q308" s="2">
        <v>16523.16</v>
      </c>
      <c r="R308" s="2" t="s">
        <v>51</v>
      </c>
      <c r="S308" s="2" t="s">
        <v>34</v>
      </c>
      <c r="T308" s="9" t="s">
        <v>1707</v>
      </c>
      <c r="U308" s="10" t="s">
        <v>1712</v>
      </c>
      <c r="V308" s="2" t="s">
        <v>53</v>
      </c>
      <c r="W308" s="2">
        <v>3</v>
      </c>
      <c r="X308" s="2" t="s">
        <v>36</v>
      </c>
      <c r="Y308" s="2">
        <v>3</v>
      </c>
      <c r="Z308" s="2" t="s">
        <v>82</v>
      </c>
    </row>
    <row r="309" spans="1:26" x14ac:dyDescent="0.35">
      <c r="A309" s="2" t="s">
        <v>646</v>
      </c>
      <c r="B309" s="3">
        <v>46084</v>
      </c>
      <c r="C309" s="2" t="s">
        <v>647</v>
      </c>
      <c r="D309" s="2" t="s">
        <v>68</v>
      </c>
      <c r="E309" s="2" t="s">
        <v>29</v>
      </c>
      <c r="F309" s="2">
        <v>40</v>
      </c>
      <c r="G309" s="2" t="s">
        <v>127</v>
      </c>
      <c r="H309" s="2" t="s">
        <v>31</v>
      </c>
      <c r="I309" s="2" t="s">
        <v>127</v>
      </c>
      <c r="J309" s="2" t="s">
        <v>190</v>
      </c>
      <c r="K309" s="2">
        <v>1</v>
      </c>
      <c r="L309" s="2">
        <v>15911</v>
      </c>
      <c r="M309" s="2">
        <v>0</v>
      </c>
      <c r="N309" s="2">
        <v>0</v>
      </c>
      <c r="O309" s="2">
        <v>2863.98</v>
      </c>
      <c r="P309" s="2">
        <v>246</v>
      </c>
      <c r="Q309" s="2">
        <v>19020.98</v>
      </c>
      <c r="R309" s="2" t="s">
        <v>76</v>
      </c>
      <c r="S309" s="2" t="s">
        <v>34</v>
      </c>
      <c r="T309" s="9" t="s">
        <v>1710</v>
      </c>
      <c r="U309" s="10" t="s">
        <v>1711</v>
      </c>
      <c r="V309" s="2" t="s">
        <v>53</v>
      </c>
      <c r="W309" s="2">
        <v>7</v>
      </c>
      <c r="X309" s="2" t="s">
        <v>44</v>
      </c>
      <c r="Y309" s="2">
        <v>3</v>
      </c>
      <c r="Z309" s="2" t="s">
        <v>37</v>
      </c>
    </row>
    <row r="310" spans="1:26" x14ac:dyDescent="0.35">
      <c r="A310" s="2" t="s">
        <v>648</v>
      </c>
      <c r="B310" s="3">
        <v>46107</v>
      </c>
      <c r="C310" s="2" t="s">
        <v>649</v>
      </c>
      <c r="D310" s="2" t="s">
        <v>40</v>
      </c>
      <c r="E310" s="2" t="s">
        <v>29</v>
      </c>
      <c r="F310" s="2">
        <v>48</v>
      </c>
      <c r="G310" s="2" t="s">
        <v>30</v>
      </c>
      <c r="H310" s="2" t="s">
        <v>31</v>
      </c>
      <c r="I310" s="2" t="s">
        <v>30</v>
      </c>
      <c r="J310" s="2" t="s">
        <v>58</v>
      </c>
      <c r="K310" s="2">
        <v>4</v>
      </c>
      <c r="L310" s="2">
        <v>43550</v>
      </c>
      <c r="M310" s="2">
        <v>10</v>
      </c>
      <c r="N310" s="2">
        <v>17420</v>
      </c>
      <c r="O310" s="2">
        <v>28220.400000000001</v>
      </c>
      <c r="P310" s="2">
        <v>291</v>
      </c>
      <c r="Q310" s="2">
        <v>185291.4</v>
      </c>
      <c r="R310" s="2" t="s">
        <v>51</v>
      </c>
      <c r="S310" s="2" t="s">
        <v>59</v>
      </c>
      <c r="T310" s="9" t="s">
        <v>1710</v>
      </c>
      <c r="U310" s="10" t="s">
        <v>1711</v>
      </c>
      <c r="V310" s="2" t="s">
        <v>53</v>
      </c>
      <c r="W310" s="2">
        <v>5</v>
      </c>
      <c r="X310" s="2" t="s">
        <v>36</v>
      </c>
      <c r="Y310" s="2">
        <v>2</v>
      </c>
      <c r="Z310" s="2" t="s">
        <v>37</v>
      </c>
    </row>
    <row r="311" spans="1:26" x14ac:dyDescent="0.35">
      <c r="A311" s="2" t="s">
        <v>650</v>
      </c>
      <c r="B311" s="3">
        <v>45954</v>
      </c>
      <c r="C311" s="2" t="s">
        <v>220</v>
      </c>
      <c r="D311" s="2" t="s">
        <v>57</v>
      </c>
      <c r="E311" s="2" t="s">
        <v>41</v>
      </c>
      <c r="F311" s="2">
        <v>60</v>
      </c>
      <c r="G311" s="2" t="s">
        <v>122</v>
      </c>
      <c r="H311" s="2" t="s">
        <v>31</v>
      </c>
      <c r="I311" s="2" t="s">
        <v>122</v>
      </c>
      <c r="J311" s="2" t="s">
        <v>70</v>
      </c>
      <c r="K311" s="2">
        <v>3</v>
      </c>
      <c r="L311" s="2">
        <v>22416</v>
      </c>
      <c r="M311" s="2">
        <v>0</v>
      </c>
      <c r="N311" s="2">
        <v>0</v>
      </c>
      <c r="O311" s="2">
        <v>12104.64</v>
      </c>
      <c r="P311" s="2">
        <v>410</v>
      </c>
      <c r="Q311" s="2">
        <v>79762.64</v>
      </c>
      <c r="R311" s="2" t="s">
        <v>51</v>
      </c>
      <c r="S311" s="2" t="s">
        <v>34</v>
      </c>
      <c r="T311" s="9" t="s">
        <v>1705</v>
      </c>
      <c r="U311" s="10" t="s">
        <v>1702</v>
      </c>
      <c r="V311" s="2" t="s">
        <v>53</v>
      </c>
      <c r="W311" s="2">
        <v>9</v>
      </c>
      <c r="X311" s="2" t="s">
        <v>44</v>
      </c>
      <c r="Y311" s="2">
        <v>3</v>
      </c>
      <c r="Z311" s="2" t="s">
        <v>44</v>
      </c>
    </row>
    <row r="312" spans="1:26" x14ac:dyDescent="0.35">
      <c r="A312" s="2" t="s">
        <v>651</v>
      </c>
      <c r="B312" s="3">
        <v>45781</v>
      </c>
      <c r="C312" s="2" t="s">
        <v>366</v>
      </c>
      <c r="D312" s="2" t="s">
        <v>28</v>
      </c>
      <c r="E312" s="2" t="s">
        <v>29</v>
      </c>
      <c r="F312" s="2">
        <v>23</v>
      </c>
      <c r="G312" s="2" t="s">
        <v>48</v>
      </c>
      <c r="H312" s="2" t="s">
        <v>49</v>
      </c>
      <c r="I312" s="2" t="s">
        <v>48</v>
      </c>
      <c r="J312" s="2" t="s">
        <v>190</v>
      </c>
      <c r="K312" s="2">
        <v>4</v>
      </c>
      <c r="L312" s="2">
        <v>29172</v>
      </c>
      <c r="M312" s="2">
        <v>15</v>
      </c>
      <c r="N312" s="2">
        <v>17503.2</v>
      </c>
      <c r="O312" s="2">
        <v>17853.259999999998</v>
      </c>
      <c r="P312" s="2">
        <v>97</v>
      </c>
      <c r="Q312" s="2">
        <v>117135.06</v>
      </c>
      <c r="R312" s="2" t="s">
        <v>51</v>
      </c>
      <c r="S312" s="2" t="s">
        <v>59</v>
      </c>
      <c r="T312" s="9" t="s">
        <v>1704</v>
      </c>
      <c r="U312" s="10" t="s">
        <v>52</v>
      </c>
      <c r="V312" s="2" t="s">
        <v>35</v>
      </c>
      <c r="W312" s="2">
        <v>4</v>
      </c>
      <c r="X312" s="2" t="s">
        <v>44</v>
      </c>
      <c r="Y312" s="2">
        <v>2</v>
      </c>
      <c r="Z312" s="2" t="s">
        <v>82</v>
      </c>
    </row>
    <row r="313" spans="1:26" x14ac:dyDescent="0.35">
      <c r="A313" s="2" t="s">
        <v>652</v>
      </c>
      <c r="B313" s="3">
        <v>45863</v>
      </c>
      <c r="C313" s="2" t="s">
        <v>614</v>
      </c>
      <c r="D313" s="2" t="s">
        <v>73</v>
      </c>
      <c r="E313" s="2" t="s">
        <v>29</v>
      </c>
      <c r="F313" s="2">
        <v>35</v>
      </c>
      <c r="G313" s="2" t="s">
        <v>122</v>
      </c>
      <c r="H313" s="2" t="s">
        <v>31</v>
      </c>
      <c r="I313" s="2" t="s">
        <v>122</v>
      </c>
      <c r="J313" s="2" t="s">
        <v>32</v>
      </c>
      <c r="K313" s="2">
        <v>5</v>
      </c>
      <c r="L313" s="2">
        <v>44748</v>
      </c>
      <c r="M313" s="2">
        <v>15</v>
      </c>
      <c r="N313" s="2">
        <v>33561</v>
      </c>
      <c r="O313" s="2">
        <v>34232.22</v>
      </c>
      <c r="P313" s="2">
        <v>34</v>
      </c>
      <c r="Q313" s="2">
        <v>224445.22</v>
      </c>
      <c r="R313" s="2" t="s">
        <v>43</v>
      </c>
      <c r="S313" s="2" t="s">
        <v>59</v>
      </c>
      <c r="T313" s="9" t="s">
        <v>1703</v>
      </c>
      <c r="U313" s="10" t="s">
        <v>1701</v>
      </c>
      <c r="V313" s="2" t="s">
        <v>35</v>
      </c>
      <c r="W313" s="2">
        <v>1</v>
      </c>
      <c r="X313" s="2" t="s">
        <v>36</v>
      </c>
      <c r="Y313" s="2">
        <v>2</v>
      </c>
      <c r="Z313" s="2" t="s">
        <v>82</v>
      </c>
    </row>
    <row r="314" spans="1:26" x14ac:dyDescent="0.35">
      <c r="A314" s="2" t="s">
        <v>653</v>
      </c>
      <c r="B314" s="3">
        <v>45963</v>
      </c>
      <c r="C314" s="2" t="s">
        <v>654</v>
      </c>
      <c r="D314" s="2" t="s">
        <v>96</v>
      </c>
      <c r="E314" s="2" t="s">
        <v>41</v>
      </c>
      <c r="F314" s="2">
        <v>42</v>
      </c>
      <c r="G314" s="2" t="s">
        <v>88</v>
      </c>
      <c r="H314" s="2" t="s">
        <v>49</v>
      </c>
      <c r="I314" s="2" t="s">
        <v>88</v>
      </c>
      <c r="J314" s="2" t="s">
        <v>58</v>
      </c>
      <c r="K314" s="2">
        <v>5</v>
      </c>
      <c r="L314" s="2">
        <v>23381</v>
      </c>
      <c r="M314" s="2">
        <v>5</v>
      </c>
      <c r="N314" s="2">
        <v>5845.25</v>
      </c>
      <c r="O314" s="2">
        <v>19990.759999999998</v>
      </c>
      <c r="P314" s="2">
        <v>214</v>
      </c>
      <c r="Q314" s="2">
        <v>131264.51</v>
      </c>
      <c r="R314" s="2" t="s">
        <v>51</v>
      </c>
      <c r="S314" s="2" t="s">
        <v>34</v>
      </c>
      <c r="T314" s="9" t="s">
        <v>1707</v>
      </c>
      <c r="U314" s="10" t="s">
        <v>1712</v>
      </c>
      <c r="V314" s="2" t="s">
        <v>53</v>
      </c>
      <c r="W314" s="2">
        <v>3</v>
      </c>
      <c r="X314" s="2" t="s">
        <v>44</v>
      </c>
      <c r="Y314" s="2">
        <v>4</v>
      </c>
      <c r="Z314" s="2" t="s">
        <v>54</v>
      </c>
    </row>
    <row r="315" spans="1:26" x14ac:dyDescent="0.35">
      <c r="A315" s="2" t="s">
        <v>655</v>
      </c>
      <c r="B315" s="3">
        <v>45868</v>
      </c>
      <c r="C315" s="2" t="s">
        <v>656</v>
      </c>
      <c r="D315" s="2" t="s">
        <v>73</v>
      </c>
      <c r="E315" s="2" t="s">
        <v>29</v>
      </c>
      <c r="F315" s="2">
        <v>44</v>
      </c>
      <c r="G315" s="2" t="s">
        <v>48</v>
      </c>
      <c r="H315" s="2" t="s">
        <v>49</v>
      </c>
      <c r="I315" s="2" t="s">
        <v>48</v>
      </c>
      <c r="J315" s="2" t="s">
        <v>91</v>
      </c>
      <c r="K315" s="2">
        <v>3</v>
      </c>
      <c r="L315" s="2">
        <v>21630</v>
      </c>
      <c r="M315" s="2">
        <v>15</v>
      </c>
      <c r="N315" s="2">
        <v>9733.5</v>
      </c>
      <c r="O315" s="2">
        <v>9928.17</v>
      </c>
      <c r="P315" s="2">
        <v>379</v>
      </c>
      <c r="Q315" s="2">
        <v>65463.67</v>
      </c>
      <c r="R315" s="2" t="s">
        <v>51</v>
      </c>
      <c r="S315" s="2" t="s">
        <v>59</v>
      </c>
      <c r="T315" s="9" t="s">
        <v>1704</v>
      </c>
      <c r="U315" s="10" t="s">
        <v>52</v>
      </c>
      <c r="V315" s="2" t="s">
        <v>35</v>
      </c>
      <c r="W315" s="2">
        <v>3</v>
      </c>
      <c r="X315" s="2" t="s">
        <v>44</v>
      </c>
      <c r="Y315" s="2">
        <v>2</v>
      </c>
      <c r="Z315" s="2" t="s">
        <v>82</v>
      </c>
    </row>
    <row r="316" spans="1:26" x14ac:dyDescent="0.35">
      <c r="A316" s="2" t="s">
        <v>657</v>
      </c>
      <c r="B316" s="3">
        <v>45930</v>
      </c>
      <c r="C316" s="2" t="s">
        <v>658</v>
      </c>
      <c r="D316" s="2" t="s">
        <v>47</v>
      </c>
      <c r="E316" s="2" t="s">
        <v>41</v>
      </c>
      <c r="F316" s="2">
        <v>40</v>
      </c>
      <c r="G316" s="2" t="s">
        <v>81</v>
      </c>
      <c r="H316" s="2" t="s">
        <v>31</v>
      </c>
      <c r="I316" s="2" t="s">
        <v>81</v>
      </c>
      <c r="J316" s="2" t="s">
        <v>190</v>
      </c>
      <c r="K316" s="2">
        <v>2</v>
      </c>
      <c r="L316" s="2">
        <v>41791</v>
      </c>
      <c r="M316" s="2">
        <v>20</v>
      </c>
      <c r="N316" s="2">
        <v>16716.400000000001</v>
      </c>
      <c r="O316" s="2">
        <v>12035.81</v>
      </c>
      <c r="P316" s="2">
        <v>371</v>
      </c>
      <c r="Q316" s="2">
        <v>79272.41</v>
      </c>
      <c r="R316" s="2" t="s">
        <v>43</v>
      </c>
      <c r="S316" s="2" t="s">
        <v>34</v>
      </c>
      <c r="T316" s="9" t="s">
        <v>1705</v>
      </c>
      <c r="U316" s="10" t="s">
        <v>1702</v>
      </c>
      <c r="V316" s="2" t="s">
        <v>53</v>
      </c>
      <c r="W316" s="2">
        <v>7</v>
      </c>
      <c r="X316" s="2" t="s">
        <v>44</v>
      </c>
      <c r="Y316" s="2">
        <v>2</v>
      </c>
      <c r="Z316" s="2" t="s">
        <v>44</v>
      </c>
    </row>
    <row r="317" spans="1:26" x14ac:dyDescent="0.35">
      <c r="A317" s="2" t="s">
        <v>659</v>
      </c>
      <c r="B317" s="3">
        <v>45794</v>
      </c>
      <c r="C317" s="2" t="s">
        <v>660</v>
      </c>
      <c r="D317" s="2" t="s">
        <v>96</v>
      </c>
      <c r="E317" s="2" t="s">
        <v>41</v>
      </c>
      <c r="F317" s="2">
        <v>40</v>
      </c>
      <c r="G317" s="2" t="s">
        <v>81</v>
      </c>
      <c r="H317" s="2" t="s">
        <v>31</v>
      </c>
      <c r="I317" s="2" t="s">
        <v>81</v>
      </c>
      <c r="J317" s="2" t="s">
        <v>138</v>
      </c>
      <c r="K317" s="2">
        <v>2</v>
      </c>
      <c r="L317" s="2">
        <v>5799</v>
      </c>
      <c r="M317" s="2">
        <v>5</v>
      </c>
      <c r="N317" s="2">
        <v>579.9</v>
      </c>
      <c r="O317" s="2">
        <v>1983.26</v>
      </c>
      <c r="P317" s="2">
        <v>221</v>
      </c>
      <c r="Q317" s="2">
        <v>13222.36</v>
      </c>
      <c r="R317" s="2" t="s">
        <v>51</v>
      </c>
      <c r="S317" s="2" t="s">
        <v>34</v>
      </c>
      <c r="T317" s="9" t="s">
        <v>1705</v>
      </c>
      <c r="U317" s="10" t="s">
        <v>1702</v>
      </c>
      <c r="V317" s="2" t="s">
        <v>53</v>
      </c>
      <c r="W317" s="2">
        <v>5</v>
      </c>
      <c r="X317" s="2" t="s">
        <v>36</v>
      </c>
      <c r="Y317" s="2">
        <v>1</v>
      </c>
      <c r="Z317" s="2" t="s">
        <v>44</v>
      </c>
    </row>
    <row r="318" spans="1:26" x14ac:dyDescent="0.35">
      <c r="A318" s="2" t="s">
        <v>661</v>
      </c>
      <c r="B318" s="3">
        <v>45900</v>
      </c>
      <c r="C318" s="2" t="s">
        <v>466</v>
      </c>
      <c r="D318" s="2" t="s">
        <v>57</v>
      </c>
      <c r="E318" s="2" t="s">
        <v>29</v>
      </c>
      <c r="F318" s="2">
        <v>26</v>
      </c>
      <c r="G318" s="2" t="s">
        <v>48</v>
      </c>
      <c r="H318" s="2" t="s">
        <v>49</v>
      </c>
      <c r="I318" s="2" t="s">
        <v>48</v>
      </c>
      <c r="J318" s="2" t="s">
        <v>138</v>
      </c>
      <c r="K318" s="2">
        <v>2</v>
      </c>
      <c r="L318" s="2">
        <v>23634</v>
      </c>
      <c r="M318" s="2">
        <v>5</v>
      </c>
      <c r="N318" s="2">
        <v>2363.4</v>
      </c>
      <c r="O318" s="2">
        <v>8082.83</v>
      </c>
      <c r="P318" s="2">
        <v>450</v>
      </c>
      <c r="Q318" s="2">
        <v>53437.43</v>
      </c>
      <c r="R318" s="2" t="s">
        <v>51</v>
      </c>
      <c r="S318" s="2" t="s">
        <v>59</v>
      </c>
      <c r="T318" s="9" t="s">
        <v>1708</v>
      </c>
      <c r="U318" s="10" t="s">
        <v>52</v>
      </c>
      <c r="V318" s="2" t="s">
        <v>77</v>
      </c>
      <c r="W318" s="2">
        <v>9</v>
      </c>
      <c r="X318" s="2" t="s">
        <v>44</v>
      </c>
      <c r="Y318" s="2">
        <v>2</v>
      </c>
      <c r="Z318" s="2" t="s">
        <v>44</v>
      </c>
    </row>
    <row r="319" spans="1:26" x14ac:dyDescent="0.35">
      <c r="A319" s="2" t="s">
        <v>662</v>
      </c>
      <c r="B319" s="3">
        <v>45963</v>
      </c>
      <c r="C319" s="2" t="s">
        <v>663</v>
      </c>
      <c r="D319" s="2" t="s">
        <v>73</v>
      </c>
      <c r="E319" s="2" t="s">
        <v>41</v>
      </c>
      <c r="F319" s="2">
        <v>51</v>
      </c>
      <c r="G319" s="2" t="s">
        <v>127</v>
      </c>
      <c r="H319" s="2" t="s">
        <v>31</v>
      </c>
      <c r="I319" s="2" t="s">
        <v>127</v>
      </c>
      <c r="J319" s="2" t="s">
        <v>91</v>
      </c>
      <c r="K319" s="2">
        <v>3</v>
      </c>
      <c r="L319" s="2">
        <v>21565</v>
      </c>
      <c r="M319" s="2">
        <v>15</v>
      </c>
      <c r="N319" s="2">
        <v>9704.25</v>
      </c>
      <c r="O319" s="2">
        <v>9898.33</v>
      </c>
      <c r="P319" s="2">
        <v>46</v>
      </c>
      <c r="Q319" s="2">
        <v>64935.08</v>
      </c>
      <c r="R319" s="2" t="s">
        <v>76</v>
      </c>
      <c r="S319" s="2" t="s">
        <v>34</v>
      </c>
      <c r="T319" s="9" t="s">
        <v>1708</v>
      </c>
      <c r="U319" s="10" t="s">
        <v>52</v>
      </c>
      <c r="V319" s="2" t="s">
        <v>77</v>
      </c>
      <c r="W319" s="2">
        <v>10</v>
      </c>
      <c r="X319" s="2" t="s">
        <v>36</v>
      </c>
      <c r="Y319" s="2">
        <v>2</v>
      </c>
      <c r="Z319" s="2" t="s">
        <v>37</v>
      </c>
    </row>
    <row r="320" spans="1:26" x14ac:dyDescent="0.35">
      <c r="A320" s="2" t="s">
        <v>664</v>
      </c>
      <c r="B320" s="3">
        <v>45870</v>
      </c>
      <c r="C320" s="2" t="s">
        <v>665</v>
      </c>
      <c r="D320" s="2" t="s">
        <v>96</v>
      </c>
      <c r="E320" s="2" t="s">
        <v>29</v>
      </c>
      <c r="F320" s="2">
        <v>49</v>
      </c>
      <c r="G320" s="2" t="s">
        <v>30</v>
      </c>
      <c r="H320" s="2" t="s">
        <v>31</v>
      </c>
      <c r="I320" s="2" t="s">
        <v>30</v>
      </c>
      <c r="J320" s="2" t="s">
        <v>32</v>
      </c>
      <c r="K320" s="2">
        <v>5</v>
      </c>
      <c r="L320" s="2">
        <v>41024</v>
      </c>
      <c r="M320" s="2">
        <v>20</v>
      </c>
      <c r="N320" s="2">
        <v>41024</v>
      </c>
      <c r="O320" s="2">
        <v>29537.279999999999</v>
      </c>
      <c r="P320" s="2">
        <v>262</v>
      </c>
      <c r="Q320" s="2">
        <v>193895.28</v>
      </c>
      <c r="R320" s="2" t="s">
        <v>33</v>
      </c>
      <c r="S320" s="2" t="s">
        <v>59</v>
      </c>
      <c r="T320" s="9" t="s">
        <v>1708</v>
      </c>
      <c r="U320" s="10" t="s">
        <v>52</v>
      </c>
      <c r="V320" s="2" t="s">
        <v>77</v>
      </c>
      <c r="W320" s="2">
        <v>5</v>
      </c>
      <c r="X320" s="2" t="s">
        <v>44</v>
      </c>
      <c r="Y320" s="2">
        <v>4</v>
      </c>
      <c r="Z320" s="2" t="s">
        <v>82</v>
      </c>
    </row>
    <row r="321" spans="1:26" x14ac:dyDescent="0.35">
      <c r="A321" s="2" t="s">
        <v>666</v>
      </c>
      <c r="B321" s="3">
        <v>45881</v>
      </c>
      <c r="C321" s="2" t="s">
        <v>667</v>
      </c>
      <c r="D321" s="2" t="s">
        <v>47</v>
      </c>
      <c r="E321" s="2" t="s">
        <v>41</v>
      </c>
      <c r="F321" s="2">
        <v>37</v>
      </c>
      <c r="G321" s="2" t="s">
        <v>122</v>
      </c>
      <c r="H321" s="2" t="s">
        <v>31</v>
      </c>
      <c r="I321" s="2" t="s">
        <v>122</v>
      </c>
      <c r="J321" s="2" t="s">
        <v>32</v>
      </c>
      <c r="K321" s="2">
        <v>2</v>
      </c>
      <c r="L321" s="2">
        <v>49704</v>
      </c>
      <c r="M321" s="2">
        <v>20</v>
      </c>
      <c r="N321" s="2">
        <v>19881.599999999999</v>
      </c>
      <c r="O321" s="2">
        <v>14314.75</v>
      </c>
      <c r="P321" s="2">
        <v>174</v>
      </c>
      <c r="Q321" s="2">
        <v>94015.15</v>
      </c>
      <c r="R321" s="2" t="s">
        <v>43</v>
      </c>
      <c r="S321" s="2" t="s">
        <v>34</v>
      </c>
      <c r="T321" s="9" t="s">
        <v>1708</v>
      </c>
      <c r="U321" s="10" t="s">
        <v>52</v>
      </c>
      <c r="V321" s="2" t="s">
        <v>77</v>
      </c>
      <c r="W321" s="2">
        <v>8</v>
      </c>
      <c r="X321" s="2" t="s">
        <v>44</v>
      </c>
      <c r="Y321" s="2">
        <v>3</v>
      </c>
      <c r="Z321" s="2" t="s">
        <v>82</v>
      </c>
    </row>
    <row r="322" spans="1:26" x14ac:dyDescent="0.35">
      <c r="A322" s="2" t="s">
        <v>668</v>
      </c>
      <c r="B322" s="3">
        <v>45892</v>
      </c>
      <c r="C322" s="2" t="s">
        <v>669</v>
      </c>
      <c r="D322" s="2" t="s">
        <v>96</v>
      </c>
      <c r="E322" s="2" t="s">
        <v>29</v>
      </c>
      <c r="F322" s="2">
        <v>38</v>
      </c>
      <c r="G322" s="2" t="s">
        <v>69</v>
      </c>
      <c r="H322" s="2" t="s">
        <v>31</v>
      </c>
      <c r="I322" s="2" t="s">
        <v>69</v>
      </c>
      <c r="J322" s="2" t="s">
        <v>113</v>
      </c>
      <c r="K322" s="2">
        <v>1</v>
      </c>
      <c r="L322" s="2">
        <v>7179</v>
      </c>
      <c r="M322" s="2">
        <v>15</v>
      </c>
      <c r="N322" s="2">
        <v>1076.8499999999999</v>
      </c>
      <c r="O322" s="2">
        <v>1098.3900000000001</v>
      </c>
      <c r="P322" s="2">
        <v>459</v>
      </c>
      <c r="Q322" s="2">
        <v>7659.54</v>
      </c>
      <c r="R322" s="2" t="s">
        <v>33</v>
      </c>
      <c r="S322" s="2" t="s">
        <v>34</v>
      </c>
      <c r="T322" s="9" t="s">
        <v>1703</v>
      </c>
      <c r="U322" s="10" t="s">
        <v>1701</v>
      </c>
      <c r="V322" s="2" t="s">
        <v>35</v>
      </c>
      <c r="W322" s="2">
        <v>7</v>
      </c>
      <c r="X322" s="2" t="s">
        <v>36</v>
      </c>
      <c r="Y322" s="2">
        <v>5</v>
      </c>
      <c r="Z322" s="2" t="s">
        <v>82</v>
      </c>
    </row>
    <row r="323" spans="1:26" x14ac:dyDescent="0.35">
      <c r="A323" s="2" t="s">
        <v>670</v>
      </c>
      <c r="B323" s="3">
        <v>45796</v>
      </c>
      <c r="C323" s="2" t="s">
        <v>671</v>
      </c>
      <c r="D323" s="2" t="s">
        <v>57</v>
      </c>
      <c r="E323" s="2" t="s">
        <v>41</v>
      </c>
      <c r="F323" s="2">
        <v>55</v>
      </c>
      <c r="G323" s="2" t="s">
        <v>81</v>
      </c>
      <c r="H323" s="2" t="s">
        <v>31</v>
      </c>
      <c r="I323" s="2" t="s">
        <v>81</v>
      </c>
      <c r="J323" s="2" t="s">
        <v>50</v>
      </c>
      <c r="K323" s="2">
        <v>1</v>
      </c>
      <c r="L323" s="2">
        <v>48043</v>
      </c>
      <c r="M323" s="2">
        <v>5</v>
      </c>
      <c r="N323" s="2">
        <v>2402.15</v>
      </c>
      <c r="O323" s="2">
        <v>8215.35</v>
      </c>
      <c r="P323" s="2">
        <v>151</v>
      </c>
      <c r="Q323" s="2">
        <v>54007.199999999997</v>
      </c>
      <c r="R323" s="2" t="s">
        <v>51</v>
      </c>
      <c r="S323" s="2" t="s">
        <v>59</v>
      </c>
      <c r="T323" s="9" t="s">
        <v>1709</v>
      </c>
      <c r="U323" s="10" t="s">
        <v>52</v>
      </c>
      <c r="V323" s="2" t="s">
        <v>53</v>
      </c>
      <c r="W323" s="2">
        <v>3</v>
      </c>
      <c r="X323" s="2" t="s">
        <v>36</v>
      </c>
      <c r="Y323" s="2">
        <v>3</v>
      </c>
      <c r="Z323" s="2" t="s">
        <v>82</v>
      </c>
    </row>
    <row r="324" spans="1:26" x14ac:dyDescent="0.35">
      <c r="A324" s="2" t="s">
        <v>672</v>
      </c>
      <c r="B324" s="3">
        <v>45922</v>
      </c>
      <c r="C324" s="2" t="s">
        <v>673</v>
      </c>
      <c r="D324" s="2" t="s">
        <v>47</v>
      </c>
      <c r="E324" s="2" t="s">
        <v>41</v>
      </c>
      <c r="F324" s="2">
        <v>49</v>
      </c>
      <c r="G324" s="2" t="s">
        <v>48</v>
      </c>
      <c r="H324" s="2" t="s">
        <v>49</v>
      </c>
      <c r="I324" s="2" t="s">
        <v>48</v>
      </c>
      <c r="J324" s="2" t="s">
        <v>138</v>
      </c>
      <c r="K324" s="2">
        <v>5</v>
      </c>
      <c r="L324" s="2">
        <v>49415</v>
      </c>
      <c r="M324" s="2">
        <v>0</v>
      </c>
      <c r="N324" s="2">
        <v>0</v>
      </c>
      <c r="O324" s="2">
        <v>44473.5</v>
      </c>
      <c r="P324" s="2">
        <v>97</v>
      </c>
      <c r="Q324" s="2">
        <v>291645.5</v>
      </c>
      <c r="R324" s="2" t="s">
        <v>76</v>
      </c>
      <c r="S324" s="2" t="s">
        <v>34</v>
      </c>
      <c r="T324" s="9" t="s">
        <v>1706</v>
      </c>
      <c r="U324" s="10" t="s">
        <v>52</v>
      </c>
      <c r="V324" s="2" t="s">
        <v>53</v>
      </c>
      <c r="W324" s="2">
        <v>3</v>
      </c>
      <c r="X324" s="2" t="s">
        <v>44</v>
      </c>
      <c r="Y324" s="2">
        <v>2</v>
      </c>
      <c r="Z324" s="2" t="s">
        <v>54</v>
      </c>
    </row>
    <row r="325" spans="1:26" x14ac:dyDescent="0.35">
      <c r="A325" s="2" t="s">
        <v>674</v>
      </c>
      <c r="B325" s="3">
        <v>46018</v>
      </c>
      <c r="C325" s="2" t="s">
        <v>675</v>
      </c>
      <c r="D325" s="2" t="s">
        <v>62</v>
      </c>
      <c r="E325" s="2" t="s">
        <v>41</v>
      </c>
      <c r="F325" s="2">
        <v>34</v>
      </c>
      <c r="G325" s="2" t="s">
        <v>85</v>
      </c>
      <c r="H325" s="2" t="s">
        <v>31</v>
      </c>
      <c r="I325" s="2" t="s">
        <v>85</v>
      </c>
      <c r="J325" s="2" t="s">
        <v>190</v>
      </c>
      <c r="K325" s="2">
        <v>3</v>
      </c>
      <c r="L325" s="2">
        <v>19786</v>
      </c>
      <c r="M325" s="2">
        <v>10</v>
      </c>
      <c r="N325" s="2">
        <v>5935.8</v>
      </c>
      <c r="O325" s="2">
        <v>9616</v>
      </c>
      <c r="P325" s="2">
        <v>78</v>
      </c>
      <c r="Q325" s="2">
        <v>63116.2</v>
      </c>
      <c r="R325" s="2" t="s">
        <v>33</v>
      </c>
      <c r="S325" s="2" t="s">
        <v>34</v>
      </c>
      <c r="T325" s="9" t="s">
        <v>1703</v>
      </c>
      <c r="U325" s="10" t="s">
        <v>1701</v>
      </c>
      <c r="V325" s="2" t="s">
        <v>35</v>
      </c>
      <c r="W325" s="2">
        <v>1</v>
      </c>
      <c r="X325" s="2" t="s">
        <v>36</v>
      </c>
      <c r="Y325" s="2">
        <v>4</v>
      </c>
      <c r="Z325" s="2" t="s">
        <v>37</v>
      </c>
    </row>
    <row r="326" spans="1:26" x14ac:dyDescent="0.35">
      <c r="A326" s="2" t="s">
        <v>676</v>
      </c>
      <c r="B326" s="3">
        <v>45970</v>
      </c>
      <c r="C326" s="2" t="s">
        <v>319</v>
      </c>
      <c r="D326" s="2" t="s">
        <v>80</v>
      </c>
      <c r="E326" s="2" t="s">
        <v>29</v>
      </c>
      <c r="F326" s="2">
        <v>26</v>
      </c>
      <c r="G326" s="2" t="s">
        <v>42</v>
      </c>
      <c r="H326" s="2" t="s">
        <v>31</v>
      </c>
      <c r="I326" s="2" t="s">
        <v>42</v>
      </c>
      <c r="J326" s="2" t="s">
        <v>50</v>
      </c>
      <c r="K326" s="2">
        <v>5</v>
      </c>
      <c r="L326" s="2">
        <v>30964</v>
      </c>
      <c r="M326" s="2">
        <v>20</v>
      </c>
      <c r="N326" s="2">
        <v>30964</v>
      </c>
      <c r="O326" s="2">
        <v>22294.080000000002</v>
      </c>
      <c r="P326" s="2">
        <v>420</v>
      </c>
      <c r="Q326" s="2">
        <v>146570.07999999999</v>
      </c>
      <c r="R326" s="2" t="s">
        <v>33</v>
      </c>
      <c r="S326" s="2" t="s">
        <v>34</v>
      </c>
      <c r="T326" s="9" t="s">
        <v>1705</v>
      </c>
      <c r="U326" s="10" t="s">
        <v>1702</v>
      </c>
      <c r="V326" s="2" t="s">
        <v>53</v>
      </c>
      <c r="W326" s="2">
        <v>7</v>
      </c>
      <c r="X326" s="2" t="s">
        <v>36</v>
      </c>
      <c r="Y326" s="2">
        <v>4</v>
      </c>
      <c r="Z326" s="2" t="s">
        <v>44</v>
      </c>
    </row>
    <row r="327" spans="1:26" x14ac:dyDescent="0.35">
      <c r="A327" s="2" t="s">
        <v>677</v>
      </c>
      <c r="B327" s="3">
        <v>46103</v>
      </c>
      <c r="C327" s="2" t="s">
        <v>170</v>
      </c>
      <c r="D327" s="2" t="s">
        <v>80</v>
      </c>
      <c r="E327" s="2" t="s">
        <v>29</v>
      </c>
      <c r="F327" s="2">
        <v>58</v>
      </c>
      <c r="G327" s="2" t="s">
        <v>30</v>
      </c>
      <c r="H327" s="2" t="s">
        <v>31</v>
      </c>
      <c r="I327" s="2" t="s">
        <v>30</v>
      </c>
      <c r="J327" s="2" t="s">
        <v>100</v>
      </c>
      <c r="K327" s="2">
        <v>4</v>
      </c>
      <c r="L327" s="2">
        <v>49969</v>
      </c>
      <c r="M327" s="2">
        <v>5</v>
      </c>
      <c r="N327" s="2">
        <v>9993.7999999999993</v>
      </c>
      <c r="O327" s="2">
        <v>34178.800000000003</v>
      </c>
      <c r="P327" s="2">
        <v>218</v>
      </c>
      <c r="Q327" s="2">
        <v>224279</v>
      </c>
      <c r="R327" s="2" t="s">
        <v>76</v>
      </c>
      <c r="S327" s="2" t="s">
        <v>34</v>
      </c>
      <c r="T327" s="9" t="s">
        <v>1704</v>
      </c>
      <c r="U327" s="10" t="s">
        <v>52</v>
      </c>
      <c r="V327" s="2" t="s">
        <v>35</v>
      </c>
      <c r="W327" s="2">
        <v>9</v>
      </c>
      <c r="X327" s="2" t="s">
        <v>44</v>
      </c>
      <c r="Y327" s="2">
        <v>1</v>
      </c>
      <c r="Z327" s="2" t="s">
        <v>37</v>
      </c>
    </row>
    <row r="328" spans="1:26" x14ac:dyDescent="0.35">
      <c r="A328" s="2" t="s">
        <v>678</v>
      </c>
      <c r="B328" s="3">
        <v>46101</v>
      </c>
      <c r="C328" s="2" t="s">
        <v>679</v>
      </c>
      <c r="D328" s="2" t="s">
        <v>40</v>
      </c>
      <c r="E328" s="2" t="s">
        <v>41</v>
      </c>
      <c r="F328" s="2">
        <v>33</v>
      </c>
      <c r="G328" s="2" t="s">
        <v>88</v>
      </c>
      <c r="H328" s="2" t="s">
        <v>49</v>
      </c>
      <c r="I328" s="2" t="s">
        <v>88</v>
      </c>
      <c r="J328" s="2" t="s">
        <v>32</v>
      </c>
      <c r="K328" s="2">
        <v>2</v>
      </c>
      <c r="L328" s="2">
        <v>42028</v>
      </c>
      <c r="M328" s="2">
        <v>15</v>
      </c>
      <c r="N328" s="2">
        <v>12608.4</v>
      </c>
      <c r="O328" s="2">
        <v>12860.57</v>
      </c>
      <c r="P328" s="2">
        <v>190</v>
      </c>
      <c r="Q328" s="2">
        <v>84498.17</v>
      </c>
      <c r="R328" s="2" t="s">
        <v>51</v>
      </c>
      <c r="S328" s="2" t="s">
        <v>34</v>
      </c>
      <c r="T328" s="9" t="s">
        <v>1705</v>
      </c>
      <c r="U328" s="10" t="s">
        <v>1702</v>
      </c>
      <c r="V328" s="2" t="s">
        <v>53</v>
      </c>
      <c r="W328" s="2">
        <v>7</v>
      </c>
      <c r="X328" s="2" t="s">
        <v>44</v>
      </c>
      <c r="Y328" s="2">
        <v>2</v>
      </c>
      <c r="Z328" s="2" t="s">
        <v>54</v>
      </c>
    </row>
    <row r="329" spans="1:26" x14ac:dyDescent="0.35">
      <c r="A329" s="2" t="s">
        <v>680</v>
      </c>
      <c r="B329" s="3">
        <v>45869</v>
      </c>
      <c r="C329" s="2" t="s">
        <v>616</v>
      </c>
      <c r="D329" s="2" t="s">
        <v>28</v>
      </c>
      <c r="E329" s="2" t="s">
        <v>29</v>
      </c>
      <c r="F329" s="2">
        <v>59</v>
      </c>
      <c r="G329" s="2" t="s">
        <v>30</v>
      </c>
      <c r="H329" s="2" t="s">
        <v>31</v>
      </c>
      <c r="I329" s="2" t="s">
        <v>30</v>
      </c>
      <c r="J329" s="2" t="s">
        <v>100</v>
      </c>
      <c r="K329" s="2">
        <v>3</v>
      </c>
      <c r="L329" s="2">
        <v>40430</v>
      </c>
      <c r="M329" s="2">
        <v>20</v>
      </c>
      <c r="N329" s="2">
        <v>24258</v>
      </c>
      <c r="O329" s="2">
        <v>17465.759999999998</v>
      </c>
      <c r="P329" s="2">
        <v>15</v>
      </c>
      <c r="Q329" s="2">
        <v>114512.76</v>
      </c>
      <c r="R329" s="2" t="s">
        <v>33</v>
      </c>
      <c r="S329" s="2" t="s">
        <v>34</v>
      </c>
      <c r="T329" s="9" t="s">
        <v>1708</v>
      </c>
      <c r="U329" s="10" t="s">
        <v>52</v>
      </c>
      <c r="V329" s="2" t="s">
        <v>77</v>
      </c>
      <c r="W329" s="2">
        <v>6</v>
      </c>
      <c r="X329" s="2" t="s">
        <v>36</v>
      </c>
      <c r="Y329" s="2">
        <v>4</v>
      </c>
      <c r="Z329" s="2" t="s">
        <v>82</v>
      </c>
    </row>
    <row r="330" spans="1:26" x14ac:dyDescent="0.35">
      <c r="A330" s="2" t="s">
        <v>681</v>
      </c>
      <c r="B330" s="3">
        <v>46006</v>
      </c>
      <c r="C330" s="2" t="s">
        <v>682</v>
      </c>
      <c r="D330" s="2" t="s">
        <v>57</v>
      </c>
      <c r="E330" s="2" t="s">
        <v>29</v>
      </c>
      <c r="F330" s="2">
        <v>60</v>
      </c>
      <c r="G330" s="2" t="s">
        <v>42</v>
      </c>
      <c r="H330" s="2" t="s">
        <v>31</v>
      </c>
      <c r="I330" s="2" t="s">
        <v>42</v>
      </c>
      <c r="J330" s="2" t="s">
        <v>138</v>
      </c>
      <c r="K330" s="2">
        <v>5</v>
      </c>
      <c r="L330" s="2">
        <v>34114</v>
      </c>
      <c r="M330" s="2">
        <v>0</v>
      </c>
      <c r="N330" s="2">
        <v>0</v>
      </c>
      <c r="O330" s="2">
        <v>30702.6</v>
      </c>
      <c r="P330" s="2">
        <v>3</v>
      </c>
      <c r="Q330" s="2">
        <v>201275.6</v>
      </c>
      <c r="R330" s="2" t="s">
        <v>43</v>
      </c>
      <c r="S330" s="2" t="s">
        <v>59</v>
      </c>
      <c r="T330" s="9" t="s">
        <v>1708</v>
      </c>
      <c r="U330" s="10" t="s">
        <v>52</v>
      </c>
      <c r="V330" s="2" t="s">
        <v>77</v>
      </c>
      <c r="W330" s="2">
        <v>7</v>
      </c>
      <c r="X330" s="2" t="s">
        <v>44</v>
      </c>
      <c r="Y330" s="2">
        <v>1</v>
      </c>
      <c r="Z330" s="2" t="s">
        <v>44</v>
      </c>
    </row>
    <row r="331" spans="1:26" x14ac:dyDescent="0.35">
      <c r="A331" s="2" t="s">
        <v>683</v>
      </c>
      <c r="B331" s="3">
        <v>46044</v>
      </c>
      <c r="C331" s="2" t="s">
        <v>684</v>
      </c>
      <c r="D331" s="2" t="s">
        <v>68</v>
      </c>
      <c r="E331" s="2" t="s">
        <v>41</v>
      </c>
      <c r="F331" s="2">
        <v>20</v>
      </c>
      <c r="G331" s="2" t="s">
        <v>63</v>
      </c>
      <c r="H331" s="2" t="s">
        <v>64</v>
      </c>
      <c r="I331" s="2" t="s">
        <v>63</v>
      </c>
      <c r="J331" s="2" t="s">
        <v>70</v>
      </c>
      <c r="K331" s="2">
        <v>2</v>
      </c>
      <c r="L331" s="2">
        <v>23052</v>
      </c>
      <c r="M331" s="2">
        <v>20</v>
      </c>
      <c r="N331" s="2">
        <v>9220.7999999999993</v>
      </c>
      <c r="O331" s="2">
        <v>6638.98</v>
      </c>
      <c r="P331" s="2">
        <v>141</v>
      </c>
      <c r="Q331" s="2">
        <v>43663.18</v>
      </c>
      <c r="R331" s="2" t="s">
        <v>51</v>
      </c>
      <c r="S331" s="2" t="s">
        <v>34</v>
      </c>
      <c r="T331" s="9" t="s">
        <v>1703</v>
      </c>
      <c r="U331" s="10" t="s">
        <v>1701</v>
      </c>
      <c r="V331" s="2" t="s">
        <v>35</v>
      </c>
      <c r="W331" s="2">
        <v>2</v>
      </c>
      <c r="X331" s="2" t="s">
        <v>36</v>
      </c>
      <c r="Y331" s="2">
        <v>4</v>
      </c>
      <c r="Z331" s="2" t="s">
        <v>37</v>
      </c>
    </row>
    <row r="332" spans="1:26" x14ac:dyDescent="0.35">
      <c r="A332" s="2" t="s">
        <v>685</v>
      </c>
      <c r="B332" s="3">
        <v>45831</v>
      </c>
      <c r="C332" s="2" t="s">
        <v>686</v>
      </c>
      <c r="D332" s="2" t="s">
        <v>40</v>
      </c>
      <c r="E332" s="2" t="s">
        <v>41</v>
      </c>
      <c r="F332" s="2">
        <v>30</v>
      </c>
      <c r="G332" s="2" t="s">
        <v>85</v>
      </c>
      <c r="H332" s="2" t="s">
        <v>31</v>
      </c>
      <c r="I332" s="2" t="s">
        <v>85</v>
      </c>
      <c r="J332" s="2" t="s">
        <v>58</v>
      </c>
      <c r="K332" s="2">
        <v>5</v>
      </c>
      <c r="L332" s="2">
        <v>26141</v>
      </c>
      <c r="M332" s="2">
        <v>0</v>
      </c>
      <c r="N332" s="2">
        <v>0</v>
      </c>
      <c r="O332" s="2">
        <v>23526.9</v>
      </c>
      <c r="P332" s="2">
        <v>51</v>
      </c>
      <c r="Q332" s="2">
        <v>154282.9</v>
      </c>
      <c r="R332" s="2" t="s">
        <v>76</v>
      </c>
      <c r="S332" s="2" t="s">
        <v>59</v>
      </c>
      <c r="T332" s="9" t="s">
        <v>1710</v>
      </c>
      <c r="U332" s="10" t="s">
        <v>1711</v>
      </c>
      <c r="V332" s="2" t="s">
        <v>53</v>
      </c>
      <c r="W332" s="2">
        <v>10</v>
      </c>
      <c r="X332" s="2" t="s">
        <v>36</v>
      </c>
      <c r="Y332" s="2">
        <v>1</v>
      </c>
      <c r="Z332" s="2" t="s">
        <v>37</v>
      </c>
    </row>
    <row r="333" spans="1:26" x14ac:dyDescent="0.35">
      <c r="A333" s="2" t="s">
        <v>687</v>
      </c>
      <c r="B333" s="3">
        <v>46027</v>
      </c>
      <c r="C333" s="2" t="s">
        <v>331</v>
      </c>
      <c r="D333" s="2" t="s">
        <v>99</v>
      </c>
      <c r="E333" s="2" t="s">
        <v>41</v>
      </c>
      <c r="F333" s="2">
        <v>23</v>
      </c>
      <c r="G333" s="2" t="s">
        <v>81</v>
      </c>
      <c r="H333" s="2" t="s">
        <v>31</v>
      </c>
      <c r="I333" s="2" t="s">
        <v>81</v>
      </c>
      <c r="J333" s="2" t="s">
        <v>32</v>
      </c>
      <c r="K333" s="2">
        <v>3</v>
      </c>
      <c r="L333" s="2">
        <v>3051</v>
      </c>
      <c r="M333" s="2">
        <v>15</v>
      </c>
      <c r="N333" s="2">
        <v>1372.95</v>
      </c>
      <c r="O333" s="2">
        <v>1400.41</v>
      </c>
      <c r="P333" s="2">
        <v>107</v>
      </c>
      <c r="Q333" s="2">
        <v>9287.4599999999991</v>
      </c>
      <c r="R333" s="2" t="s">
        <v>43</v>
      </c>
      <c r="S333" s="2" t="s">
        <v>59</v>
      </c>
      <c r="T333" s="9" t="s">
        <v>1709</v>
      </c>
      <c r="U333" s="10" t="s">
        <v>52</v>
      </c>
      <c r="V333" s="2" t="s">
        <v>53</v>
      </c>
      <c r="W333" s="2">
        <v>7</v>
      </c>
      <c r="X333" s="2" t="s">
        <v>36</v>
      </c>
      <c r="Y333" s="2">
        <v>5</v>
      </c>
      <c r="Z333" s="2" t="s">
        <v>82</v>
      </c>
    </row>
    <row r="334" spans="1:26" x14ac:dyDescent="0.35">
      <c r="A334" s="2" t="s">
        <v>688</v>
      </c>
      <c r="B334" s="3">
        <v>45925</v>
      </c>
      <c r="C334" s="2" t="s">
        <v>689</v>
      </c>
      <c r="D334" s="2" t="s">
        <v>28</v>
      </c>
      <c r="E334" s="2" t="s">
        <v>29</v>
      </c>
      <c r="F334" s="2">
        <v>27</v>
      </c>
      <c r="G334" s="2" t="s">
        <v>85</v>
      </c>
      <c r="H334" s="2" t="s">
        <v>31</v>
      </c>
      <c r="I334" s="2" t="s">
        <v>85</v>
      </c>
      <c r="J334" s="2" t="s">
        <v>32</v>
      </c>
      <c r="K334" s="2">
        <v>1</v>
      </c>
      <c r="L334" s="2">
        <v>48655</v>
      </c>
      <c r="M334" s="2">
        <v>0</v>
      </c>
      <c r="N334" s="2">
        <v>0</v>
      </c>
      <c r="O334" s="2">
        <v>8757.9</v>
      </c>
      <c r="P334" s="2">
        <v>391</v>
      </c>
      <c r="Q334" s="2">
        <v>57803.9</v>
      </c>
      <c r="R334" s="2" t="s">
        <v>76</v>
      </c>
      <c r="S334" s="2" t="s">
        <v>59</v>
      </c>
      <c r="T334" s="9" t="s">
        <v>1706</v>
      </c>
      <c r="U334" s="10" t="s">
        <v>52</v>
      </c>
      <c r="V334" s="2" t="s">
        <v>53</v>
      </c>
      <c r="W334" s="2">
        <v>1</v>
      </c>
      <c r="X334" s="2" t="s">
        <v>36</v>
      </c>
      <c r="Y334" s="2">
        <v>3</v>
      </c>
      <c r="Z334" s="2" t="s">
        <v>54</v>
      </c>
    </row>
    <row r="335" spans="1:26" x14ac:dyDescent="0.35">
      <c r="A335" s="2" t="s">
        <v>690</v>
      </c>
      <c r="B335" s="3">
        <v>45834</v>
      </c>
      <c r="C335" s="2" t="s">
        <v>691</v>
      </c>
      <c r="D335" s="2" t="s">
        <v>99</v>
      </c>
      <c r="E335" s="2" t="s">
        <v>29</v>
      </c>
      <c r="F335" s="2">
        <v>57</v>
      </c>
      <c r="G335" s="2" t="s">
        <v>81</v>
      </c>
      <c r="H335" s="2" t="s">
        <v>31</v>
      </c>
      <c r="I335" s="2" t="s">
        <v>81</v>
      </c>
      <c r="J335" s="2" t="s">
        <v>138</v>
      </c>
      <c r="K335" s="2">
        <v>4</v>
      </c>
      <c r="L335" s="2">
        <v>1414</v>
      </c>
      <c r="M335" s="2">
        <v>20</v>
      </c>
      <c r="N335" s="2">
        <v>1131.2</v>
      </c>
      <c r="O335" s="2">
        <v>814.46</v>
      </c>
      <c r="P335" s="2">
        <v>128</v>
      </c>
      <c r="Q335" s="2">
        <v>5467.26</v>
      </c>
      <c r="R335" s="2" t="s">
        <v>51</v>
      </c>
      <c r="S335" s="2" t="s">
        <v>34</v>
      </c>
      <c r="T335" s="9" t="s">
        <v>1704</v>
      </c>
      <c r="U335" s="10" t="s">
        <v>52</v>
      </c>
      <c r="V335" s="2" t="s">
        <v>35</v>
      </c>
      <c r="W335" s="2">
        <v>10</v>
      </c>
      <c r="X335" s="2" t="s">
        <v>36</v>
      </c>
      <c r="Y335" s="2">
        <v>3</v>
      </c>
      <c r="Z335" s="2" t="s">
        <v>44</v>
      </c>
    </row>
    <row r="336" spans="1:26" x14ac:dyDescent="0.35">
      <c r="A336" s="2" t="s">
        <v>692</v>
      </c>
      <c r="B336" s="3">
        <v>45763</v>
      </c>
      <c r="C336" s="2" t="s">
        <v>175</v>
      </c>
      <c r="D336" s="2" t="s">
        <v>47</v>
      </c>
      <c r="E336" s="2" t="s">
        <v>29</v>
      </c>
      <c r="F336" s="2">
        <v>53</v>
      </c>
      <c r="G336" s="2" t="s">
        <v>42</v>
      </c>
      <c r="H336" s="2" t="s">
        <v>31</v>
      </c>
      <c r="I336" s="2" t="s">
        <v>42</v>
      </c>
      <c r="J336" s="2" t="s">
        <v>58</v>
      </c>
      <c r="K336" s="2">
        <v>2</v>
      </c>
      <c r="L336" s="2">
        <v>48474</v>
      </c>
      <c r="M336" s="2">
        <v>10</v>
      </c>
      <c r="N336" s="2">
        <v>9694.7999999999993</v>
      </c>
      <c r="O336" s="2">
        <v>15705.58</v>
      </c>
      <c r="P336" s="2">
        <v>419</v>
      </c>
      <c r="Q336" s="2">
        <v>103377.78</v>
      </c>
      <c r="R336" s="2" t="s">
        <v>43</v>
      </c>
      <c r="S336" s="2" t="s">
        <v>59</v>
      </c>
      <c r="T336" s="9" t="s">
        <v>1708</v>
      </c>
      <c r="U336" s="10" t="s">
        <v>52</v>
      </c>
      <c r="V336" s="2" t="s">
        <v>77</v>
      </c>
      <c r="W336" s="2">
        <v>6</v>
      </c>
      <c r="X336" s="2" t="s">
        <v>44</v>
      </c>
      <c r="Y336" s="2">
        <v>3</v>
      </c>
      <c r="Z336" s="2" t="s">
        <v>37</v>
      </c>
    </row>
    <row r="337" spans="1:26" x14ac:dyDescent="0.35">
      <c r="A337" s="2" t="s">
        <v>693</v>
      </c>
      <c r="B337" s="3">
        <v>46111</v>
      </c>
      <c r="C337" s="2" t="s">
        <v>268</v>
      </c>
      <c r="D337" s="2" t="s">
        <v>68</v>
      </c>
      <c r="E337" s="2" t="s">
        <v>29</v>
      </c>
      <c r="F337" s="2">
        <v>60</v>
      </c>
      <c r="G337" s="2" t="s">
        <v>85</v>
      </c>
      <c r="H337" s="2" t="s">
        <v>31</v>
      </c>
      <c r="I337" s="2" t="s">
        <v>85</v>
      </c>
      <c r="J337" s="2" t="s">
        <v>58</v>
      </c>
      <c r="K337" s="2">
        <v>2</v>
      </c>
      <c r="L337" s="2">
        <v>4505</v>
      </c>
      <c r="M337" s="2">
        <v>15</v>
      </c>
      <c r="N337" s="2">
        <v>1351.5</v>
      </c>
      <c r="O337" s="2">
        <v>1378.53</v>
      </c>
      <c r="P337" s="2">
        <v>135</v>
      </c>
      <c r="Q337" s="2">
        <v>9172.0300000000007</v>
      </c>
      <c r="R337" s="2" t="s">
        <v>43</v>
      </c>
      <c r="S337" s="2" t="s">
        <v>59</v>
      </c>
      <c r="T337" s="9" t="s">
        <v>1705</v>
      </c>
      <c r="U337" s="10" t="s">
        <v>1702</v>
      </c>
      <c r="V337" s="2" t="s">
        <v>53</v>
      </c>
      <c r="W337" s="2">
        <v>8</v>
      </c>
      <c r="X337" s="2" t="s">
        <v>36</v>
      </c>
      <c r="Y337" s="2">
        <v>1</v>
      </c>
      <c r="Z337" s="2" t="s">
        <v>44</v>
      </c>
    </row>
    <row r="338" spans="1:26" x14ac:dyDescent="0.35">
      <c r="A338" s="2" t="s">
        <v>694</v>
      </c>
      <c r="B338" s="3">
        <v>46020</v>
      </c>
      <c r="C338" s="2" t="s">
        <v>695</v>
      </c>
      <c r="D338" s="2" t="s">
        <v>40</v>
      </c>
      <c r="E338" s="2" t="s">
        <v>41</v>
      </c>
      <c r="F338" s="2">
        <v>35</v>
      </c>
      <c r="G338" s="2" t="s">
        <v>81</v>
      </c>
      <c r="H338" s="2" t="s">
        <v>31</v>
      </c>
      <c r="I338" s="2" t="s">
        <v>81</v>
      </c>
      <c r="J338" s="2" t="s">
        <v>32</v>
      </c>
      <c r="K338" s="2">
        <v>2</v>
      </c>
      <c r="L338" s="2">
        <v>24276</v>
      </c>
      <c r="M338" s="2">
        <v>0</v>
      </c>
      <c r="N338" s="2">
        <v>0</v>
      </c>
      <c r="O338" s="2">
        <v>8739.36</v>
      </c>
      <c r="P338" s="2">
        <v>242</v>
      </c>
      <c r="Q338" s="2">
        <v>57533.36</v>
      </c>
      <c r="R338" s="2" t="s">
        <v>76</v>
      </c>
      <c r="S338" s="2" t="s">
        <v>34</v>
      </c>
      <c r="T338" s="9" t="s">
        <v>1703</v>
      </c>
      <c r="U338" s="10" t="s">
        <v>1701</v>
      </c>
      <c r="V338" s="2" t="s">
        <v>35</v>
      </c>
      <c r="W338" s="2">
        <v>5</v>
      </c>
      <c r="X338" s="2" t="s">
        <v>44</v>
      </c>
      <c r="Y338" s="2">
        <v>3</v>
      </c>
      <c r="Z338" s="2" t="s">
        <v>82</v>
      </c>
    </row>
    <row r="339" spans="1:26" x14ac:dyDescent="0.35">
      <c r="A339" s="2" t="s">
        <v>696</v>
      </c>
      <c r="B339" s="3">
        <v>45886</v>
      </c>
      <c r="C339" s="2" t="s">
        <v>557</v>
      </c>
      <c r="D339" s="2" t="s">
        <v>80</v>
      </c>
      <c r="E339" s="2" t="s">
        <v>41</v>
      </c>
      <c r="F339" s="2">
        <v>60</v>
      </c>
      <c r="G339" s="2" t="s">
        <v>48</v>
      </c>
      <c r="H339" s="2" t="s">
        <v>49</v>
      </c>
      <c r="I339" s="2" t="s">
        <v>48</v>
      </c>
      <c r="J339" s="2" t="s">
        <v>32</v>
      </c>
      <c r="K339" s="2">
        <v>3</v>
      </c>
      <c r="L339" s="2">
        <v>2724</v>
      </c>
      <c r="M339" s="2">
        <v>15</v>
      </c>
      <c r="N339" s="2">
        <v>1225.8</v>
      </c>
      <c r="O339" s="2">
        <v>1250.32</v>
      </c>
      <c r="P339" s="2">
        <v>21</v>
      </c>
      <c r="Q339" s="2">
        <v>8217.52</v>
      </c>
      <c r="R339" s="2" t="s">
        <v>43</v>
      </c>
      <c r="S339" s="2" t="s">
        <v>34</v>
      </c>
      <c r="T339" s="9" t="s">
        <v>1708</v>
      </c>
      <c r="U339" s="10" t="s">
        <v>52</v>
      </c>
      <c r="V339" s="2" t="s">
        <v>77</v>
      </c>
      <c r="W339" s="2">
        <v>2</v>
      </c>
      <c r="X339" s="2" t="s">
        <v>44</v>
      </c>
      <c r="Y339" s="2">
        <v>2</v>
      </c>
      <c r="Z339" s="2" t="s">
        <v>37</v>
      </c>
    </row>
    <row r="340" spans="1:26" x14ac:dyDescent="0.35">
      <c r="A340" s="2" t="s">
        <v>697</v>
      </c>
      <c r="B340" s="3">
        <v>46019</v>
      </c>
      <c r="C340" s="2" t="s">
        <v>698</v>
      </c>
      <c r="D340" s="2" t="s">
        <v>62</v>
      </c>
      <c r="E340" s="2" t="s">
        <v>29</v>
      </c>
      <c r="F340" s="2">
        <v>36</v>
      </c>
      <c r="G340" s="2" t="s">
        <v>30</v>
      </c>
      <c r="H340" s="2" t="s">
        <v>31</v>
      </c>
      <c r="I340" s="2" t="s">
        <v>30</v>
      </c>
      <c r="J340" s="2" t="s">
        <v>113</v>
      </c>
      <c r="K340" s="2">
        <v>4</v>
      </c>
      <c r="L340" s="2">
        <v>37327</v>
      </c>
      <c r="M340" s="2">
        <v>15</v>
      </c>
      <c r="N340" s="2">
        <v>22396.2</v>
      </c>
      <c r="O340" s="2">
        <v>22844.12</v>
      </c>
      <c r="P340" s="2">
        <v>36</v>
      </c>
      <c r="Q340" s="2">
        <v>149791.92000000001</v>
      </c>
      <c r="R340" s="2" t="s">
        <v>76</v>
      </c>
      <c r="S340" s="2" t="s">
        <v>59</v>
      </c>
      <c r="T340" s="9" t="s">
        <v>1709</v>
      </c>
      <c r="U340" s="10" t="s">
        <v>52</v>
      </c>
      <c r="V340" s="2" t="s">
        <v>53</v>
      </c>
      <c r="W340" s="2">
        <v>10</v>
      </c>
      <c r="X340" s="2" t="s">
        <v>36</v>
      </c>
      <c r="Y340" s="2">
        <v>4</v>
      </c>
      <c r="Z340" s="2" t="s">
        <v>44</v>
      </c>
    </row>
    <row r="341" spans="1:26" x14ac:dyDescent="0.35">
      <c r="A341" s="2" t="s">
        <v>699</v>
      </c>
      <c r="B341" s="3">
        <v>46072</v>
      </c>
      <c r="C341" s="2" t="s">
        <v>700</v>
      </c>
      <c r="D341" s="2" t="s">
        <v>96</v>
      </c>
      <c r="E341" s="2" t="s">
        <v>29</v>
      </c>
      <c r="F341" s="2">
        <v>28</v>
      </c>
      <c r="G341" s="2" t="s">
        <v>81</v>
      </c>
      <c r="H341" s="2" t="s">
        <v>31</v>
      </c>
      <c r="I341" s="2" t="s">
        <v>81</v>
      </c>
      <c r="J341" s="2" t="s">
        <v>100</v>
      </c>
      <c r="K341" s="2">
        <v>5</v>
      </c>
      <c r="L341" s="2">
        <v>26465</v>
      </c>
      <c r="M341" s="2">
        <v>5</v>
      </c>
      <c r="N341" s="2">
        <v>6616.25</v>
      </c>
      <c r="O341" s="2">
        <v>22627.58</v>
      </c>
      <c r="P341" s="2">
        <v>473</v>
      </c>
      <c r="Q341" s="2">
        <v>148809.32999999999</v>
      </c>
      <c r="R341" s="2" t="s">
        <v>33</v>
      </c>
      <c r="S341" s="2" t="s">
        <v>59</v>
      </c>
      <c r="T341" s="9" t="s">
        <v>1703</v>
      </c>
      <c r="U341" s="10" t="s">
        <v>1701</v>
      </c>
      <c r="V341" s="2" t="s">
        <v>35</v>
      </c>
      <c r="W341" s="2">
        <v>1</v>
      </c>
      <c r="X341" s="2" t="s">
        <v>36</v>
      </c>
      <c r="Y341" s="2">
        <v>5</v>
      </c>
      <c r="Z341" s="2" t="s">
        <v>54</v>
      </c>
    </row>
    <row r="342" spans="1:26" x14ac:dyDescent="0.35">
      <c r="A342" s="2" t="s">
        <v>701</v>
      </c>
      <c r="B342" s="3">
        <v>46104</v>
      </c>
      <c r="C342" s="2" t="s">
        <v>702</v>
      </c>
      <c r="D342" s="2" t="s">
        <v>47</v>
      </c>
      <c r="E342" s="2" t="s">
        <v>41</v>
      </c>
      <c r="F342" s="2">
        <v>37</v>
      </c>
      <c r="G342" s="2" t="s">
        <v>63</v>
      </c>
      <c r="H342" s="2" t="s">
        <v>64</v>
      </c>
      <c r="I342" s="2" t="s">
        <v>63</v>
      </c>
      <c r="J342" s="2" t="s">
        <v>65</v>
      </c>
      <c r="K342" s="2">
        <v>2</v>
      </c>
      <c r="L342" s="2">
        <v>27129</v>
      </c>
      <c r="M342" s="2">
        <v>15</v>
      </c>
      <c r="N342" s="2">
        <v>8138.7</v>
      </c>
      <c r="O342" s="2">
        <v>8301.4699999999993</v>
      </c>
      <c r="P342" s="2">
        <v>47</v>
      </c>
      <c r="Q342" s="2">
        <v>54467.77</v>
      </c>
      <c r="R342" s="2" t="s">
        <v>76</v>
      </c>
      <c r="S342" s="2" t="s">
        <v>34</v>
      </c>
      <c r="T342" s="9" t="s">
        <v>1709</v>
      </c>
      <c r="U342" s="10" t="s">
        <v>52</v>
      </c>
      <c r="V342" s="2" t="s">
        <v>53</v>
      </c>
      <c r="W342" s="2">
        <v>3</v>
      </c>
      <c r="X342" s="2" t="s">
        <v>36</v>
      </c>
      <c r="Y342" s="2">
        <v>4</v>
      </c>
      <c r="Z342" s="2" t="s">
        <v>54</v>
      </c>
    </row>
    <row r="343" spans="1:26" x14ac:dyDescent="0.35">
      <c r="A343" s="2" t="s">
        <v>703</v>
      </c>
      <c r="B343" s="3">
        <v>45848</v>
      </c>
      <c r="C343" s="2" t="s">
        <v>704</v>
      </c>
      <c r="D343" s="2" t="s">
        <v>99</v>
      </c>
      <c r="E343" s="2" t="s">
        <v>41</v>
      </c>
      <c r="F343" s="2">
        <v>44</v>
      </c>
      <c r="G343" s="2" t="s">
        <v>122</v>
      </c>
      <c r="H343" s="2" t="s">
        <v>31</v>
      </c>
      <c r="I343" s="2" t="s">
        <v>122</v>
      </c>
      <c r="J343" s="2" t="s">
        <v>65</v>
      </c>
      <c r="K343" s="2">
        <v>2</v>
      </c>
      <c r="L343" s="2">
        <v>37005</v>
      </c>
      <c r="M343" s="2">
        <v>0</v>
      </c>
      <c r="N343" s="2">
        <v>0</v>
      </c>
      <c r="O343" s="2">
        <v>13321.8</v>
      </c>
      <c r="P343" s="2">
        <v>458</v>
      </c>
      <c r="Q343" s="2">
        <v>87789.8</v>
      </c>
      <c r="R343" s="2" t="s">
        <v>33</v>
      </c>
      <c r="S343" s="2" t="s">
        <v>34</v>
      </c>
      <c r="T343" s="9" t="s">
        <v>1703</v>
      </c>
      <c r="U343" s="10" t="s">
        <v>1701</v>
      </c>
      <c r="V343" s="2" t="s">
        <v>35</v>
      </c>
      <c r="W343" s="2">
        <v>8</v>
      </c>
      <c r="X343" s="2" t="s">
        <v>44</v>
      </c>
      <c r="Y343" s="2">
        <v>4</v>
      </c>
      <c r="Z343" s="2" t="s">
        <v>44</v>
      </c>
    </row>
    <row r="344" spans="1:26" x14ac:dyDescent="0.35">
      <c r="A344" s="2" t="s">
        <v>705</v>
      </c>
      <c r="B344" s="3">
        <v>45820</v>
      </c>
      <c r="C344" s="2" t="s">
        <v>331</v>
      </c>
      <c r="D344" s="2" t="s">
        <v>57</v>
      </c>
      <c r="E344" s="2" t="s">
        <v>29</v>
      </c>
      <c r="F344" s="2">
        <v>36</v>
      </c>
      <c r="G344" s="2" t="s">
        <v>30</v>
      </c>
      <c r="H344" s="2" t="s">
        <v>31</v>
      </c>
      <c r="I344" s="2" t="s">
        <v>30</v>
      </c>
      <c r="J344" s="2" t="s">
        <v>70</v>
      </c>
      <c r="K344" s="2">
        <v>1</v>
      </c>
      <c r="L344" s="2">
        <v>42523</v>
      </c>
      <c r="M344" s="2">
        <v>10</v>
      </c>
      <c r="N344" s="2">
        <v>4252.3</v>
      </c>
      <c r="O344" s="2">
        <v>6888.73</v>
      </c>
      <c r="P344" s="2">
        <v>150</v>
      </c>
      <c r="Q344" s="2">
        <v>45309.43</v>
      </c>
      <c r="R344" s="2" t="s">
        <v>33</v>
      </c>
      <c r="S344" s="2" t="s">
        <v>34</v>
      </c>
      <c r="T344" s="9" t="s">
        <v>1707</v>
      </c>
      <c r="U344" s="10" t="s">
        <v>1712</v>
      </c>
      <c r="V344" s="2" t="s">
        <v>53</v>
      </c>
      <c r="W344" s="2">
        <v>9</v>
      </c>
      <c r="X344" s="2" t="s">
        <v>44</v>
      </c>
      <c r="Y344" s="2">
        <v>2</v>
      </c>
      <c r="Z344" s="2" t="s">
        <v>54</v>
      </c>
    </row>
    <row r="345" spans="1:26" x14ac:dyDescent="0.35">
      <c r="A345" s="2" t="s">
        <v>706</v>
      </c>
      <c r="B345" s="3">
        <v>46118</v>
      </c>
      <c r="C345" s="2" t="s">
        <v>90</v>
      </c>
      <c r="D345" s="2" t="s">
        <v>28</v>
      </c>
      <c r="E345" s="2" t="s">
        <v>41</v>
      </c>
      <c r="F345" s="2">
        <v>45</v>
      </c>
      <c r="G345" s="2" t="s">
        <v>42</v>
      </c>
      <c r="H345" s="2" t="s">
        <v>31</v>
      </c>
      <c r="I345" s="2" t="s">
        <v>42</v>
      </c>
      <c r="J345" s="2" t="s">
        <v>58</v>
      </c>
      <c r="K345" s="2">
        <v>4</v>
      </c>
      <c r="L345" s="2">
        <v>20804</v>
      </c>
      <c r="M345" s="2">
        <v>0</v>
      </c>
      <c r="N345" s="2">
        <v>0</v>
      </c>
      <c r="O345" s="2">
        <v>14978.88</v>
      </c>
      <c r="P345" s="2">
        <v>308</v>
      </c>
      <c r="Q345" s="2">
        <v>98502.88</v>
      </c>
      <c r="R345" s="2" t="s">
        <v>51</v>
      </c>
      <c r="S345" s="2" t="s">
        <v>34</v>
      </c>
      <c r="T345" s="9" t="s">
        <v>1706</v>
      </c>
      <c r="U345" s="10" t="s">
        <v>52</v>
      </c>
      <c r="V345" s="2" t="s">
        <v>53</v>
      </c>
      <c r="W345" s="2">
        <v>4</v>
      </c>
      <c r="X345" s="2" t="s">
        <v>36</v>
      </c>
      <c r="Y345" s="2">
        <v>1</v>
      </c>
      <c r="Z345" s="2" t="s">
        <v>44</v>
      </c>
    </row>
    <row r="346" spans="1:26" x14ac:dyDescent="0.35">
      <c r="A346" s="2" t="s">
        <v>707</v>
      </c>
      <c r="B346" s="3">
        <v>46038</v>
      </c>
      <c r="C346" s="2" t="s">
        <v>708</v>
      </c>
      <c r="D346" s="2" t="s">
        <v>68</v>
      </c>
      <c r="E346" s="2" t="s">
        <v>41</v>
      </c>
      <c r="F346" s="2">
        <v>28</v>
      </c>
      <c r="G346" s="2" t="s">
        <v>81</v>
      </c>
      <c r="H346" s="2" t="s">
        <v>31</v>
      </c>
      <c r="I346" s="2" t="s">
        <v>81</v>
      </c>
      <c r="J346" s="2" t="s">
        <v>50</v>
      </c>
      <c r="K346" s="2">
        <v>1</v>
      </c>
      <c r="L346" s="2">
        <v>15992</v>
      </c>
      <c r="M346" s="2">
        <v>5</v>
      </c>
      <c r="N346" s="2">
        <v>799.6</v>
      </c>
      <c r="O346" s="2">
        <v>2734.63</v>
      </c>
      <c r="P346" s="2">
        <v>229</v>
      </c>
      <c r="Q346" s="2">
        <v>18156.03</v>
      </c>
      <c r="R346" s="2" t="s">
        <v>76</v>
      </c>
      <c r="S346" s="2" t="s">
        <v>59</v>
      </c>
      <c r="T346" s="9" t="s">
        <v>1704</v>
      </c>
      <c r="U346" s="10" t="s">
        <v>52</v>
      </c>
      <c r="V346" s="2" t="s">
        <v>35</v>
      </c>
      <c r="W346" s="2">
        <v>9</v>
      </c>
      <c r="X346" s="2" t="s">
        <v>36</v>
      </c>
      <c r="Y346" s="2">
        <v>5</v>
      </c>
      <c r="Z346" s="2" t="s">
        <v>54</v>
      </c>
    </row>
    <row r="347" spans="1:26" x14ac:dyDescent="0.35">
      <c r="A347" s="2" t="s">
        <v>709</v>
      </c>
      <c r="B347" s="3">
        <v>46045</v>
      </c>
      <c r="C347" s="2" t="s">
        <v>75</v>
      </c>
      <c r="D347" s="2" t="s">
        <v>80</v>
      </c>
      <c r="E347" s="2" t="s">
        <v>41</v>
      </c>
      <c r="F347" s="2">
        <v>25</v>
      </c>
      <c r="G347" s="2" t="s">
        <v>48</v>
      </c>
      <c r="H347" s="2" t="s">
        <v>49</v>
      </c>
      <c r="I347" s="2" t="s">
        <v>48</v>
      </c>
      <c r="J347" s="2" t="s">
        <v>50</v>
      </c>
      <c r="K347" s="2">
        <v>5</v>
      </c>
      <c r="L347" s="2">
        <v>11797</v>
      </c>
      <c r="M347" s="2">
        <v>0</v>
      </c>
      <c r="N347" s="2">
        <v>0</v>
      </c>
      <c r="O347" s="2">
        <v>10617.3</v>
      </c>
      <c r="P347" s="2">
        <v>45</v>
      </c>
      <c r="Q347" s="2">
        <v>69647.3</v>
      </c>
      <c r="R347" s="2" t="s">
        <v>51</v>
      </c>
      <c r="S347" s="2" t="s">
        <v>59</v>
      </c>
      <c r="T347" s="9" t="s">
        <v>1703</v>
      </c>
      <c r="U347" s="10" t="s">
        <v>1701</v>
      </c>
      <c r="V347" s="2" t="s">
        <v>35</v>
      </c>
      <c r="W347" s="2">
        <v>3</v>
      </c>
      <c r="X347" s="2" t="s">
        <v>36</v>
      </c>
      <c r="Y347" s="2">
        <v>4</v>
      </c>
      <c r="Z347" s="2" t="s">
        <v>37</v>
      </c>
    </row>
    <row r="348" spans="1:26" x14ac:dyDescent="0.35">
      <c r="A348" s="2" t="s">
        <v>710</v>
      </c>
      <c r="B348" s="3">
        <v>45766</v>
      </c>
      <c r="C348" s="2" t="s">
        <v>711</v>
      </c>
      <c r="D348" s="2" t="s">
        <v>99</v>
      </c>
      <c r="E348" s="2" t="s">
        <v>41</v>
      </c>
      <c r="F348" s="2">
        <v>27</v>
      </c>
      <c r="G348" s="2" t="s">
        <v>63</v>
      </c>
      <c r="H348" s="2" t="s">
        <v>64</v>
      </c>
      <c r="I348" s="2" t="s">
        <v>63</v>
      </c>
      <c r="J348" s="2" t="s">
        <v>190</v>
      </c>
      <c r="K348" s="2">
        <v>1</v>
      </c>
      <c r="L348" s="2">
        <v>46166</v>
      </c>
      <c r="M348" s="2">
        <v>15</v>
      </c>
      <c r="N348" s="2">
        <v>6924.9</v>
      </c>
      <c r="O348" s="2">
        <v>7063.4</v>
      </c>
      <c r="P348" s="2">
        <v>461</v>
      </c>
      <c r="Q348" s="2">
        <v>46765.5</v>
      </c>
      <c r="R348" s="2" t="s">
        <v>51</v>
      </c>
      <c r="S348" s="2" t="s">
        <v>34</v>
      </c>
      <c r="T348" s="9" t="s">
        <v>1704</v>
      </c>
      <c r="U348" s="10" t="s">
        <v>52</v>
      </c>
      <c r="V348" s="2" t="s">
        <v>35</v>
      </c>
      <c r="W348" s="2">
        <v>10</v>
      </c>
      <c r="X348" s="2" t="s">
        <v>44</v>
      </c>
      <c r="Y348" s="2">
        <v>5</v>
      </c>
      <c r="Z348" s="2" t="s">
        <v>44</v>
      </c>
    </row>
    <row r="349" spans="1:26" x14ac:dyDescent="0.35">
      <c r="A349" s="2" t="s">
        <v>712</v>
      </c>
      <c r="B349" s="3">
        <v>45763</v>
      </c>
      <c r="C349" s="2" t="s">
        <v>713</v>
      </c>
      <c r="D349" s="2" t="s">
        <v>47</v>
      </c>
      <c r="E349" s="2" t="s">
        <v>29</v>
      </c>
      <c r="F349" s="2">
        <v>37</v>
      </c>
      <c r="G349" s="2" t="s">
        <v>81</v>
      </c>
      <c r="H349" s="2" t="s">
        <v>31</v>
      </c>
      <c r="I349" s="2" t="s">
        <v>81</v>
      </c>
      <c r="J349" s="2" t="s">
        <v>50</v>
      </c>
      <c r="K349" s="2">
        <v>1</v>
      </c>
      <c r="L349" s="2">
        <v>36991</v>
      </c>
      <c r="M349" s="2">
        <v>10</v>
      </c>
      <c r="N349" s="2">
        <v>3699.1</v>
      </c>
      <c r="O349" s="2">
        <v>5992.54</v>
      </c>
      <c r="P349" s="2">
        <v>357</v>
      </c>
      <c r="Q349" s="2">
        <v>39641.440000000002</v>
      </c>
      <c r="R349" s="2" t="s">
        <v>51</v>
      </c>
      <c r="S349" s="2" t="s">
        <v>59</v>
      </c>
      <c r="T349" s="9" t="s">
        <v>1710</v>
      </c>
      <c r="U349" s="10" t="s">
        <v>1711</v>
      </c>
      <c r="V349" s="2" t="s">
        <v>53</v>
      </c>
      <c r="W349" s="2">
        <v>1</v>
      </c>
      <c r="X349" s="2" t="s">
        <v>36</v>
      </c>
      <c r="Y349" s="2">
        <v>3</v>
      </c>
      <c r="Z349" s="2" t="s">
        <v>37</v>
      </c>
    </row>
    <row r="350" spans="1:26" x14ac:dyDescent="0.35">
      <c r="A350" s="2" t="s">
        <v>714</v>
      </c>
      <c r="B350" s="3">
        <v>45862</v>
      </c>
      <c r="C350" s="2" t="s">
        <v>515</v>
      </c>
      <c r="D350" s="2" t="s">
        <v>68</v>
      </c>
      <c r="E350" s="2" t="s">
        <v>29</v>
      </c>
      <c r="F350" s="2">
        <v>30</v>
      </c>
      <c r="G350" s="2" t="s">
        <v>48</v>
      </c>
      <c r="H350" s="2" t="s">
        <v>49</v>
      </c>
      <c r="I350" s="2" t="s">
        <v>48</v>
      </c>
      <c r="J350" s="2" t="s">
        <v>138</v>
      </c>
      <c r="K350" s="2">
        <v>4</v>
      </c>
      <c r="L350" s="2">
        <v>28780</v>
      </c>
      <c r="M350" s="2">
        <v>15</v>
      </c>
      <c r="N350" s="2">
        <v>17268</v>
      </c>
      <c r="O350" s="2">
        <v>17613.36</v>
      </c>
      <c r="P350" s="2">
        <v>127</v>
      </c>
      <c r="Q350" s="2">
        <v>115592.36</v>
      </c>
      <c r="R350" s="2" t="s">
        <v>76</v>
      </c>
      <c r="S350" s="2" t="s">
        <v>59</v>
      </c>
      <c r="T350" s="9" t="s">
        <v>1706</v>
      </c>
      <c r="U350" s="10" t="s">
        <v>52</v>
      </c>
      <c r="V350" s="2" t="s">
        <v>53</v>
      </c>
      <c r="W350" s="2">
        <v>6</v>
      </c>
      <c r="X350" s="2" t="s">
        <v>44</v>
      </c>
      <c r="Y350" s="2">
        <v>3</v>
      </c>
      <c r="Z350" s="2" t="s">
        <v>37</v>
      </c>
    </row>
    <row r="351" spans="1:26" x14ac:dyDescent="0.35">
      <c r="A351" s="2" t="s">
        <v>715</v>
      </c>
      <c r="B351" s="3">
        <v>45832</v>
      </c>
      <c r="C351" s="2" t="s">
        <v>620</v>
      </c>
      <c r="D351" s="2" t="s">
        <v>47</v>
      </c>
      <c r="E351" s="2" t="s">
        <v>29</v>
      </c>
      <c r="F351" s="2">
        <v>54</v>
      </c>
      <c r="G351" s="2" t="s">
        <v>85</v>
      </c>
      <c r="H351" s="2" t="s">
        <v>31</v>
      </c>
      <c r="I351" s="2" t="s">
        <v>85</v>
      </c>
      <c r="J351" s="2" t="s">
        <v>70</v>
      </c>
      <c r="K351" s="2">
        <v>4</v>
      </c>
      <c r="L351" s="2">
        <v>18388</v>
      </c>
      <c r="M351" s="2">
        <v>20</v>
      </c>
      <c r="N351" s="2">
        <v>14710.4</v>
      </c>
      <c r="O351" s="2">
        <v>10591.49</v>
      </c>
      <c r="P351" s="2">
        <v>469</v>
      </c>
      <c r="Q351" s="2">
        <v>69902.09</v>
      </c>
      <c r="R351" s="2" t="s">
        <v>76</v>
      </c>
      <c r="S351" s="2" t="s">
        <v>59</v>
      </c>
      <c r="T351" s="9" t="s">
        <v>1703</v>
      </c>
      <c r="U351" s="10" t="s">
        <v>1701</v>
      </c>
      <c r="V351" s="2" t="s">
        <v>35</v>
      </c>
      <c r="W351" s="2">
        <v>4</v>
      </c>
      <c r="X351" s="2" t="s">
        <v>44</v>
      </c>
      <c r="Y351" s="2">
        <v>4</v>
      </c>
      <c r="Z351" s="2" t="s">
        <v>82</v>
      </c>
    </row>
    <row r="352" spans="1:26" x14ac:dyDescent="0.35">
      <c r="A352" s="2" t="s">
        <v>716</v>
      </c>
      <c r="B352" s="3">
        <v>46108</v>
      </c>
      <c r="C352" s="2" t="s">
        <v>717</v>
      </c>
      <c r="D352" s="2" t="s">
        <v>99</v>
      </c>
      <c r="E352" s="2" t="s">
        <v>41</v>
      </c>
      <c r="F352" s="2">
        <v>50</v>
      </c>
      <c r="G352" s="2" t="s">
        <v>42</v>
      </c>
      <c r="H352" s="2" t="s">
        <v>31</v>
      </c>
      <c r="I352" s="2" t="s">
        <v>42</v>
      </c>
      <c r="J352" s="2" t="s">
        <v>50</v>
      </c>
      <c r="K352" s="2">
        <v>4</v>
      </c>
      <c r="L352" s="2">
        <v>31950</v>
      </c>
      <c r="M352" s="2">
        <v>0</v>
      </c>
      <c r="N352" s="2">
        <v>0</v>
      </c>
      <c r="O352" s="2">
        <v>23004</v>
      </c>
      <c r="P352" s="2">
        <v>50</v>
      </c>
      <c r="Q352" s="2">
        <v>150854</v>
      </c>
      <c r="R352" s="2" t="s">
        <v>76</v>
      </c>
      <c r="S352" s="2" t="s">
        <v>34</v>
      </c>
      <c r="T352" s="9" t="s">
        <v>1703</v>
      </c>
      <c r="U352" s="10" t="s">
        <v>1701</v>
      </c>
      <c r="V352" s="2" t="s">
        <v>35</v>
      </c>
      <c r="W352" s="2">
        <v>6</v>
      </c>
      <c r="X352" s="2" t="s">
        <v>36</v>
      </c>
      <c r="Y352" s="2">
        <v>4</v>
      </c>
      <c r="Z352" s="2" t="s">
        <v>54</v>
      </c>
    </row>
    <row r="353" spans="1:26" x14ac:dyDescent="0.35">
      <c r="A353" s="2" t="s">
        <v>718</v>
      </c>
      <c r="B353" s="3">
        <v>46025</v>
      </c>
      <c r="C353" s="2" t="s">
        <v>719</v>
      </c>
      <c r="D353" s="2" t="s">
        <v>99</v>
      </c>
      <c r="E353" s="2" t="s">
        <v>29</v>
      </c>
      <c r="F353" s="2">
        <v>38</v>
      </c>
      <c r="G353" s="2" t="s">
        <v>42</v>
      </c>
      <c r="H353" s="2" t="s">
        <v>31</v>
      </c>
      <c r="I353" s="2" t="s">
        <v>42</v>
      </c>
      <c r="J353" s="2" t="s">
        <v>70</v>
      </c>
      <c r="K353" s="2">
        <v>1</v>
      </c>
      <c r="L353" s="2">
        <v>35608</v>
      </c>
      <c r="M353" s="2">
        <v>20</v>
      </c>
      <c r="N353" s="2">
        <v>7121.6</v>
      </c>
      <c r="O353" s="2">
        <v>5127.55</v>
      </c>
      <c r="P353" s="2">
        <v>412</v>
      </c>
      <c r="Q353" s="2">
        <v>34025.949999999997</v>
      </c>
      <c r="R353" s="2" t="s">
        <v>76</v>
      </c>
      <c r="S353" s="2" t="s">
        <v>59</v>
      </c>
      <c r="T353" s="9" t="s">
        <v>1706</v>
      </c>
      <c r="U353" s="10" t="s">
        <v>52</v>
      </c>
      <c r="V353" s="2" t="s">
        <v>53</v>
      </c>
      <c r="W353" s="2">
        <v>10</v>
      </c>
      <c r="X353" s="2" t="s">
        <v>44</v>
      </c>
      <c r="Y353" s="2">
        <v>2</v>
      </c>
      <c r="Z353" s="2" t="s">
        <v>82</v>
      </c>
    </row>
    <row r="354" spans="1:26" x14ac:dyDescent="0.35">
      <c r="A354" s="2" t="s">
        <v>720</v>
      </c>
      <c r="B354" s="3">
        <v>45910</v>
      </c>
      <c r="C354" s="2" t="s">
        <v>126</v>
      </c>
      <c r="D354" s="2" t="s">
        <v>40</v>
      </c>
      <c r="E354" s="2" t="s">
        <v>29</v>
      </c>
      <c r="F354" s="2">
        <v>56</v>
      </c>
      <c r="G354" s="2" t="s">
        <v>30</v>
      </c>
      <c r="H354" s="2" t="s">
        <v>31</v>
      </c>
      <c r="I354" s="2" t="s">
        <v>30</v>
      </c>
      <c r="J354" s="2" t="s">
        <v>91</v>
      </c>
      <c r="K354" s="2">
        <v>5</v>
      </c>
      <c r="L354" s="2">
        <v>23093</v>
      </c>
      <c r="M354" s="2">
        <v>0</v>
      </c>
      <c r="N354" s="2">
        <v>0</v>
      </c>
      <c r="O354" s="2">
        <v>20783.7</v>
      </c>
      <c r="P354" s="2">
        <v>59</v>
      </c>
      <c r="Q354" s="2">
        <v>136307.70000000001</v>
      </c>
      <c r="R354" s="2" t="s">
        <v>43</v>
      </c>
      <c r="S354" s="2" t="s">
        <v>59</v>
      </c>
      <c r="T354" s="9" t="s">
        <v>1707</v>
      </c>
      <c r="U354" s="10" t="s">
        <v>1712</v>
      </c>
      <c r="V354" s="2" t="s">
        <v>53</v>
      </c>
      <c r="W354" s="2">
        <v>6</v>
      </c>
      <c r="X354" s="2" t="s">
        <v>36</v>
      </c>
      <c r="Y354" s="2">
        <v>2</v>
      </c>
      <c r="Z354" s="2" t="s">
        <v>54</v>
      </c>
    </row>
    <row r="355" spans="1:26" x14ac:dyDescent="0.35">
      <c r="A355" s="2" t="s">
        <v>721</v>
      </c>
      <c r="B355" s="3">
        <v>45986</v>
      </c>
      <c r="C355" s="2" t="s">
        <v>444</v>
      </c>
      <c r="D355" s="2" t="s">
        <v>40</v>
      </c>
      <c r="E355" s="2" t="s">
        <v>41</v>
      </c>
      <c r="F355" s="2">
        <v>54</v>
      </c>
      <c r="G355" s="2" t="s">
        <v>81</v>
      </c>
      <c r="H355" s="2" t="s">
        <v>31</v>
      </c>
      <c r="I355" s="2" t="s">
        <v>81</v>
      </c>
      <c r="J355" s="2" t="s">
        <v>91</v>
      </c>
      <c r="K355" s="2">
        <v>4</v>
      </c>
      <c r="L355" s="2">
        <v>27882</v>
      </c>
      <c r="M355" s="2">
        <v>10</v>
      </c>
      <c r="N355" s="2">
        <v>11152.8</v>
      </c>
      <c r="O355" s="2">
        <v>18067.54</v>
      </c>
      <c r="P355" s="2">
        <v>288</v>
      </c>
      <c r="Q355" s="2">
        <v>118730.74</v>
      </c>
      <c r="R355" s="2" t="s">
        <v>33</v>
      </c>
      <c r="S355" s="2" t="s">
        <v>59</v>
      </c>
      <c r="T355" s="9" t="s">
        <v>1703</v>
      </c>
      <c r="U355" s="10" t="s">
        <v>1701</v>
      </c>
      <c r="V355" s="2" t="s">
        <v>35</v>
      </c>
      <c r="W355" s="2">
        <v>7</v>
      </c>
      <c r="X355" s="2" t="s">
        <v>44</v>
      </c>
      <c r="Y355" s="2">
        <v>1</v>
      </c>
      <c r="Z355" s="2" t="s">
        <v>44</v>
      </c>
    </row>
    <row r="356" spans="1:26" x14ac:dyDescent="0.35">
      <c r="A356" s="2" t="s">
        <v>722</v>
      </c>
      <c r="B356" s="3">
        <v>46059</v>
      </c>
      <c r="C356" s="2" t="s">
        <v>723</v>
      </c>
      <c r="D356" s="2" t="s">
        <v>57</v>
      </c>
      <c r="E356" s="2" t="s">
        <v>41</v>
      </c>
      <c r="F356" s="2">
        <v>39</v>
      </c>
      <c r="G356" s="2" t="s">
        <v>122</v>
      </c>
      <c r="H356" s="2" t="s">
        <v>31</v>
      </c>
      <c r="I356" s="2" t="s">
        <v>122</v>
      </c>
      <c r="J356" s="2" t="s">
        <v>138</v>
      </c>
      <c r="K356" s="2">
        <v>2</v>
      </c>
      <c r="L356" s="2">
        <v>44930</v>
      </c>
      <c r="M356" s="2">
        <v>10</v>
      </c>
      <c r="N356" s="2">
        <v>8986</v>
      </c>
      <c r="O356" s="2">
        <v>14557.32</v>
      </c>
      <c r="P356" s="2">
        <v>262</v>
      </c>
      <c r="Q356" s="2">
        <v>95693.32</v>
      </c>
      <c r="R356" s="2" t="s">
        <v>51</v>
      </c>
      <c r="S356" s="2" t="s">
        <v>34</v>
      </c>
      <c r="T356" s="9" t="s">
        <v>1704</v>
      </c>
      <c r="U356" s="10" t="s">
        <v>52</v>
      </c>
      <c r="V356" s="2" t="s">
        <v>35</v>
      </c>
      <c r="W356" s="2">
        <v>4</v>
      </c>
      <c r="X356" s="2" t="s">
        <v>36</v>
      </c>
      <c r="Y356" s="2">
        <v>1</v>
      </c>
      <c r="Z356" s="2" t="s">
        <v>82</v>
      </c>
    </row>
    <row r="357" spans="1:26" x14ac:dyDescent="0.35">
      <c r="A357" s="2" t="s">
        <v>724</v>
      </c>
      <c r="B357" s="3">
        <v>46010</v>
      </c>
      <c r="C357" s="2" t="s">
        <v>294</v>
      </c>
      <c r="D357" s="2" t="s">
        <v>40</v>
      </c>
      <c r="E357" s="2" t="s">
        <v>41</v>
      </c>
      <c r="F357" s="2">
        <v>51</v>
      </c>
      <c r="G357" s="2" t="s">
        <v>127</v>
      </c>
      <c r="H357" s="2" t="s">
        <v>31</v>
      </c>
      <c r="I357" s="2" t="s">
        <v>127</v>
      </c>
      <c r="J357" s="2" t="s">
        <v>50</v>
      </c>
      <c r="K357" s="2">
        <v>2</v>
      </c>
      <c r="L357" s="2">
        <v>32991</v>
      </c>
      <c r="M357" s="2">
        <v>5</v>
      </c>
      <c r="N357" s="2">
        <v>3299.1</v>
      </c>
      <c r="O357" s="2">
        <v>11282.92</v>
      </c>
      <c r="P357" s="2">
        <v>307</v>
      </c>
      <c r="Q357" s="2">
        <v>74272.820000000007</v>
      </c>
      <c r="R357" s="2" t="s">
        <v>51</v>
      </c>
      <c r="S357" s="2" t="s">
        <v>59</v>
      </c>
      <c r="T357" s="9" t="s">
        <v>1703</v>
      </c>
      <c r="U357" s="10" t="s">
        <v>1701</v>
      </c>
      <c r="V357" s="2" t="s">
        <v>35</v>
      </c>
      <c r="W357" s="2">
        <v>6</v>
      </c>
      <c r="X357" s="2" t="s">
        <v>44</v>
      </c>
      <c r="Y357" s="2">
        <v>4</v>
      </c>
      <c r="Z357" s="2" t="s">
        <v>44</v>
      </c>
    </row>
    <row r="358" spans="1:26" x14ac:dyDescent="0.35">
      <c r="A358" s="2" t="s">
        <v>725</v>
      </c>
      <c r="B358" s="3">
        <v>46051</v>
      </c>
      <c r="C358" s="2" t="s">
        <v>321</v>
      </c>
      <c r="D358" s="2" t="s">
        <v>96</v>
      </c>
      <c r="E358" s="2" t="s">
        <v>41</v>
      </c>
      <c r="F358" s="2">
        <v>41</v>
      </c>
      <c r="G358" s="2" t="s">
        <v>42</v>
      </c>
      <c r="H358" s="2" t="s">
        <v>31</v>
      </c>
      <c r="I358" s="2" t="s">
        <v>42</v>
      </c>
      <c r="J358" s="2" t="s">
        <v>65</v>
      </c>
      <c r="K358" s="2">
        <v>5</v>
      </c>
      <c r="L358" s="2">
        <v>45961</v>
      </c>
      <c r="M358" s="2">
        <v>15</v>
      </c>
      <c r="N358" s="2">
        <v>34470.75</v>
      </c>
      <c r="O358" s="2">
        <v>35160.17</v>
      </c>
      <c r="P358" s="2">
        <v>329</v>
      </c>
      <c r="Q358" s="2">
        <v>230823.42</v>
      </c>
      <c r="R358" s="2" t="s">
        <v>51</v>
      </c>
      <c r="S358" s="2" t="s">
        <v>34</v>
      </c>
      <c r="T358" s="9" t="s">
        <v>1708</v>
      </c>
      <c r="U358" s="10" t="s">
        <v>52</v>
      </c>
      <c r="V358" s="2" t="s">
        <v>77</v>
      </c>
      <c r="W358" s="2">
        <v>10</v>
      </c>
      <c r="X358" s="2" t="s">
        <v>44</v>
      </c>
      <c r="Y358" s="2">
        <v>1</v>
      </c>
      <c r="Z358" s="2" t="s">
        <v>54</v>
      </c>
    </row>
    <row r="359" spans="1:26" x14ac:dyDescent="0.35">
      <c r="A359" s="2" t="s">
        <v>726</v>
      </c>
      <c r="B359" s="3">
        <v>45907</v>
      </c>
      <c r="C359" s="2" t="s">
        <v>727</v>
      </c>
      <c r="D359" s="2" t="s">
        <v>28</v>
      </c>
      <c r="E359" s="2" t="s">
        <v>41</v>
      </c>
      <c r="F359" s="2">
        <v>35</v>
      </c>
      <c r="G359" s="2" t="s">
        <v>81</v>
      </c>
      <c r="H359" s="2" t="s">
        <v>31</v>
      </c>
      <c r="I359" s="2" t="s">
        <v>81</v>
      </c>
      <c r="J359" s="2" t="s">
        <v>65</v>
      </c>
      <c r="K359" s="2">
        <v>1</v>
      </c>
      <c r="L359" s="2">
        <v>31904</v>
      </c>
      <c r="M359" s="2">
        <v>5</v>
      </c>
      <c r="N359" s="2">
        <v>1595.2</v>
      </c>
      <c r="O359" s="2">
        <v>5455.58</v>
      </c>
      <c r="P359" s="2">
        <v>374</v>
      </c>
      <c r="Q359" s="2">
        <v>36138.379999999997</v>
      </c>
      <c r="R359" s="2" t="s">
        <v>51</v>
      </c>
      <c r="S359" s="2" t="s">
        <v>59</v>
      </c>
      <c r="T359" s="9" t="s">
        <v>1708</v>
      </c>
      <c r="U359" s="10" t="s">
        <v>52</v>
      </c>
      <c r="V359" s="2" t="s">
        <v>77</v>
      </c>
      <c r="W359" s="2">
        <v>6</v>
      </c>
      <c r="X359" s="2" t="s">
        <v>44</v>
      </c>
      <c r="Y359" s="2">
        <v>3</v>
      </c>
      <c r="Z359" s="2" t="s">
        <v>44</v>
      </c>
    </row>
    <row r="360" spans="1:26" x14ac:dyDescent="0.35">
      <c r="A360" s="2" t="s">
        <v>728</v>
      </c>
      <c r="B360" s="3">
        <v>46081</v>
      </c>
      <c r="C360" s="2" t="s">
        <v>729</v>
      </c>
      <c r="D360" s="2" t="s">
        <v>96</v>
      </c>
      <c r="E360" s="2" t="s">
        <v>41</v>
      </c>
      <c r="F360" s="2">
        <v>46</v>
      </c>
      <c r="G360" s="2" t="s">
        <v>122</v>
      </c>
      <c r="H360" s="2" t="s">
        <v>31</v>
      </c>
      <c r="I360" s="2" t="s">
        <v>122</v>
      </c>
      <c r="J360" s="2" t="s">
        <v>113</v>
      </c>
      <c r="K360" s="2">
        <v>1</v>
      </c>
      <c r="L360" s="2">
        <v>33120</v>
      </c>
      <c r="M360" s="2">
        <v>0</v>
      </c>
      <c r="N360" s="2">
        <v>0</v>
      </c>
      <c r="O360" s="2">
        <v>5961.6</v>
      </c>
      <c r="P360" s="2">
        <v>154</v>
      </c>
      <c r="Q360" s="2">
        <v>39235.599999999999</v>
      </c>
      <c r="R360" s="2" t="s">
        <v>76</v>
      </c>
      <c r="S360" s="2" t="s">
        <v>59</v>
      </c>
      <c r="T360" s="9" t="s">
        <v>1708</v>
      </c>
      <c r="U360" s="10" t="s">
        <v>52</v>
      </c>
      <c r="V360" s="2" t="s">
        <v>77</v>
      </c>
      <c r="W360" s="2">
        <v>2</v>
      </c>
      <c r="X360" s="2" t="s">
        <v>44</v>
      </c>
      <c r="Y360" s="2">
        <v>4</v>
      </c>
      <c r="Z360" s="2" t="s">
        <v>54</v>
      </c>
    </row>
    <row r="361" spans="1:26" x14ac:dyDescent="0.35">
      <c r="A361" s="2" t="s">
        <v>730</v>
      </c>
      <c r="B361" s="3">
        <v>45899</v>
      </c>
      <c r="C361" s="2" t="s">
        <v>731</v>
      </c>
      <c r="D361" s="2" t="s">
        <v>57</v>
      </c>
      <c r="E361" s="2" t="s">
        <v>41</v>
      </c>
      <c r="F361" s="2">
        <v>47</v>
      </c>
      <c r="G361" s="2" t="s">
        <v>42</v>
      </c>
      <c r="H361" s="2" t="s">
        <v>31</v>
      </c>
      <c r="I361" s="2" t="s">
        <v>42</v>
      </c>
      <c r="J361" s="2" t="s">
        <v>70</v>
      </c>
      <c r="K361" s="2">
        <v>2</v>
      </c>
      <c r="L361" s="2">
        <v>39261</v>
      </c>
      <c r="M361" s="2">
        <v>0</v>
      </c>
      <c r="N361" s="2">
        <v>0</v>
      </c>
      <c r="O361" s="2">
        <v>14133.96</v>
      </c>
      <c r="P361" s="2">
        <v>437</v>
      </c>
      <c r="Q361" s="2">
        <v>93092.96</v>
      </c>
      <c r="R361" s="2" t="s">
        <v>51</v>
      </c>
      <c r="S361" s="2" t="s">
        <v>59</v>
      </c>
      <c r="T361" s="9" t="s">
        <v>1708</v>
      </c>
      <c r="U361" s="10" t="s">
        <v>52</v>
      </c>
      <c r="V361" s="2" t="s">
        <v>77</v>
      </c>
      <c r="W361" s="2">
        <v>8</v>
      </c>
      <c r="X361" s="2" t="s">
        <v>44</v>
      </c>
      <c r="Y361" s="2">
        <v>1</v>
      </c>
      <c r="Z361" s="2" t="s">
        <v>44</v>
      </c>
    </row>
    <row r="362" spans="1:26" x14ac:dyDescent="0.35">
      <c r="A362" s="2" t="s">
        <v>732</v>
      </c>
      <c r="B362" s="3">
        <v>45990</v>
      </c>
      <c r="C362" s="2" t="s">
        <v>733</v>
      </c>
      <c r="D362" s="2" t="s">
        <v>73</v>
      </c>
      <c r="E362" s="2" t="s">
        <v>41</v>
      </c>
      <c r="F362" s="2">
        <v>56</v>
      </c>
      <c r="G362" s="2" t="s">
        <v>63</v>
      </c>
      <c r="H362" s="2" t="s">
        <v>64</v>
      </c>
      <c r="I362" s="2" t="s">
        <v>63</v>
      </c>
      <c r="J362" s="2" t="s">
        <v>50</v>
      </c>
      <c r="K362" s="2">
        <v>4</v>
      </c>
      <c r="L362" s="2">
        <v>20027</v>
      </c>
      <c r="M362" s="2">
        <v>10</v>
      </c>
      <c r="N362" s="2">
        <v>8010.8</v>
      </c>
      <c r="O362" s="2">
        <v>12977.5</v>
      </c>
      <c r="P362" s="2">
        <v>0</v>
      </c>
      <c r="Q362" s="2">
        <v>85074.7</v>
      </c>
      <c r="R362" s="2" t="s">
        <v>43</v>
      </c>
      <c r="S362" s="2" t="s">
        <v>59</v>
      </c>
      <c r="T362" s="9" t="s">
        <v>1710</v>
      </c>
      <c r="U362" s="10" t="s">
        <v>1711</v>
      </c>
      <c r="V362" s="2" t="s">
        <v>53</v>
      </c>
      <c r="W362" s="2">
        <v>1</v>
      </c>
      <c r="X362" s="2" t="s">
        <v>36</v>
      </c>
      <c r="Y362" s="2">
        <v>5</v>
      </c>
      <c r="Z362" s="2" t="s">
        <v>82</v>
      </c>
    </row>
    <row r="363" spans="1:26" x14ac:dyDescent="0.35">
      <c r="A363" s="2" t="s">
        <v>734</v>
      </c>
      <c r="B363" s="3">
        <v>45877</v>
      </c>
      <c r="C363" s="2" t="s">
        <v>735</v>
      </c>
      <c r="D363" s="2" t="s">
        <v>62</v>
      </c>
      <c r="E363" s="2" t="s">
        <v>29</v>
      </c>
      <c r="F363" s="2">
        <v>33</v>
      </c>
      <c r="G363" s="2" t="s">
        <v>127</v>
      </c>
      <c r="H363" s="2" t="s">
        <v>31</v>
      </c>
      <c r="I363" s="2" t="s">
        <v>127</v>
      </c>
      <c r="J363" s="2" t="s">
        <v>65</v>
      </c>
      <c r="K363" s="2">
        <v>2</v>
      </c>
      <c r="L363" s="2">
        <v>29124</v>
      </c>
      <c r="M363" s="2">
        <v>0</v>
      </c>
      <c r="N363" s="2">
        <v>0</v>
      </c>
      <c r="O363" s="2">
        <v>10484.64</v>
      </c>
      <c r="P363" s="2">
        <v>260</v>
      </c>
      <c r="Q363" s="2">
        <v>68992.639999999999</v>
      </c>
      <c r="R363" s="2" t="s">
        <v>33</v>
      </c>
      <c r="S363" s="2" t="s">
        <v>59</v>
      </c>
      <c r="T363" s="9" t="s">
        <v>1710</v>
      </c>
      <c r="U363" s="10" t="s">
        <v>1711</v>
      </c>
      <c r="V363" s="2" t="s">
        <v>53</v>
      </c>
      <c r="W363" s="2">
        <v>8</v>
      </c>
      <c r="X363" s="2" t="s">
        <v>36</v>
      </c>
      <c r="Y363" s="2">
        <v>5</v>
      </c>
      <c r="Z363" s="2" t="s">
        <v>54</v>
      </c>
    </row>
    <row r="364" spans="1:26" x14ac:dyDescent="0.35">
      <c r="A364" s="2" t="s">
        <v>736</v>
      </c>
      <c r="B364" s="3">
        <v>46029</v>
      </c>
      <c r="C364" s="2" t="s">
        <v>737</v>
      </c>
      <c r="D364" s="2" t="s">
        <v>80</v>
      </c>
      <c r="E364" s="2" t="s">
        <v>29</v>
      </c>
      <c r="F364" s="2">
        <v>24</v>
      </c>
      <c r="G364" s="2" t="s">
        <v>63</v>
      </c>
      <c r="H364" s="2" t="s">
        <v>64</v>
      </c>
      <c r="I364" s="2" t="s">
        <v>63</v>
      </c>
      <c r="J364" s="2" t="s">
        <v>138</v>
      </c>
      <c r="K364" s="2">
        <v>3</v>
      </c>
      <c r="L364" s="2">
        <v>34423</v>
      </c>
      <c r="M364" s="2">
        <v>10</v>
      </c>
      <c r="N364" s="2">
        <v>10326.9</v>
      </c>
      <c r="O364" s="2">
        <v>16729.580000000002</v>
      </c>
      <c r="P364" s="2">
        <v>223</v>
      </c>
      <c r="Q364" s="2">
        <v>109894.68</v>
      </c>
      <c r="R364" s="2" t="s">
        <v>76</v>
      </c>
      <c r="S364" s="2" t="s">
        <v>34</v>
      </c>
      <c r="T364" s="9" t="s">
        <v>1709</v>
      </c>
      <c r="U364" s="10" t="s">
        <v>52</v>
      </c>
      <c r="V364" s="2" t="s">
        <v>53</v>
      </c>
      <c r="W364" s="2">
        <v>7</v>
      </c>
      <c r="X364" s="2" t="s">
        <v>44</v>
      </c>
      <c r="Y364" s="2">
        <v>4</v>
      </c>
      <c r="Z364" s="2" t="s">
        <v>82</v>
      </c>
    </row>
    <row r="365" spans="1:26" x14ac:dyDescent="0.35">
      <c r="A365" s="2" t="s">
        <v>738</v>
      </c>
      <c r="B365" s="3">
        <v>46027</v>
      </c>
      <c r="C365" s="2" t="s">
        <v>268</v>
      </c>
      <c r="D365" s="2" t="s">
        <v>96</v>
      </c>
      <c r="E365" s="2" t="s">
        <v>41</v>
      </c>
      <c r="F365" s="2">
        <v>36</v>
      </c>
      <c r="G365" s="2" t="s">
        <v>69</v>
      </c>
      <c r="H365" s="2" t="s">
        <v>31</v>
      </c>
      <c r="I365" s="2" t="s">
        <v>69</v>
      </c>
      <c r="J365" s="2" t="s">
        <v>190</v>
      </c>
      <c r="K365" s="2">
        <v>4</v>
      </c>
      <c r="L365" s="2">
        <v>33019</v>
      </c>
      <c r="M365" s="2">
        <v>20</v>
      </c>
      <c r="N365" s="2">
        <v>26415.200000000001</v>
      </c>
      <c r="O365" s="2">
        <v>19018.939999999999</v>
      </c>
      <c r="P365" s="2">
        <v>47</v>
      </c>
      <c r="Q365" s="2">
        <v>124726.74</v>
      </c>
      <c r="R365" s="2" t="s">
        <v>51</v>
      </c>
      <c r="S365" s="2" t="s">
        <v>59</v>
      </c>
      <c r="T365" s="9" t="s">
        <v>1703</v>
      </c>
      <c r="U365" s="10" t="s">
        <v>1701</v>
      </c>
      <c r="V365" s="2" t="s">
        <v>35</v>
      </c>
      <c r="W365" s="2">
        <v>4</v>
      </c>
      <c r="X365" s="2" t="s">
        <v>36</v>
      </c>
      <c r="Y365" s="2">
        <v>2</v>
      </c>
      <c r="Z365" s="2" t="s">
        <v>82</v>
      </c>
    </row>
    <row r="366" spans="1:26" x14ac:dyDescent="0.35">
      <c r="A366" s="2" t="s">
        <v>739</v>
      </c>
      <c r="B366" s="3">
        <v>45957</v>
      </c>
      <c r="C366" s="2" t="s">
        <v>740</v>
      </c>
      <c r="D366" s="2" t="s">
        <v>96</v>
      </c>
      <c r="E366" s="2" t="s">
        <v>41</v>
      </c>
      <c r="F366" s="2">
        <v>40</v>
      </c>
      <c r="G366" s="2" t="s">
        <v>42</v>
      </c>
      <c r="H366" s="2" t="s">
        <v>31</v>
      </c>
      <c r="I366" s="2" t="s">
        <v>42</v>
      </c>
      <c r="J366" s="2" t="s">
        <v>70</v>
      </c>
      <c r="K366" s="2">
        <v>3</v>
      </c>
      <c r="L366" s="2">
        <v>42953</v>
      </c>
      <c r="M366" s="2">
        <v>5</v>
      </c>
      <c r="N366" s="2">
        <v>6442.95</v>
      </c>
      <c r="O366" s="2">
        <v>22034.89</v>
      </c>
      <c r="P366" s="2">
        <v>312</v>
      </c>
      <c r="Q366" s="2">
        <v>144762.94</v>
      </c>
      <c r="R366" s="2" t="s">
        <v>33</v>
      </c>
      <c r="S366" s="2" t="s">
        <v>59</v>
      </c>
      <c r="T366" s="9" t="s">
        <v>1710</v>
      </c>
      <c r="U366" s="10" t="s">
        <v>1711</v>
      </c>
      <c r="V366" s="2" t="s">
        <v>53</v>
      </c>
      <c r="W366" s="2">
        <v>10</v>
      </c>
      <c r="X366" s="2" t="s">
        <v>44</v>
      </c>
      <c r="Y366" s="2">
        <v>1</v>
      </c>
      <c r="Z366" s="2" t="s">
        <v>82</v>
      </c>
    </row>
    <row r="367" spans="1:26" x14ac:dyDescent="0.35">
      <c r="A367" s="2" t="s">
        <v>741</v>
      </c>
      <c r="B367" s="3">
        <v>45862</v>
      </c>
      <c r="C367" s="2" t="s">
        <v>742</v>
      </c>
      <c r="D367" s="2" t="s">
        <v>99</v>
      </c>
      <c r="E367" s="2" t="s">
        <v>29</v>
      </c>
      <c r="F367" s="2">
        <v>34</v>
      </c>
      <c r="G367" s="2" t="s">
        <v>88</v>
      </c>
      <c r="H367" s="2" t="s">
        <v>49</v>
      </c>
      <c r="I367" s="2" t="s">
        <v>88</v>
      </c>
      <c r="J367" s="2" t="s">
        <v>32</v>
      </c>
      <c r="K367" s="2">
        <v>4</v>
      </c>
      <c r="L367" s="2">
        <v>20988</v>
      </c>
      <c r="M367" s="2">
        <v>10</v>
      </c>
      <c r="N367" s="2">
        <v>8395.2000000000007</v>
      </c>
      <c r="O367" s="2">
        <v>13600.22</v>
      </c>
      <c r="P367" s="2">
        <v>300</v>
      </c>
      <c r="Q367" s="2">
        <v>89457.02</v>
      </c>
      <c r="R367" s="2" t="s">
        <v>43</v>
      </c>
      <c r="S367" s="2" t="s">
        <v>59</v>
      </c>
      <c r="T367" s="9" t="s">
        <v>1709</v>
      </c>
      <c r="U367" s="10" t="s">
        <v>52</v>
      </c>
      <c r="V367" s="2" t="s">
        <v>53</v>
      </c>
      <c r="W367" s="2">
        <v>8</v>
      </c>
      <c r="X367" s="2" t="s">
        <v>36</v>
      </c>
      <c r="Y367" s="2">
        <v>3</v>
      </c>
      <c r="Z367" s="2" t="s">
        <v>82</v>
      </c>
    </row>
    <row r="368" spans="1:26" x14ac:dyDescent="0.35">
      <c r="A368" s="2" t="s">
        <v>743</v>
      </c>
      <c r="B368" s="3">
        <v>45909</v>
      </c>
      <c r="C368" s="2" t="s">
        <v>744</v>
      </c>
      <c r="D368" s="2" t="s">
        <v>62</v>
      </c>
      <c r="E368" s="2" t="s">
        <v>29</v>
      </c>
      <c r="F368" s="2">
        <v>40</v>
      </c>
      <c r="G368" s="2" t="s">
        <v>42</v>
      </c>
      <c r="H368" s="2" t="s">
        <v>31</v>
      </c>
      <c r="I368" s="2" t="s">
        <v>42</v>
      </c>
      <c r="J368" s="2" t="s">
        <v>32</v>
      </c>
      <c r="K368" s="2">
        <v>5</v>
      </c>
      <c r="L368" s="2">
        <v>29902</v>
      </c>
      <c r="M368" s="2">
        <v>0</v>
      </c>
      <c r="N368" s="2">
        <v>0</v>
      </c>
      <c r="O368" s="2">
        <v>26911.8</v>
      </c>
      <c r="P368" s="2">
        <v>252</v>
      </c>
      <c r="Q368" s="2">
        <v>176673.8</v>
      </c>
      <c r="R368" s="2" t="s">
        <v>43</v>
      </c>
      <c r="S368" s="2" t="s">
        <v>34</v>
      </c>
      <c r="T368" s="9" t="s">
        <v>1709</v>
      </c>
      <c r="U368" s="10" t="s">
        <v>52</v>
      </c>
      <c r="V368" s="2" t="s">
        <v>53</v>
      </c>
      <c r="W368" s="2">
        <v>4</v>
      </c>
      <c r="X368" s="2" t="s">
        <v>36</v>
      </c>
      <c r="Y368" s="2">
        <v>2</v>
      </c>
      <c r="Z368" s="2" t="s">
        <v>82</v>
      </c>
    </row>
    <row r="369" spans="1:26" x14ac:dyDescent="0.35">
      <c r="A369" s="2" t="s">
        <v>745</v>
      </c>
      <c r="B369" s="3">
        <v>46010</v>
      </c>
      <c r="C369" s="2" t="s">
        <v>746</v>
      </c>
      <c r="D369" s="2" t="s">
        <v>62</v>
      </c>
      <c r="E369" s="2" t="s">
        <v>41</v>
      </c>
      <c r="F369" s="2">
        <v>35</v>
      </c>
      <c r="G369" s="2" t="s">
        <v>81</v>
      </c>
      <c r="H369" s="2" t="s">
        <v>31</v>
      </c>
      <c r="I369" s="2" t="s">
        <v>81</v>
      </c>
      <c r="J369" s="2" t="s">
        <v>32</v>
      </c>
      <c r="K369" s="2">
        <v>5</v>
      </c>
      <c r="L369" s="2">
        <v>8265</v>
      </c>
      <c r="M369" s="2">
        <v>20</v>
      </c>
      <c r="N369" s="2">
        <v>8265</v>
      </c>
      <c r="O369" s="2">
        <v>5950.8</v>
      </c>
      <c r="P369" s="2">
        <v>487</v>
      </c>
      <c r="Q369" s="2">
        <v>39497.800000000003</v>
      </c>
      <c r="R369" s="2" t="s">
        <v>76</v>
      </c>
      <c r="S369" s="2" t="s">
        <v>59</v>
      </c>
      <c r="T369" s="9" t="s">
        <v>1707</v>
      </c>
      <c r="U369" s="10" t="s">
        <v>1712</v>
      </c>
      <c r="V369" s="2" t="s">
        <v>53</v>
      </c>
      <c r="W369" s="2">
        <v>7</v>
      </c>
      <c r="X369" s="2" t="s">
        <v>44</v>
      </c>
      <c r="Y369" s="2">
        <v>2</v>
      </c>
      <c r="Z369" s="2" t="s">
        <v>37</v>
      </c>
    </row>
    <row r="370" spans="1:26" x14ac:dyDescent="0.35">
      <c r="A370" s="2" t="s">
        <v>747</v>
      </c>
      <c r="B370" s="3">
        <v>46118</v>
      </c>
      <c r="C370" s="2" t="s">
        <v>338</v>
      </c>
      <c r="D370" s="2" t="s">
        <v>28</v>
      </c>
      <c r="E370" s="2" t="s">
        <v>29</v>
      </c>
      <c r="F370" s="2">
        <v>31</v>
      </c>
      <c r="G370" s="2" t="s">
        <v>127</v>
      </c>
      <c r="H370" s="2" t="s">
        <v>31</v>
      </c>
      <c r="I370" s="2" t="s">
        <v>127</v>
      </c>
      <c r="J370" s="2" t="s">
        <v>50</v>
      </c>
      <c r="K370" s="2">
        <v>1</v>
      </c>
      <c r="L370" s="2">
        <v>44313</v>
      </c>
      <c r="M370" s="2">
        <v>10</v>
      </c>
      <c r="N370" s="2">
        <v>4431.3</v>
      </c>
      <c r="O370" s="2">
        <v>7178.71</v>
      </c>
      <c r="P370" s="2">
        <v>103</v>
      </c>
      <c r="Q370" s="2">
        <v>47163.41</v>
      </c>
      <c r="R370" s="2" t="s">
        <v>43</v>
      </c>
      <c r="S370" s="2" t="s">
        <v>34</v>
      </c>
      <c r="T370" s="9" t="s">
        <v>1708</v>
      </c>
      <c r="U370" s="10" t="s">
        <v>52</v>
      </c>
      <c r="V370" s="2" t="s">
        <v>77</v>
      </c>
      <c r="W370" s="2">
        <v>1</v>
      </c>
      <c r="X370" s="2" t="s">
        <v>44</v>
      </c>
      <c r="Y370" s="2">
        <v>5</v>
      </c>
      <c r="Z370" s="2" t="s">
        <v>82</v>
      </c>
    </row>
    <row r="371" spans="1:26" x14ac:dyDescent="0.35">
      <c r="A371" s="2" t="s">
        <v>748</v>
      </c>
      <c r="B371" s="3">
        <v>45886</v>
      </c>
      <c r="C371" s="2" t="s">
        <v>749</v>
      </c>
      <c r="D371" s="2" t="s">
        <v>80</v>
      </c>
      <c r="E371" s="2" t="s">
        <v>41</v>
      </c>
      <c r="F371" s="2">
        <v>35</v>
      </c>
      <c r="G371" s="2" t="s">
        <v>81</v>
      </c>
      <c r="H371" s="2" t="s">
        <v>31</v>
      </c>
      <c r="I371" s="2" t="s">
        <v>81</v>
      </c>
      <c r="J371" s="2" t="s">
        <v>138</v>
      </c>
      <c r="K371" s="2">
        <v>5</v>
      </c>
      <c r="L371" s="2">
        <v>30235</v>
      </c>
      <c r="M371" s="2">
        <v>20</v>
      </c>
      <c r="N371" s="2">
        <v>30235</v>
      </c>
      <c r="O371" s="2">
        <v>21769.200000000001</v>
      </c>
      <c r="P371" s="2">
        <v>120</v>
      </c>
      <c r="Q371" s="2">
        <v>142829.20000000001</v>
      </c>
      <c r="R371" s="2" t="s">
        <v>51</v>
      </c>
      <c r="S371" s="2" t="s">
        <v>34</v>
      </c>
      <c r="T371" s="9" t="s">
        <v>1709</v>
      </c>
      <c r="U371" s="10" t="s">
        <v>52</v>
      </c>
      <c r="V371" s="2" t="s">
        <v>53</v>
      </c>
      <c r="W371" s="2">
        <v>4</v>
      </c>
      <c r="X371" s="2" t="s">
        <v>36</v>
      </c>
      <c r="Y371" s="2">
        <v>1</v>
      </c>
      <c r="Z371" s="2" t="s">
        <v>54</v>
      </c>
    </row>
    <row r="372" spans="1:26" x14ac:dyDescent="0.35">
      <c r="A372" s="2" t="s">
        <v>750</v>
      </c>
      <c r="B372" s="3">
        <v>45789</v>
      </c>
      <c r="C372" s="2" t="s">
        <v>751</v>
      </c>
      <c r="D372" s="2" t="s">
        <v>57</v>
      </c>
      <c r="E372" s="2" t="s">
        <v>41</v>
      </c>
      <c r="F372" s="2">
        <v>40</v>
      </c>
      <c r="G372" s="2" t="s">
        <v>85</v>
      </c>
      <c r="H372" s="2" t="s">
        <v>31</v>
      </c>
      <c r="I372" s="2" t="s">
        <v>85</v>
      </c>
      <c r="J372" s="2" t="s">
        <v>100</v>
      </c>
      <c r="K372" s="2">
        <v>1</v>
      </c>
      <c r="L372" s="2">
        <v>47817</v>
      </c>
      <c r="M372" s="2">
        <v>20</v>
      </c>
      <c r="N372" s="2">
        <v>9563.4</v>
      </c>
      <c r="O372" s="2">
        <v>6885.65</v>
      </c>
      <c r="P372" s="2">
        <v>434</v>
      </c>
      <c r="Q372" s="2">
        <v>45573.25</v>
      </c>
      <c r="R372" s="2" t="s">
        <v>51</v>
      </c>
      <c r="S372" s="2" t="s">
        <v>34</v>
      </c>
      <c r="T372" s="9" t="s">
        <v>1703</v>
      </c>
      <c r="U372" s="10" t="s">
        <v>1701</v>
      </c>
      <c r="V372" s="2" t="s">
        <v>35</v>
      </c>
      <c r="W372" s="2">
        <v>1</v>
      </c>
      <c r="X372" s="2" t="s">
        <v>36</v>
      </c>
      <c r="Y372" s="2">
        <v>2</v>
      </c>
      <c r="Z372" s="2" t="s">
        <v>37</v>
      </c>
    </row>
    <row r="373" spans="1:26" x14ac:dyDescent="0.35">
      <c r="A373" s="2" t="s">
        <v>752</v>
      </c>
      <c r="B373" s="3">
        <v>45974</v>
      </c>
      <c r="C373" s="2" t="s">
        <v>753</v>
      </c>
      <c r="D373" s="2" t="s">
        <v>99</v>
      </c>
      <c r="E373" s="2" t="s">
        <v>41</v>
      </c>
      <c r="F373" s="2">
        <v>18</v>
      </c>
      <c r="G373" s="2" t="s">
        <v>48</v>
      </c>
      <c r="H373" s="2" t="s">
        <v>49</v>
      </c>
      <c r="I373" s="2" t="s">
        <v>48</v>
      </c>
      <c r="J373" s="2" t="s">
        <v>91</v>
      </c>
      <c r="K373" s="2">
        <v>3</v>
      </c>
      <c r="L373" s="2">
        <v>3210</v>
      </c>
      <c r="M373" s="2">
        <v>0</v>
      </c>
      <c r="N373" s="2">
        <v>0</v>
      </c>
      <c r="O373" s="2">
        <v>1733.4</v>
      </c>
      <c r="P373" s="2">
        <v>177</v>
      </c>
      <c r="Q373" s="2">
        <v>11540.4</v>
      </c>
      <c r="R373" s="2" t="s">
        <v>33</v>
      </c>
      <c r="S373" s="2" t="s">
        <v>34</v>
      </c>
      <c r="T373" s="9" t="s">
        <v>1706</v>
      </c>
      <c r="U373" s="10" t="s">
        <v>52</v>
      </c>
      <c r="V373" s="2" t="s">
        <v>53</v>
      </c>
      <c r="W373" s="2">
        <v>7</v>
      </c>
      <c r="X373" s="2" t="s">
        <v>36</v>
      </c>
      <c r="Y373" s="2">
        <v>1</v>
      </c>
      <c r="Z373" s="2" t="s">
        <v>44</v>
      </c>
    </row>
    <row r="374" spans="1:26" x14ac:dyDescent="0.35">
      <c r="A374" s="2" t="s">
        <v>754</v>
      </c>
      <c r="B374" s="3">
        <v>45880</v>
      </c>
      <c r="C374" s="2" t="s">
        <v>464</v>
      </c>
      <c r="D374" s="2" t="s">
        <v>80</v>
      </c>
      <c r="E374" s="2" t="s">
        <v>29</v>
      </c>
      <c r="F374" s="2">
        <v>37</v>
      </c>
      <c r="G374" s="2" t="s">
        <v>63</v>
      </c>
      <c r="H374" s="2" t="s">
        <v>64</v>
      </c>
      <c r="I374" s="2" t="s">
        <v>63</v>
      </c>
      <c r="J374" s="2" t="s">
        <v>113</v>
      </c>
      <c r="K374" s="2">
        <v>3</v>
      </c>
      <c r="L374" s="2">
        <v>9055</v>
      </c>
      <c r="M374" s="2">
        <v>0</v>
      </c>
      <c r="N374" s="2">
        <v>0</v>
      </c>
      <c r="O374" s="2">
        <v>4889.7</v>
      </c>
      <c r="P374" s="2">
        <v>444</v>
      </c>
      <c r="Q374" s="2">
        <v>32498.7</v>
      </c>
      <c r="R374" s="2" t="s">
        <v>33</v>
      </c>
      <c r="S374" s="2" t="s">
        <v>34</v>
      </c>
      <c r="T374" s="9" t="s">
        <v>1709</v>
      </c>
      <c r="U374" s="10" t="s">
        <v>52</v>
      </c>
      <c r="V374" s="2" t="s">
        <v>53</v>
      </c>
      <c r="W374" s="2">
        <v>4</v>
      </c>
      <c r="X374" s="2" t="s">
        <v>36</v>
      </c>
      <c r="Y374" s="2">
        <v>2</v>
      </c>
      <c r="Z374" s="2" t="s">
        <v>82</v>
      </c>
    </row>
    <row r="375" spans="1:26" x14ac:dyDescent="0.35">
      <c r="A375" s="2" t="s">
        <v>755</v>
      </c>
      <c r="B375" s="3">
        <v>45878</v>
      </c>
      <c r="C375" s="2" t="s">
        <v>756</v>
      </c>
      <c r="D375" s="2" t="s">
        <v>40</v>
      </c>
      <c r="E375" s="2" t="s">
        <v>29</v>
      </c>
      <c r="F375" s="2">
        <v>48</v>
      </c>
      <c r="G375" s="2" t="s">
        <v>127</v>
      </c>
      <c r="H375" s="2" t="s">
        <v>31</v>
      </c>
      <c r="I375" s="2" t="s">
        <v>127</v>
      </c>
      <c r="J375" s="2" t="s">
        <v>113</v>
      </c>
      <c r="K375" s="2">
        <v>5</v>
      </c>
      <c r="L375" s="2">
        <v>28376</v>
      </c>
      <c r="M375" s="2">
        <v>10</v>
      </c>
      <c r="N375" s="2">
        <v>14188</v>
      </c>
      <c r="O375" s="2">
        <v>22984.560000000001</v>
      </c>
      <c r="P375" s="2">
        <v>491</v>
      </c>
      <c r="Q375" s="2">
        <v>151167.56</v>
      </c>
      <c r="R375" s="2" t="s">
        <v>51</v>
      </c>
      <c r="S375" s="2" t="s">
        <v>34</v>
      </c>
      <c r="T375" s="9" t="s">
        <v>1709</v>
      </c>
      <c r="U375" s="10" t="s">
        <v>52</v>
      </c>
      <c r="V375" s="2" t="s">
        <v>53</v>
      </c>
      <c r="W375" s="2">
        <v>2</v>
      </c>
      <c r="X375" s="2" t="s">
        <v>44</v>
      </c>
      <c r="Y375" s="2">
        <v>4</v>
      </c>
      <c r="Z375" s="2" t="s">
        <v>82</v>
      </c>
    </row>
    <row r="376" spans="1:26" x14ac:dyDescent="0.35">
      <c r="A376" s="2" t="s">
        <v>757</v>
      </c>
      <c r="B376" s="3">
        <v>45917</v>
      </c>
      <c r="C376" s="2" t="s">
        <v>758</v>
      </c>
      <c r="D376" s="2" t="s">
        <v>40</v>
      </c>
      <c r="E376" s="2" t="s">
        <v>41</v>
      </c>
      <c r="F376" s="2">
        <v>59</v>
      </c>
      <c r="G376" s="2" t="s">
        <v>63</v>
      </c>
      <c r="H376" s="2" t="s">
        <v>64</v>
      </c>
      <c r="I376" s="2" t="s">
        <v>63</v>
      </c>
      <c r="J376" s="2" t="s">
        <v>113</v>
      </c>
      <c r="K376" s="2">
        <v>1</v>
      </c>
      <c r="L376" s="2">
        <v>32505</v>
      </c>
      <c r="M376" s="2">
        <v>20</v>
      </c>
      <c r="N376" s="2">
        <v>6501</v>
      </c>
      <c r="O376" s="2">
        <v>4680.72</v>
      </c>
      <c r="P376" s="2">
        <v>395</v>
      </c>
      <c r="Q376" s="2">
        <v>31079.72</v>
      </c>
      <c r="R376" s="2" t="s">
        <v>43</v>
      </c>
      <c r="S376" s="2" t="s">
        <v>34</v>
      </c>
      <c r="T376" s="9" t="s">
        <v>1710</v>
      </c>
      <c r="U376" s="10" t="s">
        <v>1711</v>
      </c>
      <c r="V376" s="2" t="s">
        <v>53</v>
      </c>
      <c r="W376" s="2">
        <v>3</v>
      </c>
      <c r="X376" s="2" t="s">
        <v>36</v>
      </c>
      <c r="Y376" s="2">
        <v>1</v>
      </c>
      <c r="Z376" s="2" t="s">
        <v>44</v>
      </c>
    </row>
    <row r="377" spans="1:26" x14ac:dyDescent="0.35">
      <c r="A377" s="2" t="s">
        <v>759</v>
      </c>
      <c r="B377" s="3">
        <v>45959</v>
      </c>
      <c r="C377" s="2" t="s">
        <v>760</v>
      </c>
      <c r="D377" s="2" t="s">
        <v>57</v>
      </c>
      <c r="E377" s="2" t="s">
        <v>29</v>
      </c>
      <c r="F377" s="2">
        <v>37</v>
      </c>
      <c r="G377" s="2" t="s">
        <v>127</v>
      </c>
      <c r="H377" s="2" t="s">
        <v>31</v>
      </c>
      <c r="I377" s="2" t="s">
        <v>127</v>
      </c>
      <c r="J377" s="2" t="s">
        <v>58</v>
      </c>
      <c r="K377" s="2">
        <v>4</v>
      </c>
      <c r="L377" s="2">
        <v>38052</v>
      </c>
      <c r="M377" s="2">
        <v>15</v>
      </c>
      <c r="N377" s="2">
        <v>22831.200000000001</v>
      </c>
      <c r="O377" s="2">
        <v>23287.82</v>
      </c>
      <c r="P377" s="2">
        <v>488</v>
      </c>
      <c r="Q377" s="2">
        <v>153152.62</v>
      </c>
      <c r="R377" s="2" t="s">
        <v>76</v>
      </c>
      <c r="S377" s="2" t="s">
        <v>59</v>
      </c>
      <c r="T377" s="9" t="s">
        <v>1710</v>
      </c>
      <c r="U377" s="10" t="s">
        <v>1711</v>
      </c>
      <c r="V377" s="2" t="s">
        <v>53</v>
      </c>
      <c r="W377" s="2">
        <v>7</v>
      </c>
      <c r="X377" s="2" t="s">
        <v>44</v>
      </c>
      <c r="Y377" s="2">
        <v>2</v>
      </c>
      <c r="Z377" s="2" t="s">
        <v>37</v>
      </c>
    </row>
    <row r="378" spans="1:26" x14ac:dyDescent="0.35">
      <c r="A378" s="2" t="s">
        <v>761</v>
      </c>
      <c r="B378" s="3">
        <v>45805</v>
      </c>
      <c r="C378" s="2" t="s">
        <v>729</v>
      </c>
      <c r="D378" s="2" t="s">
        <v>96</v>
      </c>
      <c r="E378" s="2" t="s">
        <v>29</v>
      </c>
      <c r="F378" s="2">
        <v>50</v>
      </c>
      <c r="G378" s="2" t="s">
        <v>85</v>
      </c>
      <c r="H378" s="2" t="s">
        <v>31</v>
      </c>
      <c r="I378" s="2" t="s">
        <v>85</v>
      </c>
      <c r="J378" s="2" t="s">
        <v>190</v>
      </c>
      <c r="K378" s="2">
        <v>1</v>
      </c>
      <c r="L378" s="2">
        <v>44961</v>
      </c>
      <c r="M378" s="2">
        <v>5</v>
      </c>
      <c r="N378" s="2">
        <v>2248.0500000000002</v>
      </c>
      <c r="O378" s="2">
        <v>7688.33</v>
      </c>
      <c r="P378" s="2">
        <v>362</v>
      </c>
      <c r="Q378" s="2">
        <v>50763.28</v>
      </c>
      <c r="R378" s="2" t="s">
        <v>43</v>
      </c>
      <c r="S378" s="2" t="s">
        <v>59</v>
      </c>
      <c r="T378" s="9" t="s">
        <v>1709</v>
      </c>
      <c r="U378" s="10" t="s">
        <v>52</v>
      </c>
      <c r="V378" s="2" t="s">
        <v>53</v>
      </c>
      <c r="W378" s="2">
        <v>9</v>
      </c>
      <c r="X378" s="2" t="s">
        <v>36</v>
      </c>
      <c r="Y378" s="2">
        <v>3</v>
      </c>
      <c r="Z378" s="2" t="s">
        <v>82</v>
      </c>
    </row>
    <row r="379" spans="1:26" x14ac:dyDescent="0.35">
      <c r="A379" s="2" t="s">
        <v>762</v>
      </c>
      <c r="B379" s="3">
        <v>46015</v>
      </c>
      <c r="C379" s="2" t="s">
        <v>763</v>
      </c>
      <c r="D379" s="2" t="s">
        <v>68</v>
      </c>
      <c r="E379" s="2" t="s">
        <v>29</v>
      </c>
      <c r="F379" s="2">
        <v>30</v>
      </c>
      <c r="G379" s="2" t="s">
        <v>85</v>
      </c>
      <c r="H379" s="2" t="s">
        <v>31</v>
      </c>
      <c r="I379" s="2" t="s">
        <v>85</v>
      </c>
      <c r="J379" s="2" t="s">
        <v>138</v>
      </c>
      <c r="K379" s="2">
        <v>2</v>
      </c>
      <c r="L379" s="2">
        <v>33846</v>
      </c>
      <c r="M379" s="2">
        <v>0</v>
      </c>
      <c r="N379" s="2">
        <v>0</v>
      </c>
      <c r="O379" s="2">
        <v>12184.56</v>
      </c>
      <c r="P379" s="2">
        <v>189</v>
      </c>
      <c r="Q379" s="2">
        <v>80065.56</v>
      </c>
      <c r="R379" s="2" t="s">
        <v>76</v>
      </c>
      <c r="S379" s="2" t="s">
        <v>34</v>
      </c>
      <c r="T379" s="9" t="s">
        <v>1709</v>
      </c>
      <c r="U379" s="10" t="s">
        <v>52</v>
      </c>
      <c r="V379" s="2" t="s">
        <v>53</v>
      </c>
      <c r="W379" s="2">
        <v>2</v>
      </c>
      <c r="X379" s="2" t="s">
        <v>44</v>
      </c>
      <c r="Y379" s="2">
        <v>3</v>
      </c>
      <c r="Z379" s="2" t="s">
        <v>37</v>
      </c>
    </row>
    <row r="380" spans="1:26" x14ac:dyDescent="0.35">
      <c r="A380" s="2" t="s">
        <v>764</v>
      </c>
      <c r="B380" s="3">
        <v>46057</v>
      </c>
      <c r="C380" s="2" t="s">
        <v>713</v>
      </c>
      <c r="D380" s="2" t="s">
        <v>68</v>
      </c>
      <c r="E380" s="2" t="s">
        <v>41</v>
      </c>
      <c r="F380" s="2">
        <v>43</v>
      </c>
      <c r="G380" s="2" t="s">
        <v>81</v>
      </c>
      <c r="H380" s="2" t="s">
        <v>31</v>
      </c>
      <c r="I380" s="2" t="s">
        <v>81</v>
      </c>
      <c r="J380" s="2" t="s">
        <v>113</v>
      </c>
      <c r="K380" s="2">
        <v>4</v>
      </c>
      <c r="L380" s="2">
        <v>10257</v>
      </c>
      <c r="M380" s="2">
        <v>15</v>
      </c>
      <c r="N380" s="2">
        <v>6154.2</v>
      </c>
      <c r="O380" s="2">
        <v>6277.28</v>
      </c>
      <c r="P380" s="2">
        <v>295</v>
      </c>
      <c r="Q380" s="2">
        <v>41446.080000000002</v>
      </c>
      <c r="R380" s="2" t="s">
        <v>33</v>
      </c>
      <c r="S380" s="2" t="s">
        <v>59</v>
      </c>
      <c r="T380" s="9" t="s">
        <v>1705</v>
      </c>
      <c r="U380" s="10" t="s">
        <v>1702</v>
      </c>
      <c r="V380" s="2" t="s">
        <v>53</v>
      </c>
      <c r="W380" s="2">
        <v>7</v>
      </c>
      <c r="X380" s="2" t="s">
        <v>36</v>
      </c>
      <c r="Y380" s="2">
        <v>3</v>
      </c>
      <c r="Z380" s="2" t="s">
        <v>44</v>
      </c>
    </row>
    <row r="381" spans="1:26" x14ac:dyDescent="0.35">
      <c r="A381" s="2" t="s">
        <v>765</v>
      </c>
      <c r="B381" s="3">
        <v>46036</v>
      </c>
      <c r="C381" s="2" t="s">
        <v>766</v>
      </c>
      <c r="D381" s="2" t="s">
        <v>99</v>
      </c>
      <c r="E381" s="2" t="s">
        <v>29</v>
      </c>
      <c r="F381" s="2">
        <v>26</v>
      </c>
      <c r="G381" s="2" t="s">
        <v>127</v>
      </c>
      <c r="H381" s="2" t="s">
        <v>31</v>
      </c>
      <c r="I381" s="2" t="s">
        <v>127</v>
      </c>
      <c r="J381" s="2" t="s">
        <v>58</v>
      </c>
      <c r="K381" s="2">
        <v>5</v>
      </c>
      <c r="L381" s="2">
        <v>35399</v>
      </c>
      <c r="M381" s="2">
        <v>0</v>
      </c>
      <c r="N381" s="2">
        <v>0</v>
      </c>
      <c r="O381" s="2">
        <v>31859.1</v>
      </c>
      <c r="P381" s="2">
        <v>222</v>
      </c>
      <c r="Q381" s="2">
        <v>209076.1</v>
      </c>
      <c r="R381" s="2" t="s">
        <v>43</v>
      </c>
      <c r="S381" s="2" t="s">
        <v>59</v>
      </c>
      <c r="T381" s="9" t="s">
        <v>1708</v>
      </c>
      <c r="U381" s="10" t="s">
        <v>52</v>
      </c>
      <c r="V381" s="2" t="s">
        <v>77</v>
      </c>
      <c r="W381" s="2">
        <v>2</v>
      </c>
      <c r="X381" s="2" t="s">
        <v>44</v>
      </c>
      <c r="Y381" s="2">
        <v>4</v>
      </c>
      <c r="Z381" s="2" t="s">
        <v>82</v>
      </c>
    </row>
    <row r="382" spans="1:26" x14ac:dyDescent="0.35">
      <c r="A382" s="2" t="s">
        <v>767</v>
      </c>
      <c r="B382" s="3">
        <v>46018</v>
      </c>
      <c r="C382" s="2" t="s">
        <v>768</v>
      </c>
      <c r="D382" s="2" t="s">
        <v>99</v>
      </c>
      <c r="E382" s="2" t="s">
        <v>29</v>
      </c>
      <c r="F382" s="2">
        <v>48</v>
      </c>
      <c r="G382" s="2" t="s">
        <v>63</v>
      </c>
      <c r="H382" s="2" t="s">
        <v>64</v>
      </c>
      <c r="I382" s="2" t="s">
        <v>63</v>
      </c>
      <c r="J382" s="2" t="s">
        <v>113</v>
      </c>
      <c r="K382" s="2">
        <v>3</v>
      </c>
      <c r="L382" s="2">
        <v>38354</v>
      </c>
      <c r="M382" s="2">
        <v>5</v>
      </c>
      <c r="N382" s="2">
        <v>5753.1</v>
      </c>
      <c r="O382" s="2">
        <v>19675.599999999999</v>
      </c>
      <c r="P382" s="2">
        <v>229</v>
      </c>
      <c r="Q382" s="2">
        <v>129213.5</v>
      </c>
      <c r="R382" s="2" t="s">
        <v>33</v>
      </c>
      <c r="S382" s="2" t="s">
        <v>34</v>
      </c>
      <c r="T382" s="9" t="s">
        <v>1704</v>
      </c>
      <c r="U382" s="10" t="s">
        <v>52</v>
      </c>
      <c r="V382" s="2" t="s">
        <v>35</v>
      </c>
      <c r="W382" s="2">
        <v>3</v>
      </c>
      <c r="X382" s="2" t="s">
        <v>44</v>
      </c>
      <c r="Y382" s="2">
        <v>2</v>
      </c>
      <c r="Z382" s="2" t="s">
        <v>44</v>
      </c>
    </row>
    <row r="383" spans="1:26" x14ac:dyDescent="0.35">
      <c r="A383" s="2" t="s">
        <v>769</v>
      </c>
      <c r="B383" s="3">
        <v>46008</v>
      </c>
      <c r="C383" s="2" t="s">
        <v>770</v>
      </c>
      <c r="D383" s="2" t="s">
        <v>28</v>
      </c>
      <c r="E383" s="2" t="s">
        <v>29</v>
      </c>
      <c r="F383" s="2">
        <v>25</v>
      </c>
      <c r="G383" s="2" t="s">
        <v>81</v>
      </c>
      <c r="H383" s="2" t="s">
        <v>31</v>
      </c>
      <c r="I383" s="2" t="s">
        <v>81</v>
      </c>
      <c r="J383" s="2" t="s">
        <v>100</v>
      </c>
      <c r="K383" s="2">
        <v>3</v>
      </c>
      <c r="L383" s="2">
        <v>41789</v>
      </c>
      <c r="M383" s="2">
        <v>10</v>
      </c>
      <c r="N383" s="2">
        <v>12536.7</v>
      </c>
      <c r="O383" s="2">
        <v>20309.45</v>
      </c>
      <c r="P383" s="2">
        <v>460</v>
      </c>
      <c r="Q383" s="2">
        <v>133599.75</v>
      </c>
      <c r="R383" s="2" t="s">
        <v>33</v>
      </c>
      <c r="S383" s="2" t="s">
        <v>59</v>
      </c>
      <c r="T383" s="9" t="s">
        <v>1704</v>
      </c>
      <c r="U383" s="10" t="s">
        <v>52</v>
      </c>
      <c r="V383" s="2" t="s">
        <v>35</v>
      </c>
      <c r="W383" s="2">
        <v>1</v>
      </c>
      <c r="X383" s="2" t="s">
        <v>44</v>
      </c>
      <c r="Y383" s="2">
        <v>4</v>
      </c>
      <c r="Z383" s="2" t="s">
        <v>82</v>
      </c>
    </row>
    <row r="384" spans="1:26" x14ac:dyDescent="0.35">
      <c r="A384" s="2" t="s">
        <v>771</v>
      </c>
      <c r="B384" s="3">
        <v>45802</v>
      </c>
      <c r="C384" s="2" t="s">
        <v>72</v>
      </c>
      <c r="D384" s="2" t="s">
        <v>80</v>
      </c>
      <c r="E384" s="2" t="s">
        <v>41</v>
      </c>
      <c r="F384" s="2">
        <v>50</v>
      </c>
      <c r="G384" s="2" t="s">
        <v>88</v>
      </c>
      <c r="H384" s="2" t="s">
        <v>49</v>
      </c>
      <c r="I384" s="2" t="s">
        <v>88</v>
      </c>
      <c r="J384" s="2" t="s">
        <v>32</v>
      </c>
      <c r="K384" s="2">
        <v>5</v>
      </c>
      <c r="L384" s="2">
        <v>40354</v>
      </c>
      <c r="M384" s="2">
        <v>15</v>
      </c>
      <c r="N384" s="2">
        <v>30265.5</v>
      </c>
      <c r="O384" s="2">
        <v>30870.81</v>
      </c>
      <c r="P384" s="2">
        <v>5</v>
      </c>
      <c r="Q384" s="2">
        <v>202380.31</v>
      </c>
      <c r="R384" s="2" t="s">
        <v>33</v>
      </c>
      <c r="S384" s="2" t="s">
        <v>34</v>
      </c>
      <c r="T384" s="9" t="s">
        <v>1706</v>
      </c>
      <c r="U384" s="10" t="s">
        <v>52</v>
      </c>
      <c r="V384" s="2" t="s">
        <v>53</v>
      </c>
      <c r="W384" s="2">
        <v>9</v>
      </c>
      <c r="X384" s="2" t="s">
        <v>36</v>
      </c>
      <c r="Y384" s="2">
        <v>5</v>
      </c>
      <c r="Z384" s="2" t="s">
        <v>82</v>
      </c>
    </row>
    <row r="385" spans="1:26" x14ac:dyDescent="0.35">
      <c r="A385" s="2" t="s">
        <v>772</v>
      </c>
      <c r="B385" s="3">
        <v>46007</v>
      </c>
      <c r="C385" s="2" t="s">
        <v>773</v>
      </c>
      <c r="D385" s="2" t="s">
        <v>96</v>
      </c>
      <c r="E385" s="2" t="s">
        <v>29</v>
      </c>
      <c r="F385" s="2">
        <v>57</v>
      </c>
      <c r="G385" s="2" t="s">
        <v>81</v>
      </c>
      <c r="H385" s="2" t="s">
        <v>31</v>
      </c>
      <c r="I385" s="2" t="s">
        <v>81</v>
      </c>
      <c r="J385" s="2" t="s">
        <v>100</v>
      </c>
      <c r="K385" s="2">
        <v>3</v>
      </c>
      <c r="L385" s="2">
        <v>44552</v>
      </c>
      <c r="M385" s="2">
        <v>20</v>
      </c>
      <c r="N385" s="2">
        <v>26731.200000000001</v>
      </c>
      <c r="O385" s="2">
        <v>19246.46</v>
      </c>
      <c r="P385" s="2">
        <v>222</v>
      </c>
      <c r="Q385" s="2">
        <v>126393.26</v>
      </c>
      <c r="R385" s="2" t="s">
        <v>43</v>
      </c>
      <c r="S385" s="2" t="s">
        <v>34</v>
      </c>
      <c r="T385" s="9" t="s">
        <v>1706</v>
      </c>
      <c r="U385" s="10" t="s">
        <v>52</v>
      </c>
      <c r="V385" s="2" t="s">
        <v>53</v>
      </c>
      <c r="W385" s="2">
        <v>2</v>
      </c>
      <c r="X385" s="2" t="s">
        <v>44</v>
      </c>
      <c r="Y385" s="2">
        <v>1</v>
      </c>
      <c r="Z385" s="2" t="s">
        <v>37</v>
      </c>
    </row>
    <row r="386" spans="1:26" x14ac:dyDescent="0.35">
      <c r="A386" s="2" t="s">
        <v>774</v>
      </c>
      <c r="B386" s="3">
        <v>45803</v>
      </c>
      <c r="C386" s="2" t="s">
        <v>775</v>
      </c>
      <c r="D386" s="2" t="s">
        <v>40</v>
      </c>
      <c r="E386" s="2" t="s">
        <v>41</v>
      </c>
      <c r="F386" s="2">
        <v>57</v>
      </c>
      <c r="G386" s="2" t="s">
        <v>69</v>
      </c>
      <c r="H386" s="2" t="s">
        <v>31</v>
      </c>
      <c r="I386" s="2" t="s">
        <v>69</v>
      </c>
      <c r="J386" s="2" t="s">
        <v>65</v>
      </c>
      <c r="K386" s="2">
        <v>4</v>
      </c>
      <c r="L386" s="2">
        <v>6838</v>
      </c>
      <c r="M386" s="2">
        <v>5</v>
      </c>
      <c r="N386" s="2">
        <v>1367.6</v>
      </c>
      <c r="O386" s="2">
        <v>4677.1899999999996</v>
      </c>
      <c r="P386" s="2">
        <v>1</v>
      </c>
      <c r="Q386" s="2">
        <v>30662.59</v>
      </c>
      <c r="R386" s="2" t="s">
        <v>51</v>
      </c>
      <c r="S386" s="2" t="s">
        <v>34</v>
      </c>
      <c r="T386" s="9" t="s">
        <v>1710</v>
      </c>
      <c r="U386" s="10" t="s">
        <v>1711</v>
      </c>
      <c r="V386" s="2" t="s">
        <v>53</v>
      </c>
      <c r="W386" s="2">
        <v>1</v>
      </c>
      <c r="X386" s="2" t="s">
        <v>36</v>
      </c>
      <c r="Y386" s="2">
        <v>3</v>
      </c>
      <c r="Z386" s="2" t="s">
        <v>82</v>
      </c>
    </row>
    <row r="387" spans="1:26" x14ac:dyDescent="0.35">
      <c r="A387" s="2" t="s">
        <v>776</v>
      </c>
      <c r="B387" s="3">
        <v>45794</v>
      </c>
      <c r="C387" s="2" t="s">
        <v>777</v>
      </c>
      <c r="D387" s="2" t="s">
        <v>96</v>
      </c>
      <c r="E387" s="2" t="s">
        <v>29</v>
      </c>
      <c r="F387" s="2">
        <v>50</v>
      </c>
      <c r="G387" s="2" t="s">
        <v>48</v>
      </c>
      <c r="H387" s="2" t="s">
        <v>49</v>
      </c>
      <c r="I387" s="2" t="s">
        <v>48</v>
      </c>
      <c r="J387" s="2" t="s">
        <v>113</v>
      </c>
      <c r="K387" s="2">
        <v>5</v>
      </c>
      <c r="L387" s="2">
        <v>38147</v>
      </c>
      <c r="M387" s="2">
        <v>15</v>
      </c>
      <c r="N387" s="2">
        <v>28610.25</v>
      </c>
      <c r="O387" s="2">
        <v>29182.45</v>
      </c>
      <c r="P387" s="2">
        <v>184</v>
      </c>
      <c r="Q387" s="2">
        <v>191491.20000000001</v>
      </c>
      <c r="R387" s="2" t="s">
        <v>51</v>
      </c>
      <c r="S387" s="2" t="s">
        <v>34</v>
      </c>
      <c r="T387" s="9" t="s">
        <v>1703</v>
      </c>
      <c r="U387" s="10" t="s">
        <v>1701</v>
      </c>
      <c r="V387" s="2" t="s">
        <v>35</v>
      </c>
      <c r="W387" s="2">
        <v>5</v>
      </c>
      <c r="X387" s="2" t="s">
        <v>44</v>
      </c>
      <c r="Y387" s="2">
        <v>5</v>
      </c>
      <c r="Z387" s="2" t="s">
        <v>82</v>
      </c>
    </row>
    <row r="388" spans="1:26" x14ac:dyDescent="0.35">
      <c r="A388" s="2" t="s">
        <v>778</v>
      </c>
      <c r="B388" s="3">
        <v>45916</v>
      </c>
      <c r="C388" s="2" t="s">
        <v>779</v>
      </c>
      <c r="D388" s="2" t="s">
        <v>62</v>
      </c>
      <c r="E388" s="2" t="s">
        <v>41</v>
      </c>
      <c r="F388" s="2">
        <v>37</v>
      </c>
      <c r="G388" s="2" t="s">
        <v>42</v>
      </c>
      <c r="H388" s="2" t="s">
        <v>31</v>
      </c>
      <c r="I388" s="2" t="s">
        <v>42</v>
      </c>
      <c r="J388" s="2" t="s">
        <v>32</v>
      </c>
      <c r="K388" s="2">
        <v>4</v>
      </c>
      <c r="L388" s="2">
        <v>47651</v>
      </c>
      <c r="M388" s="2">
        <v>5</v>
      </c>
      <c r="N388" s="2">
        <v>9530.2000000000007</v>
      </c>
      <c r="O388" s="2">
        <v>32593.279999999999</v>
      </c>
      <c r="P388" s="2">
        <v>270</v>
      </c>
      <c r="Q388" s="2">
        <v>213937.08</v>
      </c>
      <c r="R388" s="2" t="s">
        <v>33</v>
      </c>
      <c r="S388" s="2" t="s">
        <v>34</v>
      </c>
      <c r="T388" s="9" t="s">
        <v>1708</v>
      </c>
      <c r="U388" s="10" t="s">
        <v>52</v>
      </c>
      <c r="V388" s="2" t="s">
        <v>77</v>
      </c>
      <c r="W388" s="2">
        <v>10</v>
      </c>
      <c r="X388" s="2" t="s">
        <v>44</v>
      </c>
      <c r="Y388" s="2">
        <v>2</v>
      </c>
      <c r="Z388" s="2" t="s">
        <v>54</v>
      </c>
    </row>
    <row r="389" spans="1:26" x14ac:dyDescent="0.35">
      <c r="A389" s="2" t="s">
        <v>780</v>
      </c>
      <c r="B389" s="3">
        <v>45799</v>
      </c>
      <c r="C389" s="2" t="s">
        <v>781</v>
      </c>
      <c r="D389" s="2" t="s">
        <v>47</v>
      </c>
      <c r="E389" s="2" t="s">
        <v>29</v>
      </c>
      <c r="F389" s="2">
        <v>51</v>
      </c>
      <c r="G389" s="2" t="s">
        <v>63</v>
      </c>
      <c r="H389" s="2" t="s">
        <v>64</v>
      </c>
      <c r="I389" s="2" t="s">
        <v>63</v>
      </c>
      <c r="J389" s="2" t="s">
        <v>91</v>
      </c>
      <c r="K389" s="2">
        <v>1</v>
      </c>
      <c r="L389" s="2">
        <v>35776</v>
      </c>
      <c r="M389" s="2">
        <v>15</v>
      </c>
      <c r="N389" s="2">
        <v>5366.4</v>
      </c>
      <c r="O389" s="2">
        <v>5473.73</v>
      </c>
      <c r="P389" s="2">
        <v>211</v>
      </c>
      <c r="Q389" s="2">
        <v>36094.33</v>
      </c>
      <c r="R389" s="2" t="s">
        <v>51</v>
      </c>
      <c r="S389" s="2" t="s">
        <v>34</v>
      </c>
      <c r="T389" s="9" t="s">
        <v>1703</v>
      </c>
      <c r="U389" s="10" t="s">
        <v>1701</v>
      </c>
      <c r="V389" s="2" t="s">
        <v>35</v>
      </c>
      <c r="W389" s="2">
        <v>1</v>
      </c>
      <c r="X389" s="2" t="s">
        <v>44</v>
      </c>
      <c r="Y389" s="2">
        <v>2</v>
      </c>
      <c r="Z389" s="2" t="s">
        <v>37</v>
      </c>
    </row>
    <row r="390" spans="1:26" x14ac:dyDescent="0.35">
      <c r="A390" s="2" t="s">
        <v>782</v>
      </c>
      <c r="B390" s="3">
        <v>45792</v>
      </c>
      <c r="C390" s="2" t="s">
        <v>783</v>
      </c>
      <c r="D390" s="2" t="s">
        <v>80</v>
      </c>
      <c r="E390" s="2" t="s">
        <v>41</v>
      </c>
      <c r="F390" s="2">
        <v>48</v>
      </c>
      <c r="G390" s="2" t="s">
        <v>127</v>
      </c>
      <c r="H390" s="2" t="s">
        <v>31</v>
      </c>
      <c r="I390" s="2" t="s">
        <v>127</v>
      </c>
      <c r="J390" s="2" t="s">
        <v>50</v>
      </c>
      <c r="K390" s="2">
        <v>5</v>
      </c>
      <c r="L390" s="2">
        <v>38786</v>
      </c>
      <c r="M390" s="2">
        <v>20</v>
      </c>
      <c r="N390" s="2">
        <v>38786</v>
      </c>
      <c r="O390" s="2">
        <v>27925.919999999998</v>
      </c>
      <c r="P390" s="2">
        <v>346</v>
      </c>
      <c r="Q390" s="2">
        <v>183415.92</v>
      </c>
      <c r="R390" s="2" t="s">
        <v>33</v>
      </c>
      <c r="S390" s="2" t="s">
        <v>34</v>
      </c>
      <c r="T390" s="9" t="s">
        <v>1708</v>
      </c>
      <c r="U390" s="10" t="s">
        <v>52</v>
      </c>
      <c r="V390" s="2" t="s">
        <v>77</v>
      </c>
      <c r="W390" s="2">
        <v>10</v>
      </c>
      <c r="X390" s="2" t="s">
        <v>36</v>
      </c>
      <c r="Y390" s="2">
        <v>2</v>
      </c>
      <c r="Z390" s="2" t="s">
        <v>37</v>
      </c>
    </row>
    <row r="391" spans="1:26" x14ac:dyDescent="0.35">
      <c r="A391" s="2" t="s">
        <v>784</v>
      </c>
      <c r="B391" s="3">
        <v>46088</v>
      </c>
      <c r="C391" s="2" t="s">
        <v>181</v>
      </c>
      <c r="D391" s="2" t="s">
        <v>47</v>
      </c>
      <c r="E391" s="2" t="s">
        <v>41</v>
      </c>
      <c r="F391" s="2">
        <v>39</v>
      </c>
      <c r="G391" s="2" t="s">
        <v>30</v>
      </c>
      <c r="H391" s="2" t="s">
        <v>31</v>
      </c>
      <c r="I391" s="2" t="s">
        <v>30</v>
      </c>
      <c r="J391" s="2" t="s">
        <v>32</v>
      </c>
      <c r="K391" s="2">
        <v>4</v>
      </c>
      <c r="L391" s="2">
        <v>44570</v>
      </c>
      <c r="M391" s="2">
        <v>15</v>
      </c>
      <c r="N391" s="2">
        <v>26742</v>
      </c>
      <c r="O391" s="2">
        <v>27276.84</v>
      </c>
      <c r="P391" s="2">
        <v>441</v>
      </c>
      <c r="Q391" s="2">
        <v>179255.84</v>
      </c>
      <c r="R391" s="2" t="s">
        <v>33</v>
      </c>
      <c r="S391" s="2" t="s">
        <v>34</v>
      </c>
      <c r="T391" s="9" t="s">
        <v>1709</v>
      </c>
      <c r="U391" s="10" t="s">
        <v>52</v>
      </c>
      <c r="V391" s="2" t="s">
        <v>53</v>
      </c>
      <c r="W391" s="2">
        <v>5</v>
      </c>
      <c r="X391" s="2" t="s">
        <v>44</v>
      </c>
      <c r="Y391" s="2">
        <v>5</v>
      </c>
      <c r="Z391" s="2" t="s">
        <v>44</v>
      </c>
    </row>
    <row r="392" spans="1:26" x14ac:dyDescent="0.35">
      <c r="A392" s="2" t="s">
        <v>785</v>
      </c>
      <c r="B392" s="3">
        <v>45852</v>
      </c>
      <c r="C392" s="2" t="s">
        <v>61</v>
      </c>
      <c r="D392" s="2" t="s">
        <v>96</v>
      </c>
      <c r="E392" s="2" t="s">
        <v>41</v>
      </c>
      <c r="F392" s="2">
        <v>27</v>
      </c>
      <c r="G392" s="2" t="s">
        <v>88</v>
      </c>
      <c r="H392" s="2" t="s">
        <v>49</v>
      </c>
      <c r="I392" s="2" t="s">
        <v>88</v>
      </c>
      <c r="J392" s="2" t="s">
        <v>58</v>
      </c>
      <c r="K392" s="2">
        <v>2</v>
      </c>
      <c r="L392" s="2">
        <v>17897</v>
      </c>
      <c r="M392" s="2">
        <v>15</v>
      </c>
      <c r="N392" s="2">
        <v>5369.1</v>
      </c>
      <c r="O392" s="2">
        <v>5476.48</v>
      </c>
      <c r="P392" s="2">
        <v>381</v>
      </c>
      <c r="Q392" s="2">
        <v>36282.379999999997</v>
      </c>
      <c r="R392" s="2" t="s">
        <v>51</v>
      </c>
      <c r="S392" s="2" t="s">
        <v>34</v>
      </c>
      <c r="T392" s="9" t="s">
        <v>1707</v>
      </c>
      <c r="U392" s="10" t="s">
        <v>1712</v>
      </c>
      <c r="V392" s="2" t="s">
        <v>53</v>
      </c>
      <c r="W392" s="2">
        <v>2</v>
      </c>
      <c r="X392" s="2" t="s">
        <v>36</v>
      </c>
      <c r="Y392" s="2">
        <v>3</v>
      </c>
      <c r="Z392" s="2" t="s">
        <v>37</v>
      </c>
    </row>
    <row r="393" spans="1:26" x14ac:dyDescent="0.35">
      <c r="A393" s="2" t="s">
        <v>786</v>
      </c>
      <c r="B393" s="3">
        <v>46082</v>
      </c>
      <c r="C393" s="2" t="s">
        <v>787</v>
      </c>
      <c r="D393" s="2" t="s">
        <v>99</v>
      </c>
      <c r="E393" s="2" t="s">
        <v>41</v>
      </c>
      <c r="F393" s="2">
        <v>29</v>
      </c>
      <c r="G393" s="2" t="s">
        <v>88</v>
      </c>
      <c r="H393" s="2" t="s">
        <v>49</v>
      </c>
      <c r="I393" s="2" t="s">
        <v>88</v>
      </c>
      <c r="J393" s="2" t="s">
        <v>190</v>
      </c>
      <c r="K393" s="2">
        <v>2</v>
      </c>
      <c r="L393" s="2">
        <v>19659</v>
      </c>
      <c r="M393" s="2">
        <v>5</v>
      </c>
      <c r="N393" s="2">
        <v>1965.9</v>
      </c>
      <c r="O393" s="2">
        <v>6723.38</v>
      </c>
      <c r="P393" s="2">
        <v>60</v>
      </c>
      <c r="Q393" s="2">
        <v>44135.48</v>
      </c>
      <c r="R393" s="2" t="s">
        <v>51</v>
      </c>
      <c r="S393" s="2" t="s">
        <v>59</v>
      </c>
      <c r="T393" s="9" t="s">
        <v>1705</v>
      </c>
      <c r="U393" s="10" t="s">
        <v>1702</v>
      </c>
      <c r="V393" s="2" t="s">
        <v>53</v>
      </c>
      <c r="W393" s="2">
        <v>8</v>
      </c>
      <c r="X393" s="2" t="s">
        <v>44</v>
      </c>
      <c r="Y393" s="2">
        <v>2</v>
      </c>
      <c r="Z393" s="2" t="s">
        <v>37</v>
      </c>
    </row>
    <row r="394" spans="1:26" x14ac:dyDescent="0.35">
      <c r="A394" s="2" t="s">
        <v>788</v>
      </c>
      <c r="B394" s="3">
        <v>45937</v>
      </c>
      <c r="C394" s="2" t="s">
        <v>789</v>
      </c>
      <c r="D394" s="2" t="s">
        <v>40</v>
      </c>
      <c r="E394" s="2" t="s">
        <v>29</v>
      </c>
      <c r="F394" s="2">
        <v>19</v>
      </c>
      <c r="G394" s="2" t="s">
        <v>42</v>
      </c>
      <c r="H394" s="2" t="s">
        <v>31</v>
      </c>
      <c r="I394" s="2" t="s">
        <v>42</v>
      </c>
      <c r="J394" s="2" t="s">
        <v>190</v>
      </c>
      <c r="K394" s="2">
        <v>2</v>
      </c>
      <c r="L394" s="2">
        <v>5458</v>
      </c>
      <c r="M394" s="2">
        <v>10</v>
      </c>
      <c r="N394" s="2">
        <v>1091.5999999999999</v>
      </c>
      <c r="O394" s="2">
        <v>1768.39</v>
      </c>
      <c r="P394" s="2">
        <v>260</v>
      </c>
      <c r="Q394" s="2">
        <v>11852.79</v>
      </c>
      <c r="R394" s="2" t="s">
        <v>51</v>
      </c>
      <c r="S394" s="2" t="s">
        <v>59</v>
      </c>
      <c r="T394" s="9" t="s">
        <v>1709</v>
      </c>
      <c r="U394" s="10" t="s">
        <v>52</v>
      </c>
      <c r="V394" s="2" t="s">
        <v>53</v>
      </c>
      <c r="W394" s="2">
        <v>6</v>
      </c>
      <c r="X394" s="2" t="s">
        <v>44</v>
      </c>
      <c r="Y394" s="2">
        <v>1</v>
      </c>
      <c r="Z394" s="2" t="s">
        <v>54</v>
      </c>
    </row>
    <row r="395" spans="1:26" x14ac:dyDescent="0.35">
      <c r="A395" s="2" t="s">
        <v>790</v>
      </c>
      <c r="B395" s="3">
        <v>45893</v>
      </c>
      <c r="C395" s="2" t="s">
        <v>791</v>
      </c>
      <c r="D395" s="2" t="s">
        <v>73</v>
      </c>
      <c r="E395" s="2" t="s">
        <v>41</v>
      </c>
      <c r="F395" s="2">
        <v>39</v>
      </c>
      <c r="G395" s="2" t="s">
        <v>48</v>
      </c>
      <c r="H395" s="2" t="s">
        <v>49</v>
      </c>
      <c r="I395" s="2" t="s">
        <v>48</v>
      </c>
      <c r="J395" s="2" t="s">
        <v>50</v>
      </c>
      <c r="K395" s="2">
        <v>5</v>
      </c>
      <c r="L395" s="2">
        <v>11477</v>
      </c>
      <c r="M395" s="2">
        <v>20</v>
      </c>
      <c r="N395" s="2">
        <v>11477</v>
      </c>
      <c r="O395" s="2">
        <v>8263.44</v>
      </c>
      <c r="P395" s="2">
        <v>383</v>
      </c>
      <c r="Q395" s="2">
        <v>54554.44</v>
      </c>
      <c r="R395" s="2" t="s">
        <v>76</v>
      </c>
      <c r="S395" s="2" t="s">
        <v>34</v>
      </c>
      <c r="T395" s="9" t="s">
        <v>1710</v>
      </c>
      <c r="U395" s="10" t="s">
        <v>1711</v>
      </c>
      <c r="V395" s="2" t="s">
        <v>53</v>
      </c>
      <c r="W395" s="2">
        <v>8</v>
      </c>
      <c r="X395" s="2" t="s">
        <v>36</v>
      </c>
      <c r="Y395" s="2">
        <v>1</v>
      </c>
      <c r="Z395" s="2" t="s">
        <v>54</v>
      </c>
    </row>
    <row r="396" spans="1:26" x14ac:dyDescent="0.35">
      <c r="A396" s="2" t="s">
        <v>792</v>
      </c>
      <c r="B396" s="3">
        <v>46071</v>
      </c>
      <c r="C396" s="2" t="s">
        <v>695</v>
      </c>
      <c r="D396" s="2" t="s">
        <v>68</v>
      </c>
      <c r="E396" s="2" t="s">
        <v>41</v>
      </c>
      <c r="F396" s="2">
        <v>56</v>
      </c>
      <c r="G396" s="2" t="s">
        <v>122</v>
      </c>
      <c r="H396" s="2" t="s">
        <v>31</v>
      </c>
      <c r="I396" s="2" t="s">
        <v>122</v>
      </c>
      <c r="J396" s="2" t="s">
        <v>138</v>
      </c>
      <c r="K396" s="2">
        <v>5</v>
      </c>
      <c r="L396" s="2">
        <v>8130</v>
      </c>
      <c r="M396" s="2">
        <v>0</v>
      </c>
      <c r="N396" s="2">
        <v>0</v>
      </c>
      <c r="O396" s="2">
        <v>7317</v>
      </c>
      <c r="P396" s="2">
        <v>365</v>
      </c>
      <c r="Q396" s="2">
        <v>48332</v>
      </c>
      <c r="R396" s="2" t="s">
        <v>51</v>
      </c>
      <c r="S396" s="2" t="s">
        <v>34</v>
      </c>
      <c r="T396" s="9" t="s">
        <v>1707</v>
      </c>
      <c r="U396" s="10" t="s">
        <v>1712</v>
      </c>
      <c r="V396" s="2" t="s">
        <v>53</v>
      </c>
      <c r="W396" s="2">
        <v>5</v>
      </c>
      <c r="X396" s="2" t="s">
        <v>44</v>
      </c>
      <c r="Y396" s="2">
        <v>2</v>
      </c>
      <c r="Z396" s="2" t="s">
        <v>54</v>
      </c>
    </row>
    <row r="397" spans="1:26" x14ac:dyDescent="0.35">
      <c r="A397" s="2" t="s">
        <v>793</v>
      </c>
      <c r="B397" s="3">
        <v>45917</v>
      </c>
      <c r="C397" s="2" t="s">
        <v>587</v>
      </c>
      <c r="D397" s="2" t="s">
        <v>80</v>
      </c>
      <c r="E397" s="2" t="s">
        <v>41</v>
      </c>
      <c r="F397" s="2">
        <v>45</v>
      </c>
      <c r="G397" s="2" t="s">
        <v>88</v>
      </c>
      <c r="H397" s="2" t="s">
        <v>49</v>
      </c>
      <c r="I397" s="2" t="s">
        <v>88</v>
      </c>
      <c r="J397" s="2" t="s">
        <v>65</v>
      </c>
      <c r="K397" s="2">
        <v>5</v>
      </c>
      <c r="L397" s="2">
        <v>49785</v>
      </c>
      <c r="M397" s="2">
        <v>10</v>
      </c>
      <c r="N397" s="2">
        <v>24892.5</v>
      </c>
      <c r="O397" s="2">
        <v>40325.85</v>
      </c>
      <c r="P397" s="2">
        <v>307</v>
      </c>
      <c r="Q397" s="2">
        <v>264665.34999999998</v>
      </c>
      <c r="R397" s="2" t="s">
        <v>43</v>
      </c>
      <c r="S397" s="2" t="s">
        <v>34</v>
      </c>
      <c r="T397" s="9" t="s">
        <v>1707</v>
      </c>
      <c r="U397" s="10" t="s">
        <v>1712</v>
      </c>
      <c r="V397" s="2" t="s">
        <v>53</v>
      </c>
      <c r="W397" s="2">
        <v>10</v>
      </c>
      <c r="X397" s="2" t="s">
        <v>44</v>
      </c>
      <c r="Y397" s="2">
        <v>1</v>
      </c>
      <c r="Z397" s="2" t="s">
        <v>44</v>
      </c>
    </row>
    <row r="398" spans="1:26" x14ac:dyDescent="0.35">
      <c r="A398" s="2" t="s">
        <v>794</v>
      </c>
      <c r="B398" s="3">
        <v>45999</v>
      </c>
      <c r="C398" s="2" t="s">
        <v>795</v>
      </c>
      <c r="D398" s="2" t="s">
        <v>57</v>
      </c>
      <c r="E398" s="2" t="s">
        <v>41</v>
      </c>
      <c r="F398" s="2">
        <v>45</v>
      </c>
      <c r="G398" s="2" t="s">
        <v>30</v>
      </c>
      <c r="H398" s="2" t="s">
        <v>31</v>
      </c>
      <c r="I398" s="2" t="s">
        <v>30</v>
      </c>
      <c r="J398" s="2" t="s">
        <v>100</v>
      </c>
      <c r="K398" s="2">
        <v>1</v>
      </c>
      <c r="L398" s="2">
        <v>45045</v>
      </c>
      <c r="M398" s="2">
        <v>10</v>
      </c>
      <c r="N398" s="2">
        <v>4504.5</v>
      </c>
      <c r="O398" s="2">
        <v>7297.29</v>
      </c>
      <c r="P398" s="2">
        <v>227</v>
      </c>
      <c r="Q398" s="2">
        <v>48064.79</v>
      </c>
      <c r="R398" s="2" t="s">
        <v>33</v>
      </c>
      <c r="S398" s="2" t="s">
        <v>59</v>
      </c>
      <c r="T398" s="9" t="s">
        <v>1706</v>
      </c>
      <c r="U398" s="10" t="s">
        <v>52</v>
      </c>
      <c r="V398" s="2" t="s">
        <v>53</v>
      </c>
      <c r="W398" s="2">
        <v>7</v>
      </c>
      <c r="X398" s="2" t="s">
        <v>44</v>
      </c>
      <c r="Y398" s="2">
        <v>4</v>
      </c>
      <c r="Z398" s="2" t="s">
        <v>82</v>
      </c>
    </row>
    <row r="399" spans="1:26" x14ac:dyDescent="0.35">
      <c r="A399" s="2" t="s">
        <v>796</v>
      </c>
      <c r="B399" s="3">
        <v>45914</v>
      </c>
      <c r="C399" s="2" t="s">
        <v>797</v>
      </c>
      <c r="D399" s="2" t="s">
        <v>57</v>
      </c>
      <c r="E399" s="2" t="s">
        <v>29</v>
      </c>
      <c r="F399" s="2">
        <v>32</v>
      </c>
      <c r="G399" s="2" t="s">
        <v>63</v>
      </c>
      <c r="H399" s="2" t="s">
        <v>64</v>
      </c>
      <c r="I399" s="2" t="s">
        <v>63</v>
      </c>
      <c r="J399" s="2" t="s">
        <v>58</v>
      </c>
      <c r="K399" s="2">
        <v>2</v>
      </c>
      <c r="L399" s="2">
        <v>37886</v>
      </c>
      <c r="M399" s="2">
        <v>20</v>
      </c>
      <c r="N399" s="2">
        <v>15154.4</v>
      </c>
      <c r="O399" s="2">
        <v>10911.17</v>
      </c>
      <c r="P399" s="2">
        <v>333</v>
      </c>
      <c r="Q399" s="2">
        <v>71861.77</v>
      </c>
      <c r="R399" s="2" t="s">
        <v>51</v>
      </c>
      <c r="S399" s="2" t="s">
        <v>59</v>
      </c>
      <c r="T399" s="9" t="s">
        <v>1710</v>
      </c>
      <c r="U399" s="10" t="s">
        <v>1711</v>
      </c>
      <c r="V399" s="2" t="s">
        <v>53</v>
      </c>
      <c r="W399" s="2">
        <v>5</v>
      </c>
      <c r="X399" s="2" t="s">
        <v>44</v>
      </c>
      <c r="Y399" s="2">
        <v>1</v>
      </c>
      <c r="Z399" s="2" t="s">
        <v>37</v>
      </c>
    </row>
    <row r="400" spans="1:26" x14ac:dyDescent="0.35">
      <c r="A400" s="2" t="s">
        <v>798</v>
      </c>
      <c r="B400" s="3">
        <v>45798</v>
      </c>
      <c r="C400" s="2" t="s">
        <v>799</v>
      </c>
      <c r="D400" s="2" t="s">
        <v>57</v>
      </c>
      <c r="E400" s="2" t="s">
        <v>29</v>
      </c>
      <c r="F400" s="2">
        <v>41</v>
      </c>
      <c r="G400" s="2" t="s">
        <v>122</v>
      </c>
      <c r="H400" s="2" t="s">
        <v>31</v>
      </c>
      <c r="I400" s="2" t="s">
        <v>122</v>
      </c>
      <c r="J400" s="2" t="s">
        <v>113</v>
      </c>
      <c r="K400" s="2">
        <v>1</v>
      </c>
      <c r="L400" s="2">
        <v>10479</v>
      </c>
      <c r="M400" s="2">
        <v>20</v>
      </c>
      <c r="N400" s="2">
        <v>2095.8000000000002</v>
      </c>
      <c r="O400" s="2">
        <v>1508.98</v>
      </c>
      <c r="P400" s="2">
        <v>259</v>
      </c>
      <c r="Q400" s="2">
        <v>10151.18</v>
      </c>
      <c r="R400" s="2" t="s">
        <v>76</v>
      </c>
      <c r="S400" s="2" t="s">
        <v>34</v>
      </c>
      <c r="T400" s="9" t="s">
        <v>1707</v>
      </c>
      <c r="U400" s="10" t="s">
        <v>1712</v>
      </c>
      <c r="V400" s="2" t="s">
        <v>53</v>
      </c>
      <c r="W400" s="2">
        <v>9</v>
      </c>
      <c r="X400" s="2" t="s">
        <v>36</v>
      </c>
      <c r="Y400" s="2">
        <v>3</v>
      </c>
      <c r="Z400" s="2" t="s">
        <v>44</v>
      </c>
    </row>
    <row r="401" spans="1:26" x14ac:dyDescent="0.35">
      <c r="A401" s="2" t="s">
        <v>800</v>
      </c>
      <c r="B401" s="3">
        <v>45856</v>
      </c>
      <c r="C401" s="2" t="s">
        <v>801</v>
      </c>
      <c r="D401" s="2" t="s">
        <v>99</v>
      </c>
      <c r="E401" s="2" t="s">
        <v>29</v>
      </c>
      <c r="F401" s="2">
        <v>39</v>
      </c>
      <c r="G401" s="2" t="s">
        <v>63</v>
      </c>
      <c r="H401" s="2" t="s">
        <v>64</v>
      </c>
      <c r="I401" s="2" t="s">
        <v>63</v>
      </c>
      <c r="J401" s="2" t="s">
        <v>58</v>
      </c>
      <c r="K401" s="2">
        <v>2</v>
      </c>
      <c r="L401" s="2">
        <v>25677</v>
      </c>
      <c r="M401" s="2">
        <v>20</v>
      </c>
      <c r="N401" s="2">
        <v>10270.799999999999</v>
      </c>
      <c r="O401" s="2">
        <v>7394.98</v>
      </c>
      <c r="P401" s="2">
        <v>360</v>
      </c>
      <c r="Q401" s="2">
        <v>48838.18</v>
      </c>
      <c r="R401" s="2" t="s">
        <v>43</v>
      </c>
      <c r="S401" s="2" t="s">
        <v>59</v>
      </c>
      <c r="T401" s="9" t="s">
        <v>1703</v>
      </c>
      <c r="U401" s="10" t="s">
        <v>1701</v>
      </c>
      <c r="V401" s="2" t="s">
        <v>35</v>
      </c>
      <c r="W401" s="2">
        <v>4</v>
      </c>
      <c r="X401" s="2" t="s">
        <v>44</v>
      </c>
      <c r="Y401" s="2">
        <v>4</v>
      </c>
      <c r="Z401" s="2" t="s">
        <v>54</v>
      </c>
    </row>
    <row r="402" spans="1:26" x14ac:dyDescent="0.35">
      <c r="A402" s="2" t="s">
        <v>802</v>
      </c>
      <c r="B402" s="3">
        <v>45941</v>
      </c>
      <c r="C402" s="2" t="s">
        <v>803</v>
      </c>
      <c r="D402" s="2" t="s">
        <v>47</v>
      </c>
      <c r="E402" s="2" t="s">
        <v>41</v>
      </c>
      <c r="F402" s="2">
        <v>45</v>
      </c>
      <c r="G402" s="2" t="s">
        <v>88</v>
      </c>
      <c r="H402" s="2" t="s">
        <v>49</v>
      </c>
      <c r="I402" s="2" t="s">
        <v>88</v>
      </c>
      <c r="J402" s="2" t="s">
        <v>190</v>
      </c>
      <c r="K402" s="2">
        <v>1</v>
      </c>
      <c r="L402" s="2">
        <v>38257</v>
      </c>
      <c r="M402" s="2">
        <v>0</v>
      </c>
      <c r="N402" s="2">
        <v>0</v>
      </c>
      <c r="O402" s="2">
        <v>6886.26</v>
      </c>
      <c r="P402" s="2">
        <v>77</v>
      </c>
      <c r="Q402" s="2">
        <v>45220.26</v>
      </c>
      <c r="R402" s="2" t="s">
        <v>51</v>
      </c>
      <c r="S402" s="2" t="s">
        <v>59</v>
      </c>
      <c r="T402" s="9" t="s">
        <v>1705</v>
      </c>
      <c r="U402" s="10" t="s">
        <v>1702</v>
      </c>
      <c r="V402" s="2" t="s">
        <v>53</v>
      </c>
      <c r="W402" s="2">
        <v>5</v>
      </c>
      <c r="X402" s="2" t="s">
        <v>36</v>
      </c>
      <c r="Y402" s="2">
        <v>1</v>
      </c>
      <c r="Z402" s="2" t="s">
        <v>82</v>
      </c>
    </row>
    <row r="403" spans="1:26" x14ac:dyDescent="0.35">
      <c r="A403" s="2" t="s">
        <v>804</v>
      </c>
      <c r="B403" s="3">
        <v>45969</v>
      </c>
      <c r="C403" s="2" t="s">
        <v>805</v>
      </c>
      <c r="D403" s="2" t="s">
        <v>99</v>
      </c>
      <c r="E403" s="2" t="s">
        <v>29</v>
      </c>
      <c r="F403" s="2">
        <v>18</v>
      </c>
      <c r="G403" s="2" t="s">
        <v>63</v>
      </c>
      <c r="H403" s="2" t="s">
        <v>64</v>
      </c>
      <c r="I403" s="2" t="s">
        <v>63</v>
      </c>
      <c r="J403" s="2" t="s">
        <v>70</v>
      </c>
      <c r="K403" s="2">
        <v>3</v>
      </c>
      <c r="L403" s="2">
        <v>42836</v>
      </c>
      <c r="M403" s="2">
        <v>5</v>
      </c>
      <c r="N403" s="2">
        <v>6425.4</v>
      </c>
      <c r="O403" s="2">
        <v>21974.87</v>
      </c>
      <c r="P403" s="2">
        <v>203</v>
      </c>
      <c r="Q403" s="2">
        <v>144260.47</v>
      </c>
      <c r="R403" s="2" t="s">
        <v>51</v>
      </c>
      <c r="S403" s="2" t="s">
        <v>59</v>
      </c>
      <c r="T403" s="9" t="s">
        <v>1706</v>
      </c>
      <c r="U403" s="10" t="s">
        <v>52</v>
      </c>
      <c r="V403" s="2" t="s">
        <v>53</v>
      </c>
      <c r="W403" s="2">
        <v>8</v>
      </c>
      <c r="X403" s="2" t="s">
        <v>36</v>
      </c>
      <c r="Y403" s="2">
        <v>1</v>
      </c>
      <c r="Z403" s="2" t="s">
        <v>44</v>
      </c>
    </row>
    <row r="404" spans="1:26" x14ac:dyDescent="0.35">
      <c r="A404" s="2" t="s">
        <v>806</v>
      </c>
      <c r="B404" s="3">
        <v>45937</v>
      </c>
      <c r="C404" s="2" t="s">
        <v>807</v>
      </c>
      <c r="D404" s="2" t="s">
        <v>73</v>
      </c>
      <c r="E404" s="2" t="s">
        <v>41</v>
      </c>
      <c r="F404" s="2">
        <v>33</v>
      </c>
      <c r="G404" s="2" t="s">
        <v>127</v>
      </c>
      <c r="H404" s="2" t="s">
        <v>31</v>
      </c>
      <c r="I404" s="2" t="s">
        <v>127</v>
      </c>
      <c r="J404" s="2" t="s">
        <v>58</v>
      </c>
      <c r="K404" s="2">
        <v>5</v>
      </c>
      <c r="L404" s="2">
        <v>6082</v>
      </c>
      <c r="M404" s="2">
        <v>10</v>
      </c>
      <c r="N404" s="2">
        <v>3041</v>
      </c>
      <c r="O404" s="2">
        <v>4926.42</v>
      </c>
      <c r="P404" s="2">
        <v>451</v>
      </c>
      <c r="Q404" s="2">
        <v>32746.42</v>
      </c>
      <c r="R404" s="2" t="s">
        <v>51</v>
      </c>
      <c r="S404" s="2" t="s">
        <v>59</v>
      </c>
      <c r="T404" s="9" t="s">
        <v>1708</v>
      </c>
      <c r="U404" s="10" t="s">
        <v>52</v>
      </c>
      <c r="V404" s="2" t="s">
        <v>77</v>
      </c>
      <c r="W404" s="2">
        <v>6</v>
      </c>
      <c r="X404" s="2" t="s">
        <v>36</v>
      </c>
      <c r="Y404" s="2">
        <v>4</v>
      </c>
      <c r="Z404" s="2" t="s">
        <v>54</v>
      </c>
    </row>
    <row r="405" spans="1:26" x14ac:dyDescent="0.35">
      <c r="A405" s="2" t="s">
        <v>808</v>
      </c>
      <c r="B405" s="3">
        <v>45962</v>
      </c>
      <c r="C405" s="2" t="s">
        <v>809</v>
      </c>
      <c r="D405" s="2" t="s">
        <v>73</v>
      </c>
      <c r="E405" s="2" t="s">
        <v>29</v>
      </c>
      <c r="F405" s="2">
        <v>45</v>
      </c>
      <c r="G405" s="2" t="s">
        <v>85</v>
      </c>
      <c r="H405" s="2" t="s">
        <v>31</v>
      </c>
      <c r="I405" s="2" t="s">
        <v>85</v>
      </c>
      <c r="J405" s="2" t="s">
        <v>65</v>
      </c>
      <c r="K405" s="2">
        <v>1</v>
      </c>
      <c r="L405" s="2">
        <v>31058</v>
      </c>
      <c r="M405" s="2">
        <v>20</v>
      </c>
      <c r="N405" s="2">
        <v>6211.6</v>
      </c>
      <c r="O405" s="2">
        <v>4472.3500000000004</v>
      </c>
      <c r="P405" s="2">
        <v>107</v>
      </c>
      <c r="Q405" s="2">
        <v>29425.75</v>
      </c>
      <c r="R405" s="2" t="s">
        <v>33</v>
      </c>
      <c r="S405" s="2" t="s">
        <v>34</v>
      </c>
      <c r="T405" s="9" t="s">
        <v>1704</v>
      </c>
      <c r="U405" s="10" t="s">
        <v>52</v>
      </c>
      <c r="V405" s="2" t="s">
        <v>35</v>
      </c>
      <c r="W405" s="2">
        <v>2</v>
      </c>
      <c r="X405" s="2" t="s">
        <v>36</v>
      </c>
      <c r="Y405" s="2">
        <v>1</v>
      </c>
      <c r="Z405" s="2" t="s">
        <v>37</v>
      </c>
    </row>
    <row r="406" spans="1:26" x14ac:dyDescent="0.35">
      <c r="A406" s="2" t="s">
        <v>810</v>
      </c>
      <c r="B406" s="3">
        <v>45936</v>
      </c>
      <c r="C406" s="2" t="s">
        <v>811</v>
      </c>
      <c r="D406" s="2" t="s">
        <v>47</v>
      </c>
      <c r="E406" s="2" t="s">
        <v>29</v>
      </c>
      <c r="F406" s="2">
        <v>20</v>
      </c>
      <c r="G406" s="2" t="s">
        <v>30</v>
      </c>
      <c r="H406" s="2" t="s">
        <v>31</v>
      </c>
      <c r="I406" s="2" t="s">
        <v>30</v>
      </c>
      <c r="J406" s="2" t="s">
        <v>65</v>
      </c>
      <c r="K406" s="2">
        <v>5</v>
      </c>
      <c r="L406" s="2">
        <v>23952</v>
      </c>
      <c r="M406" s="2">
        <v>15</v>
      </c>
      <c r="N406" s="2">
        <v>17964</v>
      </c>
      <c r="O406" s="2">
        <v>18323.28</v>
      </c>
      <c r="P406" s="2">
        <v>235</v>
      </c>
      <c r="Q406" s="2">
        <v>120354.28</v>
      </c>
      <c r="R406" s="2" t="s">
        <v>51</v>
      </c>
      <c r="S406" s="2" t="s">
        <v>34</v>
      </c>
      <c r="T406" s="9" t="s">
        <v>1704</v>
      </c>
      <c r="U406" s="10" t="s">
        <v>52</v>
      </c>
      <c r="V406" s="2" t="s">
        <v>35</v>
      </c>
      <c r="W406" s="2">
        <v>8</v>
      </c>
      <c r="X406" s="2" t="s">
        <v>36</v>
      </c>
      <c r="Y406" s="2">
        <v>3</v>
      </c>
      <c r="Z406" s="2" t="s">
        <v>54</v>
      </c>
    </row>
    <row r="407" spans="1:26" x14ac:dyDescent="0.35">
      <c r="A407" s="2" t="s">
        <v>812</v>
      </c>
      <c r="B407" s="3">
        <v>45769</v>
      </c>
      <c r="C407" s="2" t="s">
        <v>813</v>
      </c>
      <c r="D407" s="2" t="s">
        <v>99</v>
      </c>
      <c r="E407" s="2" t="s">
        <v>29</v>
      </c>
      <c r="F407" s="2">
        <v>48</v>
      </c>
      <c r="G407" s="2" t="s">
        <v>42</v>
      </c>
      <c r="H407" s="2" t="s">
        <v>31</v>
      </c>
      <c r="I407" s="2" t="s">
        <v>42</v>
      </c>
      <c r="J407" s="2" t="s">
        <v>113</v>
      </c>
      <c r="K407" s="2">
        <v>3</v>
      </c>
      <c r="L407" s="2">
        <v>38091</v>
      </c>
      <c r="M407" s="2">
        <v>20</v>
      </c>
      <c r="N407" s="2">
        <v>22854.6</v>
      </c>
      <c r="O407" s="2">
        <v>16455.310000000001</v>
      </c>
      <c r="P407" s="2">
        <v>45</v>
      </c>
      <c r="Q407" s="2">
        <v>107918.71</v>
      </c>
      <c r="R407" s="2" t="s">
        <v>43</v>
      </c>
      <c r="S407" s="2" t="s">
        <v>59</v>
      </c>
      <c r="T407" s="9" t="s">
        <v>1706</v>
      </c>
      <c r="U407" s="10" t="s">
        <v>52</v>
      </c>
      <c r="V407" s="2" t="s">
        <v>53</v>
      </c>
      <c r="W407" s="2">
        <v>4</v>
      </c>
      <c r="X407" s="2" t="s">
        <v>36</v>
      </c>
      <c r="Y407" s="2">
        <v>2</v>
      </c>
      <c r="Z407" s="2" t="s">
        <v>82</v>
      </c>
    </row>
    <row r="408" spans="1:26" x14ac:dyDescent="0.35">
      <c r="A408" s="2" t="s">
        <v>814</v>
      </c>
      <c r="B408" s="3">
        <v>45874</v>
      </c>
      <c r="C408" s="2" t="s">
        <v>527</v>
      </c>
      <c r="D408" s="2" t="s">
        <v>40</v>
      </c>
      <c r="E408" s="2" t="s">
        <v>41</v>
      </c>
      <c r="F408" s="2">
        <v>52</v>
      </c>
      <c r="G408" s="2" t="s">
        <v>81</v>
      </c>
      <c r="H408" s="2" t="s">
        <v>31</v>
      </c>
      <c r="I408" s="2" t="s">
        <v>81</v>
      </c>
      <c r="J408" s="2" t="s">
        <v>113</v>
      </c>
      <c r="K408" s="2">
        <v>3</v>
      </c>
      <c r="L408" s="2">
        <v>26216</v>
      </c>
      <c r="M408" s="2">
        <v>20</v>
      </c>
      <c r="N408" s="2">
        <v>15729.6</v>
      </c>
      <c r="O408" s="2">
        <v>11325.31</v>
      </c>
      <c r="P408" s="2">
        <v>81</v>
      </c>
      <c r="Q408" s="2">
        <v>74324.710000000006</v>
      </c>
      <c r="R408" s="2" t="s">
        <v>33</v>
      </c>
      <c r="S408" s="2" t="s">
        <v>34</v>
      </c>
      <c r="T408" s="9" t="s">
        <v>1703</v>
      </c>
      <c r="U408" s="10" t="s">
        <v>1701</v>
      </c>
      <c r="V408" s="2" t="s">
        <v>35</v>
      </c>
      <c r="W408" s="2">
        <v>10</v>
      </c>
      <c r="X408" s="2" t="s">
        <v>44</v>
      </c>
      <c r="Y408" s="2">
        <v>2</v>
      </c>
      <c r="Z408" s="2" t="s">
        <v>54</v>
      </c>
    </row>
    <row r="409" spans="1:26" x14ac:dyDescent="0.35">
      <c r="A409" s="2" t="s">
        <v>815</v>
      </c>
      <c r="B409" s="3">
        <v>46027</v>
      </c>
      <c r="C409" s="2" t="s">
        <v>216</v>
      </c>
      <c r="D409" s="2" t="s">
        <v>28</v>
      </c>
      <c r="E409" s="2" t="s">
        <v>29</v>
      </c>
      <c r="F409" s="2">
        <v>27</v>
      </c>
      <c r="G409" s="2" t="s">
        <v>127</v>
      </c>
      <c r="H409" s="2" t="s">
        <v>31</v>
      </c>
      <c r="I409" s="2" t="s">
        <v>127</v>
      </c>
      <c r="J409" s="2" t="s">
        <v>190</v>
      </c>
      <c r="K409" s="2">
        <v>1</v>
      </c>
      <c r="L409" s="2">
        <v>39817</v>
      </c>
      <c r="M409" s="2">
        <v>0</v>
      </c>
      <c r="N409" s="2">
        <v>0</v>
      </c>
      <c r="O409" s="2">
        <v>7167.06</v>
      </c>
      <c r="P409" s="2">
        <v>338</v>
      </c>
      <c r="Q409" s="2">
        <v>47322.06</v>
      </c>
      <c r="R409" s="2" t="s">
        <v>76</v>
      </c>
      <c r="S409" s="2" t="s">
        <v>34</v>
      </c>
      <c r="T409" s="9" t="s">
        <v>1706</v>
      </c>
      <c r="U409" s="10" t="s">
        <v>52</v>
      </c>
      <c r="V409" s="2" t="s">
        <v>53</v>
      </c>
      <c r="W409" s="2">
        <v>5</v>
      </c>
      <c r="X409" s="2" t="s">
        <v>36</v>
      </c>
      <c r="Y409" s="2">
        <v>2</v>
      </c>
      <c r="Z409" s="2" t="s">
        <v>37</v>
      </c>
    </row>
    <row r="410" spans="1:26" x14ac:dyDescent="0.35">
      <c r="A410" s="2" t="s">
        <v>816</v>
      </c>
      <c r="B410" s="3">
        <v>45846</v>
      </c>
      <c r="C410" s="2" t="s">
        <v>817</v>
      </c>
      <c r="D410" s="2" t="s">
        <v>80</v>
      </c>
      <c r="E410" s="2" t="s">
        <v>41</v>
      </c>
      <c r="F410" s="2">
        <v>21</v>
      </c>
      <c r="G410" s="2" t="s">
        <v>122</v>
      </c>
      <c r="H410" s="2" t="s">
        <v>31</v>
      </c>
      <c r="I410" s="2" t="s">
        <v>122</v>
      </c>
      <c r="J410" s="2" t="s">
        <v>190</v>
      </c>
      <c r="K410" s="2">
        <v>2</v>
      </c>
      <c r="L410" s="2">
        <v>13948</v>
      </c>
      <c r="M410" s="2">
        <v>20</v>
      </c>
      <c r="N410" s="2">
        <v>5579.2</v>
      </c>
      <c r="O410" s="2">
        <v>4017.02</v>
      </c>
      <c r="P410" s="2">
        <v>146</v>
      </c>
      <c r="Q410" s="2">
        <v>26479.82</v>
      </c>
      <c r="R410" s="2" t="s">
        <v>51</v>
      </c>
      <c r="S410" s="2" t="s">
        <v>34</v>
      </c>
      <c r="T410" s="9" t="s">
        <v>1703</v>
      </c>
      <c r="U410" s="10" t="s">
        <v>1701</v>
      </c>
      <c r="V410" s="2" t="s">
        <v>35</v>
      </c>
      <c r="W410" s="2">
        <v>2</v>
      </c>
      <c r="X410" s="2" t="s">
        <v>44</v>
      </c>
      <c r="Y410" s="2">
        <v>1</v>
      </c>
      <c r="Z410" s="2" t="s">
        <v>37</v>
      </c>
    </row>
    <row r="411" spans="1:26" x14ac:dyDescent="0.35">
      <c r="A411" s="2" t="s">
        <v>818</v>
      </c>
      <c r="B411" s="3">
        <v>45843</v>
      </c>
      <c r="C411" s="2" t="s">
        <v>819</v>
      </c>
      <c r="D411" s="2" t="s">
        <v>28</v>
      </c>
      <c r="E411" s="2" t="s">
        <v>41</v>
      </c>
      <c r="F411" s="2">
        <v>26</v>
      </c>
      <c r="G411" s="2" t="s">
        <v>63</v>
      </c>
      <c r="H411" s="2" t="s">
        <v>64</v>
      </c>
      <c r="I411" s="2" t="s">
        <v>63</v>
      </c>
      <c r="J411" s="2" t="s">
        <v>190</v>
      </c>
      <c r="K411" s="2">
        <v>2</v>
      </c>
      <c r="L411" s="2">
        <v>23299</v>
      </c>
      <c r="M411" s="2">
        <v>10</v>
      </c>
      <c r="N411" s="2">
        <v>4659.8</v>
      </c>
      <c r="O411" s="2">
        <v>7548.88</v>
      </c>
      <c r="P411" s="2">
        <v>416</v>
      </c>
      <c r="Q411" s="2">
        <v>49903.08</v>
      </c>
      <c r="R411" s="2" t="s">
        <v>33</v>
      </c>
      <c r="S411" s="2" t="s">
        <v>59</v>
      </c>
      <c r="T411" s="9" t="s">
        <v>1708</v>
      </c>
      <c r="U411" s="10" t="s">
        <v>52</v>
      </c>
      <c r="V411" s="2" t="s">
        <v>77</v>
      </c>
      <c r="W411" s="2">
        <v>1</v>
      </c>
      <c r="X411" s="2" t="s">
        <v>44</v>
      </c>
      <c r="Y411" s="2">
        <v>2</v>
      </c>
      <c r="Z411" s="2" t="s">
        <v>54</v>
      </c>
    </row>
    <row r="412" spans="1:26" x14ac:dyDescent="0.35">
      <c r="A412" s="2" t="s">
        <v>820</v>
      </c>
      <c r="B412" s="3">
        <v>45895</v>
      </c>
      <c r="C412" s="2" t="s">
        <v>821</v>
      </c>
      <c r="D412" s="2" t="s">
        <v>47</v>
      </c>
      <c r="E412" s="2" t="s">
        <v>29</v>
      </c>
      <c r="F412" s="2">
        <v>32</v>
      </c>
      <c r="G412" s="2" t="s">
        <v>81</v>
      </c>
      <c r="H412" s="2" t="s">
        <v>31</v>
      </c>
      <c r="I412" s="2" t="s">
        <v>81</v>
      </c>
      <c r="J412" s="2" t="s">
        <v>50</v>
      </c>
      <c r="K412" s="2">
        <v>2</v>
      </c>
      <c r="L412" s="2">
        <v>32677</v>
      </c>
      <c r="M412" s="2">
        <v>10</v>
      </c>
      <c r="N412" s="2">
        <v>6535.4</v>
      </c>
      <c r="O412" s="2">
        <v>10587.35</v>
      </c>
      <c r="P412" s="2">
        <v>159</v>
      </c>
      <c r="Q412" s="2">
        <v>69564.95</v>
      </c>
      <c r="R412" s="2" t="s">
        <v>76</v>
      </c>
      <c r="S412" s="2" t="s">
        <v>34</v>
      </c>
      <c r="T412" s="9" t="s">
        <v>1703</v>
      </c>
      <c r="U412" s="10" t="s">
        <v>1701</v>
      </c>
      <c r="V412" s="2" t="s">
        <v>35</v>
      </c>
      <c r="W412" s="2">
        <v>3</v>
      </c>
      <c r="X412" s="2" t="s">
        <v>44</v>
      </c>
      <c r="Y412" s="2">
        <v>4</v>
      </c>
      <c r="Z412" s="2" t="s">
        <v>37</v>
      </c>
    </row>
    <row r="413" spans="1:26" x14ac:dyDescent="0.35">
      <c r="A413" s="2" t="s">
        <v>822</v>
      </c>
      <c r="B413" s="3">
        <v>45768</v>
      </c>
      <c r="C413" s="2" t="s">
        <v>823</v>
      </c>
      <c r="D413" s="2" t="s">
        <v>96</v>
      </c>
      <c r="E413" s="2" t="s">
        <v>29</v>
      </c>
      <c r="F413" s="2">
        <v>21</v>
      </c>
      <c r="G413" s="2" t="s">
        <v>48</v>
      </c>
      <c r="H413" s="2" t="s">
        <v>49</v>
      </c>
      <c r="I413" s="2" t="s">
        <v>48</v>
      </c>
      <c r="J413" s="2" t="s">
        <v>65</v>
      </c>
      <c r="K413" s="2">
        <v>2</v>
      </c>
      <c r="L413" s="2">
        <v>31723</v>
      </c>
      <c r="M413" s="2">
        <v>15</v>
      </c>
      <c r="N413" s="2">
        <v>9516.9</v>
      </c>
      <c r="O413" s="2">
        <v>9707.24</v>
      </c>
      <c r="P413" s="2">
        <v>178</v>
      </c>
      <c r="Q413" s="2">
        <v>63814.34</v>
      </c>
      <c r="R413" s="2" t="s">
        <v>43</v>
      </c>
      <c r="S413" s="2" t="s">
        <v>59</v>
      </c>
      <c r="T413" s="9" t="s">
        <v>1709</v>
      </c>
      <c r="U413" s="10" t="s">
        <v>52</v>
      </c>
      <c r="V413" s="2" t="s">
        <v>53</v>
      </c>
      <c r="W413" s="2">
        <v>2</v>
      </c>
      <c r="X413" s="2" t="s">
        <v>36</v>
      </c>
      <c r="Y413" s="2">
        <v>2</v>
      </c>
      <c r="Z413" s="2" t="s">
        <v>44</v>
      </c>
    </row>
    <row r="414" spans="1:26" x14ac:dyDescent="0.35">
      <c r="A414" s="2" t="s">
        <v>824</v>
      </c>
      <c r="B414" s="3">
        <v>45836</v>
      </c>
      <c r="C414" s="2" t="s">
        <v>416</v>
      </c>
      <c r="D414" s="2" t="s">
        <v>40</v>
      </c>
      <c r="E414" s="2" t="s">
        <v>41</v>
      </c>
      <c r="F414" s="2">
        <v>18</v>
      </c>
      <c r="G414" s="2" t="s">
        <v>81</v>
      </c>
      <c r="H414" s="2" t="s">
        <v>31</v>
      </c>
      <c r="I414" s="2" t="s">
        <v>81</v>
      </c>
      <c r="J414" s="2" t="s">
        <v>91</v>
      </c>
      <c r="K414" s="2">
        <v>3</v>
      </c>
      <c r="L414" s="2">
        <v>32699</v>
      </c>
      <c r="M414" s="2">
        <v>15</v>
      </c>
      <c r="N414" s="2">
        <v>14714.55</v>
      </c>
      <c r="O414" s="2">
        <v>15008.84</v>
      </c>
      <c r="P414" s="2">
        <v>232</v>
      </c>
      <c r="Q414" s="2">
        <v>98623.29</v>
      </c>
      <c r="R414" s="2" t="s">
        <v>76</v>
      </c>
      <c r="S414" s="2" t="s">
        <v>34</v>
      </c>
      <c r="T414" s="9" t="s">
        <v>1708</v>
      </c>
      <c r="U414" s="10" t="s">
        <v>52</v>
      </c>
      <c r="V414" s="2" t="s">
        <v>77</v>
      </c>
      <c r="W414" s="2">
        <v>4</v>
      </c>
      <c r="X414" s="2" t="s">
        <v>36</v>
      </c>
      <c r="Y414" s="2">
        <v>1</v>
      </c>
      <c r="Z414" s="2" t="s">
        <v>82</v>
      </c>
    </row>
    <row r="415" spans="1:26" x14ac:dyDescent="0.35">
      <c r="A415" s="2" t="s">
        <v>825</v>
      </c>
      <c r="B415" s="3">
        <v>45955</v>
      </c>
      <c r="C415" s="2" t="s">
        <v>639</v>
      </c>
      <c r="D415" s="2" t="s">
        <v>68</v>
      </c>
      <c r="E415" s="2" t="s">
        <v>41</v>
      </c>
      <c r="F415" s="2">
        <v>40</v>
      </c>
      <c r="G415" s="2" t="s">
        <v>63</v>
      </c>
      <c r="H415" s="2" t="s">
        <v>64</v>
      </c>
      <c r="I415" s="2" t="s">
        <v>63</v>
      </c>
      <c r="J415" s="2" t="s">
        <v>113</v>
      </c>
      <c r="K415" s="2">
        <v>5</v>
      </c>
      <c r="L415" s="2">
        <v>13093</v>
      </c>
      <c r="M415" s="2">
        <v>15</v>
      </c>
      <c r="N415" s="2">
        <v>9819.75</v>
      </c>
      <c r="O415" s="2">
        <v>10016.15</v>
      </c>
      <c r="P415" s="2">
        <v>119</v>
      </c>
      <c r="Q415" s="2">
        <v>65780.399999999994</v>
      </c>
      <c r="R415" s="2" t="s">
        <v>43</v>
      </c>
      <c r="S415" s="2" t="s">
        <v>34</v>
      </c>
      <c r="T415" s="9" t="s">
        <v>1703</v>
      </c>
      <c r="U415" s="10" t="s">
        <v>1701</v>
      </c>
      <c r="V415" s="2" t="s">
        <v>35</v>
      </c>
      <c r="W415" s="2">
        <v>9</v>
      </c>
      <c r="X415" s="2" t="s">
        <v>44</v>
      </c>
      <c r="Y415" s="2">
        <v>2</v>
      </c>
      <c r="Z415" s="2" t="s">
        <v>44</v>
      </c>
    </row>
    <row r="416" spans="1:26" x14ac:dyDescent="0.35">
      <c r="A416" s="2" t="s">
        <v>826</v>
      </c>
      <c r="B416" s="3">
        <v>45889</v>
      </c>
      <c r="C416" s="2" t="s">
        <v>827</v>
      </c>
      <c r="D416" s="2" t="s">
        <v>80</v>
      </c>
      <c r="E416" s="2" t="s">
        <v>29</v>
      </c>
      <c r="F416" s="2">
        <v>44</v>
      </c>
      <c r="G416" s="2" t="s">
        <v>127</v>
      </c>
      <c r="H416" s="2" t="s">
        <v>31</v>
      </c>
      <c r="I416" s="2" t="s">
        <v>127</v>
      </c>
      <c r="J416" s="2" t="s">
        <v>65</v>
      </c>
      <c r="K416" s="2">
        <v>1</v>
      </c>
      <c r="L416" s="2">
        <v>29058</v>
      </c>
      <c r="M416" s="2">
        <v>15</v>
      </c>
      <c r="N416" s="2">
        <v>4358.7</v>
      </c>
      <c r="O416" s="2">
        <v>4445.87</v>
      </c>
      <c r="P416" s="2">
        <v>483</v>
      </c>
      <c r="Q416" s="2">
        <v>29628.17</v>
      </c>
      <c r="R416" s="2" t="s">
        <v>33</v>
      </c>
      <c r="S416" s="2" t="s">
        <v>59</v>
      </c>
      <c r="T416" s="9" t="s">
        <v>1706</v>
      </c>
      <c r="U416" s="10" t="s">
        <v>52</v>
      </c>
      <c r="V416" s="2" t="s">
        <v>53</v>
      </c>
      <c r="W416" s="2">
        <v>4</v>
      </c>
      <c r="X416" s="2" t="s">
        <v>44</v>
      </c>
      <c r="Y416" s="2">
        <v>2</v>
      </c>
      <c r="Z416" s="2" t="s">
        <v>54</v>
      </c>
    </row>
    <row r="417" spans="1:26" x14ac:dyDescent="0.35">
      <c r="A417" s="2" t="s">
        <v>828</v>
      </c>
      <c r="B417" s="3">
        <v>46085</v>
      </c>
      <c r="C417" s="2" t="s">
        <v>829</v>
      </c>
      <c r="D417" s="2" t="s">
        <v>47</v>
      </c>
      <c r="E417" s="2" t="s">
        <v>29</v>
      </c>
      <c r="F417" s="2">
        <v>34</v>
      </c>
      <c r="G417" s="2" t="s">
        <v>81</v>
      </c>
      <c r="H417" s="2" t="s">
        <v>31</v>
      </c>
      <c r="I417" s="2" t="s">
        <v>81</v>
      </c>
      <c r="J417" s="2" t="s">
        <v>100</v>
      </c>
      <c r="K417" s="2">
        <v>4</v>
      </c>
      <c r="L417" s="2">
        <v>893</v>
      </c>
      <c r="M417" s="2">
        <v>15</v>
      </c>
      <c r="N417" s="2">
        <v>535.79999999999995</v>
      </c>
      <c r="O417" s="2">
        <v>546.52</v>
      </c>
      <c r="P417" s="2">
        <v>235</v>
      </c>
      <c r="Q417" s="2">
        <v>3817.72</v>
      </c>
      <c r="R417" s="2" t="s">
        <v>43</v>
      </c>
      <c r="S417" s="2" t="s">
        <v>59</v>
      </c>
      <c r="T417" s="9" t="s">
        <v>1709</v>
      </c>
      <c r="U417" s="10" t="s">
        <v>52</v>
      </c>
      <c r="V417" s="2" t="s">
        <v>53</v>
      </c>
      <c r="W417" s="2">
        <v>3</v>
      </c>
      <c r="X417" s="2" t="s">
        <v>36</v>
      </c>
      <c r="Y417" s="2">
        <v>5</v>
      </c>
      <c r="Z417" s="2" t="s">
        <v>54</v>
      </c>
    </row>
    <row r="418" spans="1:26" x14ac:dyDescent="0.35">
      <c r="A418" s="2" t="s">
        <v>830</v>
      </c>
      <c r="B418" s="3">
        <v>46012</v>
      </c>
      <c r="C418" s="2" t="s">
        <v>542</v>
      </c>
      <c r="D418" s="2" t="s">
        <v>80</v>
      </c>
      <c r="E418" s="2" t="s">
        <v>29</v>
      </c>
      <c r="F418" s="2">
        <v>43</v>
      </c>
      <c r="G418" s="2" t="s">
        <v>48</v>
      </c>
      <c r="H418" s="2" t="s">
        <v>49</v>
      </c>
      <c r="I418" s="2" t="s">
        <v>48</v>
      </c>
      <c r="J418" s="2" t="s">
        <v>58</v>
      </c>
      <c r="K418" s="2">
        <v>2</v>
      </c>
      <c r="L418" s="2">
        <v>30884</v>
      </c>
      <c r="M418" s="2">
        <v>15</v>
      </c>
      <c r="N418" s="2">
        <v>9265.2000000000007</v>
      </c>
      <c r="O418" s="2">
        <v>9450.5</v>
      </c>
      <c r="P418" s="2">
        <v>377</v>
      </c>
      <c r="Q418" s="2">
        <v>62330.3</v>
      </c>
      <c r="R418" s="2" t="s">
        <v>51</v>
      </c>
      <c r="S418" s="2" t="s">
        <v>34</v>
      </c>
      <c r="T418" s="9" t="s">
        <v>1705</v>
      </c>
      <c r="U418" s="10" t="s">
        <v>1702</v>
      </c>
      <c r="V418" s="2" t="s">
        <v>53</v>
      </c>
      <c r="W418" s="2">
        <v>4</v>
      </c>
      <c r="X418" s="2" t="s">
        <v>36</v>
      </c>
      <c r="Y418" s="2">
        <v>5</v>
      </c>
      <c r="Z418" s="2" t="s">
        <v>54</v>
      </c>
    </row>
    <row r="419" spans="1:26" x14ac:dyDescent="0.35">
      <c r="A419" s="2" t="s">
        <v>831</v>
      </c>
      <c r="B419" s="3">
        <v>46053</v>
      </c>
      <c r="C419" s="2" t="s">
        <v>108</v>
      </c>
      <c r="D419" s="2" t="s">
        <v>57</v>
      </c>
      <c r="E419" s="2" t="s">
        <v>29</v>
      </c>
      <c r="F419" s="2">
        <v>32</v>
      </c>
      <c r="G419" s="2" t="s">
        <v>85</v>
      </c>
      <c r="H419" s="2" t="s">
        <v>31</v>
      </c>
      <c r="I419" s="2" t="s">
        <v>85</v>
      </c>
      <c r="J419" s="2" t="s">
        <v>91</v>
      </c>
      <c r="K419" s="2">
        <v>1</v>
      </c>
      <c r="L419" s="2">
        <v>18649</v>
      </c>
      <c r="M419" s="2">
        <v>10</v>
      </c>
      <c r="N419" s="2">
        <v>1864.9</v>
      </c>
      <c r="O419" s="2">
        <v>3021.14</v>
      </c>
      <c r="P419" s="2">
        <v>223</v>
      </c>
      <c r="Q419" s="2">
        <v>20028.240000000002</v>
      </c>
      <c r="R419" s="2" t="s">
        <v>33</v>
      </c>
      <c r="S419" s="2" t="s">
        <v>59</v>
      </c>
      <c r="T419" s="9" t="s">
        <v>1710</v>
      </c>
      <c r="U419" s="10" t="s">
        <v>1711</v>
      </c>
      <c r="V419" s="2" t="s">
        <v>53</v>
      </c>
      <c r="W419" s="2">
        <v>2</v>
      </c>
      <c r="X419" s="2" t="s">
        <v>44</v>
      </c>
      <c r="Y419" s="2">
        <v>2</v>
      </c>
      <c r="Z419" s="2" t="s">
        <v>54</v>
      </c>
    </row>
    <row r="420" spans="1:26" x14ac:dyDescent="0.35">
      <c r="A420" s="2" t="s">
        <v>832</v>
      </c>
      <c r="B420" s="3">
        <v>45758</v>
      </c>
      <c r="C420" s="2" t="s">
        <v>833</v>
      </c>
      <c r="D420" s="2" t="s">
        <v>28</v>
      </c>
      <c r="E420" s="2" t="s">
        <v>41</v>
      </c>
      <c r="F420" s="2">
        <v>57</v>
      </c>
      <c r="G420" s="2" t="s">
        <v>30</v>
      </c>
      <c r="H420" s="2" t="s">
        <v>31</v>
      </c>
      <c r="I420" s="2" t="s">
        <v>30</v>
      </c>
      <c r="J420" s="2" t="s">
        <v>70</v>
      </c>
      <c r="K420" s="2">
        <v>4</v>
      </c>
      <c r="L420" s="2">
        <v>25831</v>
      </c>
      <c r="M420" s="2">
        <v>0</v>
      </c>
      <c r="N420" s="2">
        <v>0</v>
      </c>
      <c r="O420" s="2">
        <v>18598.32</v>
      </c>
      <c r="P420" s="2">
        <v>290</v>
      </c>
      <c r="Q420" s="2">
        <v>122212.32</v>
      </c>
      <c r="R420" s="2" t="s">
        <v>51</v>
      </c>
      <c r="S420" s="2" t="s">
        <v>59</v>
      </c>
      <c r="T420" s="9" t="s">
        <v>1704</v>
      </c>
      <c r="U420" s="10" t="s">
        <v>52</v>
      </c>
      <c r="V420" s="2" t="s">
        <v>35</v>
      </c>
      <c r="W420" s="2">
        <v>9</v>
      </c>
      <c r="X420" s="2" t="s">
        <v>36</v>
      </c>
      <c r="Y420" s="2">
        <v>5</v>
      </c>
      <c r="Z420" s="2" t="s">
        <v>54</v>
      </c>
    </row>
    <row r="421" spans="1:26" x14ac:dyDescent="0.35">
      <c r="A421" s="2" t="s">
        <v>834</v>
      </c>
      <c r="B421" s="3">
        <v>45876</v>
      </c>
      <c r="C421" s="2" t="s">
        <v>835</v>
      </c>
      <c r="D421" s="2" t="s">
        <v>99</v>
      </c>
      <c r="E421" s="2" t="s">
        <v>41</v>
      </c>
      <c r="F421" s="2">
        <v>22</v>
      </c>
      <c r="G421" s="2" t="s">
        <v>88</v>
      </c>
      <c r="H421" s="2" t="s">
        <v>49</v>
      </c>
      <c r="I421" s="2" t="s">
        <v>88</v>
      </c>
      <c r="J421" s="2" t="s">
        <v>58</v>
      </c>
      <c r="K421" s="2">
        <v>3</v>
      </c>
      <c r="L421" s="2">
        <v>5184</v>
      </c>
      <c r="M421" s="2">
        <v>10</v>
      </c>
      <c r="N421" s="2">
        <v>1555.2</v>
      </c>
      <c r="O421" s="2">
        <v>2519.42</v>
      </c>
      <c r="P421" s="2">
        <v>384</v>
      </c>
      <c r="Q421" s="2">
        <v>16900.22</v>
      </c>
      <c r="R421" s="2" t="s">
        <v>33</v>
      </c>
      <c r="S421" s="2" t="s">
        <v>59</v>
      </c>
      <c r="T421" s="9" t="s">
        <v>1706</v>
      </c>
      <c r="U421" s="10" t="s">
        <v>52</v>
      </c>
      <c r="V421" s="2" t="s">
        <v>53</v>
      </c>
      <c r="W421" s="2">
        <v>10</v>
      </c>
      <c r="X421" s="2" t="s">
        <v>44</v>
      </c>
      <c r="Y421" s="2">
        <v>3</v>
      </c>
      <c r="Z421" s="2" t="s">
        <v>82</v>
      </c>
    </row>
    <row r="422" spans="1:26" x14ac:dyDescent="0.35">
      <c r="A422" s="2" t="s">
        <v>836</v>
      </c>
      <c r="B422" s="3">
        <v>46108</v>
      </c>
      <c r="C422" s="2" t="s">
        <v>837</v>
      </c>
      <c r="D422" s="2" t="s">
        <v>47</v>
      </c>
      <c r="E422" s="2" t="s">
        <v>29</v>
      </c>
      <c r="F422" s="2">
        <v>30</v>
      </c>
      <c r="G422" s="2" t="s">
        <v>48</v>
      </c>
      <c r="H422" s="2" t="s">
        <v>49</v>
      </c>
      <c r="I422" s="2" t="s">
        <v>48</v>
      </c>
      <c r="J422" s="2" t="s">
        <v>91</v>
      </c>
      <c r="K422" s="2">
        <v>2</v>
      </c>
      <c r="L422" s="2">
        <v>6464</v>
      </c>
      <c r="M422" s="2">
        <v>5</v>
      </c>
      <c r="N422" s="2">
        <v>646.4</v>
      </c>
      <c r="O422" s="2">
        <v>2210.69</v>
      </c>
      <c r="P422" s="2">
        <v>494</v>
      </c>
      <c r="Q422" s="2">
        <v>14986.29</v>
      </c>
      <c r="R422" s="2" t="s">
        <v>43</v>
      </c>
      <c r="S422" s="2" t="s">
        <v>59</v>
      </c>
      <c r="T422" s="9" t="s">
        <v>1706</v>
      </c>
      <c r="U422" s="10" t="s">
        <v>52</v>
      </c>
      <c r="V422" s="2" t="s">
        <v>53</v>
      </c>
      <c r="W422" s="2">
        <v>2</v>
      </c>
      <c r="X422" s="2" t="s">
        <v>36</v>
      </c>
      <c r="Y422" s="2">
        <v>1</v>
      </c>
      <c r="Z422" s="2" t="s">
        <v>82</v>
      </c>
    </row>
    <row r="423" spans="1:26" x14ac:dyDescent="0.35">
      <c r="A423" s="2" t="s">
        <v>838</v>
      </c>
      <c r="B423" s="3">
        <v>45916</v>
      </c>
      <c r="C423" s="2" t="s">
        <v>102</v>
      </c>
      <c r="D423" s="2" t="s">
        <v>28</v>
      </c>
      <c r="E423" s="2" t="s">
        <v>41</v>
      </c>
      <c r="F423" s="2">
        <v>19</v>
      </c>
      <c r="G423" s="2" t="s">
        <v>69</v>
      </c>
      <c r="H423" s="2" t="s">
        <v>31</v>
      </c>
      <c r="I423" s="2" t="s">
        <v>69</v>
      </c>
      <c r="J423" s="2" t="s">
        <v>113</v>
      </c>
      <c r="K423" s="2">
        <v>1</v>
      </c>
      <c r="L423" s="2">
        <v>41930</v>
      </c>
      <c r="M423" s="2">
        <v>20</v>
      </c>
      <c r="N423" s="2">
        <v>8386</v>
      </c>
      <c r="O423" s="2">
        <v>6037.92</v>
      </c>
      <c r="P423" s="2">
        <v>39</v>
      </c>
      <c r="Q423" s="2">
        <v>39620.92</v>
      </c>
      <c r="R423" s="2" t="s">
        <v>76</v>
      </c>
      <c r="S423" s="2" t="s">
        <v>59</v>
      </c>
      <c r="T423" s="9" t="s">
        <v>1709</v>
      </c>
      <c r="U423" s="10" t="s">
        <v>52</v>
      </c>
      <c r="V423" s="2" t="s">
        <v>53</v>
      </c>
      <c r="W423" s="2">
        <v>1</v>
      </c>
      <c r="X423" s="2" t="s">
        <v>36</v>
      </c>
      <c r="Y423" s="2">
        <v>3</v>
      </c>
      <c r="Z423" s="2" t="s">
        <v>54</v>
      </c>
    </row>
    <row r="424" spans="1:26" x14ac:dyDescent="0.35">
      <c r="A424" s="2" t="s">
        <v>839</v>
      </c>
      <c r="B424" s="3">
        <v>46027</v>
      </c>
      <c r="C424" s="2" t="s">
        <v>840</v>
      </c>
      <c r="D424" s="2" t="s">
        <v>57</v>
      </c>
      <c r="E424" s="2" t="s">
        <v>29</v>
      </c>
      <c r="F424" s="2">
        <v>30</v>
      </c>
      <c r="G424" s="2" t="s">
        <v>88</v>
      </c>
      <c r="H424" s="2" t="s">
        <v>49</v>
      </c>
      <c r="I424" s="2" t="s">
        <v>88</v>
      </c>
      <c r="J424" s="2" t="s">
        <v>138</v>
      </c>
      <c r="K424" s="2">
        <v>2</v>
      </c>
      <c r="L424" s="2">
        <v>602</v>
      </c>
      <c r="M424" s="2">
        <v>5</v>
      </c>
      <c r="N424" s="2">
        <v>60.2</v>
      </c>
      <c r="O424" s="2">
        <v>205.88</v>
      </c>
      <c r="P424" s="2">
        <v>330</v>
      </c>
      <c r="Q424" s="2">
        <v>1679.68</v>
      </c>
      <c r="R424" s="2" t="s">
        <v>33</v>
      </c>
      <c r="S424" s="2" t="s">
        <v>59</v>
      </c>
      <c r="T424" s="9" t="s">
        <v>1704</v>
      </c>
      <c r="U424" s="10" t="s">
        <v>52</v>
      </c>
      <c r="V424" s="2" t="s">
        <v>35</v>
      </c>
      <c r="W424" s="2">
        <v>4</v>
      </c>
      <c r="X424" s="2" t="s">
        <v>44</v>
      </c>
      <c r="Y424" s="2">
        <v>3</v>
      </c>
      <c r="Z424" s="2" t="s">
        <v>37</v>
      </c>
    </row>
    <row r="425" spans="1:26" x14ac:dyDescent="0.35">
      <c r="A425" s="2" t="s">
        <v>841</v>
      </c>
      <c r="B425" s="3">
        <v>45928</v>
      </c>
      <c r="C425" s="2" t="s">
        <v>842</v>
      </c>
      <c r="D425" s="2" t="s">
        <v>99</v>
      </c>
      <c r="E425" s="2" t="s">
        <v>29</v>
      </c>
      <c r="F425" s="2">
        <v>44</v>
      </c>
      <c r="G425" s="2" t="s">
        <v>63</v>
      </c>
      <c r="H425" s="2" t="s">
        <v>64</v>
      </c>
      <c r="I425" s="2" t="s">
        <v>63</v>
      </c>
      <c r="J425" s="2" t="s">
        <v>138</v>
      </c>
      <c r="K425" s="2">
        <v>4</v>
      </c>
      <c r="L425" s="2">
        <v>32958</v>
      </c>
      <c r="M425" s="2">
        <v>15</v>
      </c>
      <c r="N425" s="2">
        <v>19774.8</v>
      </c>
      <c r="O425" s="2">
        <v>20170.3</v>
      </c>
      <c r="P425" s="2">
        <v>359</v>
      </c>
      <c r="Q425" s="2">
        <v>132586.5</v>
      </c>
      <c r="R425" s="2" t="s">
        <v>33</v>
      </c>
      <c r="S425" s="2" t="s">
        <v>59</v>
      </c>
      <c r="T425" s="9" t="s">
        <v>1710</v>
      </c>
      <c r="U425" s="10" t="s">
        <v>1711</v>
      </c>
      <c r="V425" s="2" t="s">
        <v>53</v>
      </c>
      <c r="W425" s="2">
        <v>4</v>
      </c>
      <c r="X425" s="2" t="s">
        <v>36</v>
      </c>
      <c r="Y425" s="2">
        <v>3</v>
      </c>
      <c r="Z425" s="2" t="s">
        <v>44</v>
      </c>
    </row>
    <row r="426" spans="1:26" x14ac:dyDescent="0.35">
      <c r="A426" s="2" t="s">
        <v>843</v>
      </c>
      <c r="B426" s="3">
        <v>45836</v>
      </c>
      <c r="C426" s="2" t="s">
        <v>844</v>
      </c>
      <c r="D426" s="2" t="s">
        <v>62</v>
      </c>
      <c r="E426" s="2" t="s">
        <v>29</v>
      </c>
      <c r="F426" s="2">
        <v>29</v>
      </c>
      <c r="G426" s="2" t="s">
        <v>30</v>
      </c>
      <c r="H426" s="2" t="s">
        <v>31</v>
      </c>
      <c r="I426" s="2" t="s">
        <v>30</v>
      </c>
      <c r="J426" s="2" t="s">
        <v>32</v>
      </c>
      <c r="K426" s="2">
        <v>1</v>
      </c>
      <c r="L426" s="2">
        <v>22795</v>
      </c>
      <c r="M426" s="2">
        <v>20</v>
      </c>
      <c r="N426" s="2">
        <v>4559</v>
      </c>
      <c r="O426" s="2">
        <v>3282.48</v>
      </c>
      <c r="P426" s="2">
        <v>408</v>
      </c>
      <c r="Q426" s="2">
        <v>21926.48</v>
      </c>
      <c r="R426" s="2" t="s">
        <v>43</v>
      </c>
      <c r="S426" s="2" t="s">
        <v>59</v>
      </c>
      <c r="T426" s="9" t="s">
        <v>1708</v>
      </c>
      <c r="U426" s="10" t="s">
        <v>52</v>
      </c>
      <c r="V426" s="2" t="s">
        <v>77</v>
      </c>
      <c r="W426" s="2">
        <v>10</v>
      </c>
      <c r="X426" s="2" t="s">
        <v>36</v>
      </c>
      <c r="Y426" s="2">
        <v>1</v>
      </c>
      <c r="Z426" s="2" t="s">
        <v>37</v>
      </c>
    </row>
    <row r="427" spans="1:26" x14ac:dyDescent="0.35">
      <c r="A427" s="2" t="s">
        <v>845</v>
      </c>
      <c r="B427" s="3">
        <v>45988</v>
      </c>
      <c r="C427" s="2" t="s">
        <v>399</v>
      </c>
      <c r="D427" s="2" t="s">
        <v>47</v>
      </c>
      <c r="E427" s="2" t="s">
        <v>41</v>
      </c>
      <c r="F427" s="2">
        <v>34</v>
      </c>
      <c r="G427" s="2" t="s">
        <v>122</v>
      </c>
      <c r="H427" s="2" t="s">
        <v>31</v>
      </c>
      <c r="I427" s="2" t="s">
        <v>122</v>
      </c>
      <c r="J427" s="2" t="s">
        <v>65</v>
      </c>
      <c r="K427" s="2">
        <v>2</v>
      </c>
      <c r="L427" s="2">
        <v>44955</v>
      </c>
      <c r="M427" s="2">
        <v>15</v>
      </c>
      <c r="N427" s="2">
        <v>13486.5</v>
      </c>
      <c r="O427" s="2">
        <v>13756.23</v>
      </c>
      <c r="P427" s="2">
        <v>122</v>
      </c>
      <c r="Q427" s="2">
        <v>90301.73</v>
      </c>
      <c r="R427" s="2" t="s">
        <v>33</v>
      </c>
      <c r="S427" s="2" t="s">
        <v>34</v>
      </c>
      <c r="T427" s="9" t="s">
        <v>1705</v>
      </c>
      <c r="U427" s="10" t="s">
        <v>1702</v>
      </c>
      <c r="V427" s="2" t="s">
        <v>53</v>
      </c>
      <c r="W427" s="2">
        <v>2</v>
      </c>
      <c r="X427" s="2" t="s">
        <v>36</v>
      </c>
      <c r="Y427" s="2">
        <v>3</v>
      </c>
      <c r="Z427" s="2" t="s">
        <v>37</v>
      </c>
    </row>
    <row r="428" spans="1:26" x14ac:dyDescent="0.35">
      <c r="A428" s="2" t="s">
        <v>846</v>
      </c>
      <c r="B428" s="3">
        <v>46067</v>
      </c>
      <c r="C428" s="2" t="s">
        <v>847</v>
      </c>
      <c r="D428" s="2" t="s">
        <v>68</v>
      </c>
      <c r="E428" s="2" t="s">
        <v>29</v>
      </c>
      <c r="F428" s="2">
        <v>32</v>
      </c>
      <c r="G428" s="2" t="s">
        <v>88</v>
      </c>
      <c r="H428" s="2" t="s">
        <v>49</v>
      </c>
      <c r="I428" s="2" t="s">
        <v>88</v>
      </c>
      <c r="J428" s="2" t="s">
        <v>65</v>
      </c>
      <c r="K428" s="2">
        <v>3</v>
      </c>
      <c r="L428" s="2">
        <v>29894</v>
      </c>
      <c r="M428" s="2">
        <v>5</v>
      </c>
      <c r="N428" s="2">
        <v>4484.1000000000004</v>
      </c>
      <c r="O428" s="2">
        <v>15335.62</v>
      </c>
      <c r="P428" s="2">
        <v>374</v>
      </c>
      <c r="Q428" s="2">
        <v>100907.52</v>
      </c>
      <c r="R428" s="2" t="s">
        <v>43</v>
      </c>
      <c r="S428" s="2" t="s">
        <v>34</v>
      </c>
      <c r="T428" s="9" t="s">
        <v>1704</v>
      </c>
      <c r="U428" s="10" t="s">
        <v>52</v>
      </c>
      <c r="V428" s="2" t="s">
        <v>35</v>
      </c>
      <c r="W428" s="2">
        <v>2</v>
      </c>
      <c r="X428" s="2" t="s">
        <v>36</v>
      </c>
      <c r="Y428" s="2">
        <v>4</v>
      </c>
      <c r="Z428" s="2" t="s">
        <v>37</v>
      </c>
    </row>
    <row r="429" spans="1:26" x14ac:dyDescent="0.35">
      <c r="A429" s="2" t="s">
        <v>848</v>
      </c>
      <c r="B429" s="3">
        <v>46002</v>
      </c>
      <c r="C429" s="2" t="s">
        <v>849</v>
      </c>
      <c r="D429" s="2" t="s">
        <v>28</v>
      </c>
      <c r="E429" s="2" t="s">
        <v>29</v>
      </c>
      <c r="F429" s="2">
        <v>53</v>
      </c>
      <c r="G429" s="2" t="s">
        <v>127</v>
      </c>
      <c r="H429" s="2" t="s">
        <v>31</v>
      </c>
      <c r="I429" s="2" t="s">
        <v>127</v>
      </c>
      <c r="J429" s="2" t="s">
        <v>70</v>
      </c>
      <c r="K429" s="2">
        <v>1</v>
      </c>
      <c r="L429" s="2">
        <v>18999</v>
      </c>
      <c r="M429" s="2">
        <v>20</v>
      </c>
      <c r="N429" s="2">
        <v>3799.8</v>
      </c>
      <c r="O429" s="2">
        <v>2735.86</v>
      </c>
      <c r="P429" s="2">
        <v>252</v>
      </c>
      <c r="Q429" s="2">
        <v>18187.060000000001</v>
      </c>
      <c r="R429" s="2" t="s">
        <v>51</v>
      </c>
      <c r="S429" s="2" t="s">
        <v>34</v>
      </c>
      <c r="T429" s="9" t="s">
        <v>1706</v>
      </c>
      <c r="U429" s="10" t="s">
        <v>52</v>
      </c>
      <c r="V429" s="2" t="s">
        <v>53</v>
      </c>
      <c r="W429" s="2">
        <v>1</v>
      </c>
      <c r="X429" s="2" t="s">
        <v>44</v>
      </c>
      <c r="Y429" s="2">
        <v>5</v>
      </c>
      <c r="Z429" s="2" t="s">
        <v>44</v>
      </c>
    </row>
    <row r="430" spans="1:26" x14ac:dyDescent="0.35">
      <c r="A430" s="2" t="s">
        <v>850</v>
      </c>
      <c r="B430" s="3">
        <v>45886</v>
      </c>
      <c r="C430" s="2" t="s">
        <v>844</v>
      </c>
      <c r="D430" s="2" t="s">
        <v>28</v>
      </c>
      <c r="E430" s="2" t="s">
        <v>29</v>
      </c>
      <c r="F430" s="2">
        <v>20</v>
      </c>
      <c r="G430" s="2" t="s">
        <v>48</v>
      </c>
      <c r="H430" s="2" t="s">
        <v>49</v>
      </c>
      <c r="I430" s="2" t="s">
        <v>48</v>
      </c>
      <c r="J430" s="2" t="s">
        <v>50</v>
      </c>
      <c r="K430" s="2">
        <v>2</v>
      </c>
      <c r="L430" s="2">
        <v>5211</v>
      </c>
      <c r="M430" s="2">
        <v>10</v>
      </c>
      <c r="N430" s="2">
        <v>1042.2</v>
      </c>
      <c r="O430" s="2">
        <v>1688.36</v>
      </c>
      <c r="P430" s="2">
        <v>185</v>
      </c>
      <c r="Q430" s="2">
        <v>11253.16</v>
      </c>
      <c r="R430" s="2" t="s">
        <v>51</v>
      </c>
      <c r="S430" s="2" t="s">
        <v>59</v>
      </c>
      <c r="T430" s="9" t="s">
        <v>1709</v>
      </c>
      <c r="U430" s="10" t="s">
        <v>52</v>
      </c>
      <c r="V430" s="2" t="s">
        <v>53</v>
      </c>
      <c r="W430" s="2">
        <v>2</v>
      </c>
      <c r="X430" s="2" t="s">
        <v>36</v>
      </c>
      <c r="Y430" s="2">
        <v>3</v>
      </c>
      <c r="Z430" s="2" t="s">
        <v>82</v>
      </c>
    </row>
    <row r="431" spans="1:26" x14ac:dyDescent="0.35">
      <c r="A431" s="2" t="s">
        <v>851</v>
      </c>
      <c r="B431" s="3">
        <v>45899</v>
      </c>
      <c r="C431" s="2" t="s">
        <v>852</v>
      </c>
      <c r="D431" s="2" t="s">
        <v>40</v>
      </c>
      <c r="E431" s="2" t="s">
        <v>41</v>
      </c>
      <c r="F431" s="2">
        <v>26</v>
      </c>
      <c r="G431" s="2" t="s">
        <v>122</v>
      </c>
      <c r="H431" s="2" t="s">
        <v>31</v>
      </c>
      <c r="I431" s="2" t="s">
        <v>122</v>
      </c>
      <c r="J431" s="2" t="s">
        <v>58</v>
      </c>
      <c r="K431" s="2">
        <v>2</v>
      </c>
      <c r="L431" s="2">
        <v>35117</v>
      </c>
      <c r="M431" s="2">
        <v>20</v>
      </c>
      <c r="N431" s="2">
        <v>14046.8</v>
      </c>
      <c r="O431" s="2">
        <v>10113.700000000001</v>
      </c>
      <c r="P431" s="2">
        <v>188</v>
      </c>
      <c r="Q431" s="2">
        <v>66488.899999999994</v>
      </c>
      <c r="R431" s="2" t="s">
        <v>33</v>
      </c>
      <c r="S431" s="2" t="s">
        <v>34</v>
      </c>
      <c r="T431" s="9" t="s">
        <v>1708</v>
      </c>
      <c r="U431" s="10" t="s">
        <v>52</v>
      </c>
      <c r="V431" s="2" t="s">
        <v>77</v>
      </c>
      <c r="W431" s="2">
        <v>8</v>
      </c>
      <c r="X431" s="2" t="s">
        <v>36</v>
      </c>
      <c r="Y431" s="2">
        <v>5</v>
      </c>
      <c r="Z431" s="2" t="s">
        <v>44</v>
      </c>
    </row>
    <row r="432" spans="1:26" x14ac:dyDescent="0.35">
      <c r="A432" s="2" t="s">
        <v>853</v>
      </c>
      <c r="B432" s="3">
        <v>46010</v>
      </c>
      <c r="C432" s="2" t="s">
        <v>854</v>
      </c>
      <c r="D432" s="2" t="s">
        <v>28</v>
      </c>
      <c r="E432" s="2" t="s">
        <v>41</v>
      </c>
      <c r="F432" s="2">
        <v>22</v>
      </c>
      <c r="G432" s="2" t="s">
        <v>30</v>
      </c>
      <c r="H432" s="2" t="s">
        <v>31</v>
      </c>
      <c r="I432" s="2" t="s">
        <v>30</v>
      </c>
      <c r="J432" s="2" t="s">
        <v>91</v>
      </c>
      <c r="K432" s="2">
        <v>5</v>
      </c>
      <c r="L432" s="2">
        <v>49331</v>
      </c>
      <c r="M432" s="2">
        <v>10</v>
      </c>
      <c r="N432" s="2">
        <v>24665.5</v>
      </c>
      <c r="O432" s="2">
        <v>39958.11</v>
      </c>
      <c r="P432" s="2">
        <v>272</v>
      </c>
      <c r="Q432" s="2">
        <v>262219.61</v>
      </c>
      <c r="R432" s="2" t="s">
        <v>43</v>
      </c>
      <c r="S432" s="2" t="s">
        <v>59</v>
      </c>
      <c r="T432" s="9" t="s">
        <v>1710</v>
      </c>
      <c r="U432" s="10" t="s">
        <v>1711</v>
      </c>
      <c r="V432" s="2" t="s">
        <v>53</v>
      </c>
      <c r="W432" s="2">
        <v>6</v>
      </c>
      <c r="X432" s="2" t="s">
        <v>36</v>
      </c>
      <c r="Y432" s="2">
        <v>2</v>
      </c>
      <c r="Z432" s="2" t="s">
        <v>37</v>
      </c>
    </row>
    <row r="433" spans="1:26" x14ac:dyDescent="0.35">
      <c r="A433" s="2" t="s">
        <v>855</v>
      </c>
      <c r="B433" s="3">
        <v>46103</v>
      </c>
      <c r="C433" s="2" t="s">
        <v>856</v>
      </c>
      <c r="D433" s="2" t="s">
        <v>57</v>
      </c>
      <c r="E433" s="2" t="s">
        <v>29</v>
      </c>
      <c r="F433" s="2">
        <v>22</v>
      </c>
      <c r="G433" s="2" t="s">
        <v>127</v>
      </c>
      <c r="H433" s="2" t="s">
        <v>31</v>
      </c>
      <c r="I433" s="2" t="s">
        <v>127</v>
      </c>
      <c r="J433" s="2" t="s">
        <v>100</v>
      </c>
      <c r="K433" s="2">
        <v>4</v>
      </c>
      <c r="L433" s="2">
        <v>41823</v>
      </c>
      <c r="M433" s="2">
        <v>5</v>
      </c>
      <c r="N433" s="2">
        <v>8364.6</v>
      </c>
      <c r="O433" s="2">
        <v>28606.93</v>
      </c>
      <c r="P433" s="2">
        <v>269</v>
      </c>
      <c r="Q433" s="2">
        <v>187803.33</v>
      </c>
      <c r="R433" s="2" t="s">
        <v>76</v>
      </c>
      <c r="S433" s="2" t="s">
        <v>34</v>
      </c>
      <c r="T433" s="9" t="s">
        <v>1708</v>
      </c>
      <c r="U433" s="10" t="s">
        <v>52</v>
      </c>
      <c r="V433" s="2" t="s">
        <v>77</v>
      </c>
      <c r="W433" s="2">
        <v>3</v>
      </c>
      <c r="X433" s="2" t="s">
        <v>44</v>
      </c>
      <c r="Y433" s="2">
        <v>5</v>
      </c>
      <c r="Z433" s="2" t="s">
        <v>44</v>
      </c>
    </row>
    <row r="434" spans="1:26" x14ac:dyDescent="0.35">
      <c r="A434" s="2" t="s">
        <v>857</v>
      </c>
      <c r="B434" s="3">
        <v>46009</v>
      </c>
      <c r="C434" s="2" t="s">
        <v>162</v>
      </c>
      <c r="D434" s="2" t="s">
        <v>80</v>
      </c>
      <c r="E434" s="2" t="s">
        <v>41</v>
      </c>
      <c r="F434" s="2">
        <v>60</v>
      </c>
      <c r="G434" s="2" t="s">
        <v>69</v>
      </c>
      <c r="H434" s="2" t="s">
        <v>31</v>
      </c>
      <c r="I434" s="2" t="s">
        <v>69</v>
      </c>
      <c r="J434" s="2" t="s">
        <v>113</v>
      </c>
      <c r="K434" s="2">
        <v>2</v>
      </c>
      <c r="L434" s="2">
        <v>34809</v>
      </c>
      <c r="M434" s="2">
        <v>15</v>
      </c>
      <c r="N434" s="2">
        <v>10442.700000000001</v>
      </c>
      <c r="O434" s="2">
        <v>10651.55</v>
      </c>
      <c r="P434" s="2">
        <v>154</v>
      </c>
      <c r="Q434" s="2">
        <v>69980.850000000006</v>
      </c>
      <c r="R434" s="2" t="s">
        <v>33</v>
      </c>
      <c r="S434" s="2" t="s">
        <v>59</v>
      </c>
      <c r="T434" s="9" t="s">
        <v>1706</v>
      </c>
      <c r="U434" s="10" t="s">
        <v>52</v>
      </c>
      <c r="V434" s="2" t="s">
        <v>53</v>
      </c>
      <c r="W434" s="2">
        <v>8</v>
      </c>
      <c r="X434" s="2" t="s">
        <v>36</v>
      </c>
      <c r="Y434" s="2">
        <v>5</v>
      </c>
      <c r="Z434" s="2" t="s">
        <v>44</v>
      </c>
    </row>
    <row r="435" spans="1:26" x14ac:dyDescent="0.35">
      <c r="A435" s="2" t="s">
        <v>858</v>
      </c>
      <c r="B435" s="3">
        <v>45784</v>
      </c>
      <c r="C435" s="2" t="s">
        <v>859</v>
      </c>
      <c r="D435" s="2" t="s">
        <v>73</v>
      </c>
      <c r="E435" s="2" t="s">
        <v>29</v>
      </c>
      <c r="F435" s="2">
        <v>50</v>
      </c>
      <c r="G435" s="2" t="s">
        <v>69</v>
      </c>
      <c r="H435" s="2" t="s">
        <v>31</v>
      </c>
      <c r="I435" s="2" t="s">
        <v>69</v>
      </c>
      <c r="J435" s="2" t="s">
        <v>91</v>
      </c>
      <c r="K435" s="2">
        <v>3</v>
      </c>
      <c r="L435" s="2">
        <v>4209</v>
      </c>
      <c r="M435" s="2">
        <v>10</v>
      </c>
      <c r="N435" s="2">
        <v>1262.7</v>
      </c>
      <c r="O435" s="2">
        <v>2045.57</v>
      </c>
      <c r="P435" s="2">
        <v>362</v>
      </c>
      <c r="Q435" s="2">
        <v>13771.87</v>
      </c>
      <c r="R435" s="2" t="s">
        <v>33</v>
      </c>
      <c r="S435" s="2" t="s">
        <v>34</v>
      </c>
      <c r="T435" s="9" t="s">
        <v>1705</v>
      </c>
      <c r="U435" s="10" t="s">
        <v>1702</v>
      </c>
      <c r="V435" s="2" t="s">
        <v>53</v>
      </c>
      <c r="W435" s="2">
        <v>9</v>
      </c>
      <c r="X435" s="2" t="s">
        <v>44</v>
      </c>
      <c r="Y435" s="2">
        <v>4</v>
      </c>
      <c r="Z435" s="2" t="s">
        <v>82</v>
      </c>
    </row>
    <row r="436" spans="1:26" x14ac:dyDescent="0.35">
      <c r="A436" s="2" t="s">
        <v>860</v>
      </c>
      <c r="B436" s="3">
        <v>46083</v>
      </c>
      <c r="C436" s="2" t="s">
        <v>861</v>
      </c>
      <c r="D436" s="2" t="s">
        <v>40</v>
      </c>
      <c r="E436" s="2" t="s">
        <v>41</v>
      </c>
      <c r="F436" s="2">
        <v>44</v>
      </c>
      <c r="G436" s="2" t="s">
        <v>42</v>
      </c>
      <c r="H436" s="2" t="s">
        <v>31</v>
      </c>
      <c r="I436" s="2" t="s">
        <v>42</v>
      </c>
      <c r="J436" s="2" t="s">
        <v>70</v>
      </c>
      <c r="K436" s="2">
        <v>1</v>
      </c>
      <c r="L436" s="2">
        <v>42001</v>
      </c>
      <c r="M436" s="2">
        <v>5</v>
      </c>
      <c r="N436" s="2">
        <v>2100.0500000000002</v>
      </c>
      <c r="O436" s="2">
        <v>7182.17</v>
      </c>
      <c r="P436" s="2">
        <v>105</v>
      </c>
      <c r="Q436" s="2">
        <v>47188.12</v>
      </c>
      <c r="R436" s="2" t="s">
        <v>33</v>
      </c>
      <c r="S436" s="2" t="s">
        <v>34</v>
      </c>
      <c r="T436" s="9" t="s">
        <v>1708</v>
      </c>
      <c r="U436" s="10" t="s">
        <v>52</v>
      </c>
      <c r="V436" s="2" t="s">
        <v>77</v>
      </c>
      <c r="W436" s="2">
        <v>2</v>
      </c>
      <c r="X436" s="2" t="s">
        <v>36</v>
      </c>
      <c r="Y436" s="2">
        <v>4</v>
      </c>
      <c r="Z436" s="2" t="s">
        <v>54</v>
      </c>
    </row>
    <row r="437" spans="1:26" x14ac:dyDescent="0.35">
      <c r="A437" s="2" t="s">
        <v>862</v>
      </c>
      <c r="B437" s="3">
        <v>45910</v>
      </c>
      <c r="C437" s="2" t="s">
        <v>863</v>
      </c>
      <c r="D437" s="2" t="s">
        <v>57</v>
      </c>
      <c r="E437" s="2" t="s">
        <v>41</v>
      </c>
      <c r="F437" s="2">
        <v>18</v>
      </c>
      <c r="G437" s="2" t="s">
        <v>85</v>
      </c>
      <c r="H437" s="2" t="s">
        <v>31</v>
      </c>
      <c r="I437" s="2" t="s">
        <v>85</v>
      </c>
      <c r="J437" s="2" t="s">
        <v>50</v>
      </c>
      <c r="K437" s="2">
        <v>3</v>
      </c>
      <c r="L437" s="2">
        <v>49226</v>
      </c>
      <c r="M437" s="2">
        <v>20</v>
      </c>
      <c r="N437" s="2">
        <v>29535.599999999999</v>
      </c>
      <c r="O437" s="2">
        <v>21265.63</v>
      </c>
      <c r="P437" s="2">
        <v>215</v>
      </c>
      <c r="Q437" s="2">
        <v>139623.03</v>
      </c>
      <c r="R437" s="2" t="s">
        <v>51</v>
      </c>
      <c r="S437" s="2" t="s">
        <v>59</v>
      </c>
      <c r="T437" s="9" t="s">
        <v>1705</v>
      </c>
      <c r="U437" s="10" t="s">
        <v>1702</v>
      </c>
      <c r="V437" s="2" t="s">
        <v>53</v>
      </c>
      <c r="W437" s="2">
        <v>7</v>
      </c>
      <c r="X437" s="2" t="s">
        <v>44</v>
      </c>
      <c r="Y437" s="2">
        <v>5</v>
      </c>
      <c r="Z437" s="2" t="s">
        <v>54</v>
      </c>
    </row>
    <row r="438" spans="1:26" x14ac:dyDescent="0.35">
      <c r="A438" s="2" t="s">
        <v>864</v>
      </c>
      <c r="B438" s="3">
        <v>45995</v>
      </c>
      <c r="C438" s="2" t="s">
        <v>865</v>
      </c>
      <c r="D438" s="2" t="s">
        <v>73</v>
      </c>
      <c r="E438" s="2" t="s">
        <v>29</v>
      </c>
      <c r="F438" s="2">
        <v>21</v>
      </c>
      <c r="G438" s="2" t="s">
        <v>81</v>
      </c>
      <c r="H438" s="2" t="s">
        <v>31</v>
      </c>
      <c r="I438" s="2" t="s">
        <v>81</v>
      </c>
      <c r="J438" s="2" t="s">
        <v>65</v>
      </c>
      <c r="K438" s="2">
        <v>1</v>
      </c>
      <c r="L438" s="2">
        <v>5104</v>
      </c>
      <c r="M438" s="2">
        <v>20</v>
      </c>
      <c r="N438" s="2">
        <v>1020.8</v>
      </c>
      <c r="O438" s="2">
        <v>734.98</v>
      </c>
      <c r="P438" s="2">
        <v>17</v>
      </c>
      <c r="Q438" s="2">
        <v>4835.18</v>
      </c>
      <c r="R438" s="2" t="s">
        <v>33</v>
      </c>
      <c r="S438" s="2" t="s">
        <v>34</v>
      </c>
      <c r="T438" s="9" t="s">
        <v>1705</v>
      </c>
      <c r="U438" s="10" t="s">
        <v>1702</v>
      </c>
      <c r="V438" s="2" t="s">
        <v>53</v>
      </c>
      <c r="W438" s="2">
        <v>2</v>
      </c>
      <c r="X438" s="2" t="s">
        <v>44</v>
      </c>
      <c r="Y438" s="2">
        <v>5</v>
      </c>
      <c r="Z438" s="2" t="s">
        <v>82</v>
      </c>
    </row>
    <row r="439" spans="1:26" x14ac:dyDescent="0.35">
      <c r="A439" s="2" t="s">
        <v>866</v>
      </c>
      <c r="B439" s="3">
        <v>45964</v>
      </c>
      <c r="C439" s="2" t="s">
        <v>458</v>
      </c>
      <c r="D439" s="2" t="s">
        <v>28</v>
      </c>
      <c r="E439" s="2" t="s">
        <v>29</v>
      </c>
      <c r="F439" s="2">
        <v>38</v>
      </c>
      <c r="G439" s="2" t="s">
        <v>127</v>
      </c>
      <c r="H439" s="2" t="s">
        <v>31</v>
      </c>
      <c r="I439" s="2" t="s">
        <v>127</v>
      </c>
      <c r="J439" s="2" t="s">
        <v>58</v>
      </c>
      <c r="K439" s="2">
        <v>5</v>
      </c>
      <c r="L439" s="2">
        <v>27737</v>
      </c>
      <c r="M439" s="2">
        <v>5</v>
      </c>
      <c r="N439" s="2">
        <v>6934.25</v>
      </c>
      <c r="O439" s="2">
        <v>23715.13</v>
      </c>
      <c r="P439" s="2">
        <v>280</v>
      </c>
      <c r="Q439" s="2">
        <v>155745.89000000001</v>
      </c>
      <c r="R439" s="2" t="s">
        <v>43</v>
      </c>
      <c r="S439" s="2" t="s">
        <v>59</v>
      </c>
      <c r="T439" s="9" t="s">
        <v>1704</v>
      </c>
      <c r="U439" s="10" t="s">
        <v>52</v>
      </c>
      <c r="V439" s="2" t="s">
        <v>35</v>
      </c>
      <c r="W439" s="2">
        <v>1</v>
      </c>
      <c r="X439" s="2" t="s">
        <v>44</v>
      </c>
      <c r="Y439" s="2">
        <v>3</v>
      </c>
      <c r="Z439" s="2" t="s">
        <v>37</v>
      </c>
    </row>
    <row r="440" spans="1:26" x14ac:dyDescent="0.35">
      <c r="A440" s="2" t="s">
        <v>867</v>
      </c>
      <c r="B440" s="3">
        <v>45961</v>
      </c>
      <c r="C440" s="2" t="s">
        <v>868</v>
      </c>
      <c r="D440" s="2" t="s">
        <v>57</v>
      </c>
      <c r="E440" s="2" t="s">
        <v>41</v>
      </c>
      <c r="F440" s="2">
        <v>31</v>
      </c>
      <c r="G440" s="2" t="s">
        <v>30</v>
      </c>
      <c r="H440" s="2" t="s">
        <v>31</v>
      </c>
      <c r="I440" s="2" t="s">
        <v>30</v>
      </c>
      <c r="J440" s="2" t="s">
        <v>65</v>
      </c>
      <c r="K440" s="2">
        <v>2</v>
      </c>
      <c r="L440" s="2">
        <v>2476</v>
      </c>
      <c r="M440" s="2">
        <v>5</v>
      </c>
      <c r="N440" s="2">
        <v>247.6</v>
      </c>
      <c r="O440" s="2">
        <v>846.79</v>
      </c>
      <c r="P440" s="2">
        <v>332</v>
      </c>
      <c r="Q440" s="2">
        <v>5883.19</v>
      </c>
      <c r="R440" s="2" t="s">
        <v>76</v>
      </c>
      <c r="S440" s="2" t="s">
        <v>34</v>
      </c>
      <c r="T440" s="9" t="s">
        <v>1705</v>
      </c>
      <c r="U440" s="10" t="s">
        <v>1702</v>
      </c>
      <c r="V440" s="2" t="s">
        <v>53</v>
      </c>
      <c r="W440" s="2">
        <v>10</v>
      </c>
      <c r="X440" s="2" t="s">
        <v>36</v>
      </c>
      <c r="Y440" s="2">
        <v>4</v>
      </c>
      <c r="Z440" s="2" t="s">
        <v>44</v>
      </c>
    </row>
    <row r="441" spans="1:26" x14ac:dyDescent="0.35">
      <c r="A441" s="2" t="s">
        <v>869</v>
      </c>
      <c r="B441" s="3">
        <v>46044</v>
      </c>
      <c r="C441" s="2" t="s">
        <v>870</v>
      </c>
      <c r="D441" s="2" t="s">
        <v>62</v>
      </c>
      <c r="E441" s="2" t="s">
        <v>41</v>
      </c>
      <c r="F441" s="2">
        <v>46</v>
      </c>
      <c r="G441" s="2" t="s">
        <v>48</v>
      </c>
      <c r="H441" s="2" t="s">
        <v>49</v>
      </c>
      <c r="I441" s="2" t="s">
        <v>48</v>
      </c>
      <c r="J441" s="2" t="s">
        <v>70</v>
      </c>
      <c r="K441" s="2">
        <v>5</v>
      </c>
      <c r="L441" s="2">
        <v>41823</v>
      </c>
      <c r="M441" s="2">
        <v>10</v>
      </c>
      <c r="N441" s="2">
        <v>20911.5</v>
      </c>
      <c r="O441" s="2">
        <v>33876.629999999997</v>
      </c>
      <c r="P441" s="2">
        <v>228</v>
      </c>
      <c r="Q441" s="2">
        <v>222308.13</v>
      </c>
      <c r="R441" s="2" t="s">
        <v>51</v>
      </c>
      <c r="S441" s="2" t="s">
        <v>34</v>
      </c>
      <c r="T441" s="9" t="s">
        <v>1707</v>
      </c>
      <c r="U441" s="10" t="s">
        <v>1712</v>
      </c>
      <c r="V441" s="2" t="s">
        <v>53</v>
      </c>
      <c r="W441" s="2">
        <v>1</v>
      </c>
      <c r="X441" s="2" t="s">
        <v>36</v>
      </c>
      <c r="Y441" s="2">
        <v>5</v>
      </c>
      <c r="Z441" s="2" t="s">
        <v>54</v>
      </c>
    </row>
    <row r="442" spans="1:26" x14ac:dyDescent="0.35">
      <c r="A442" s="2" t="s">
        <v>871</v>
      </c>
      <c r="B442" s="3">
        <v>45986</v>
      </c>
      <c r="C442" s="2" t="s">
        <v>872</v>
      </c>
      <c r="D442" s="2" t="s">
        <v>68</v>
      </c>
      <c r="E442" s="2" t="s">
        <v>29</v>
      </c>
      <c r="F442" s="2">
        <v>28</v>
      </c>
      <c r="G442" s="2" t="s">
        <v>30</v>
      </c>
      <c r="H442" s="2" t="s">
        <v>31</v>
      </c>
      <c r="I442" s="2" t="s">
        <v>30</v>
      </c>
      <c r="J442" s="2" t="s">
        <v>100</v>
      </c>
      <c r="K442" s="2">
        <v>4</v>
      </c>
      <c r="L442" s="2">
        <v>24006</v>
      </c>
      <c r="M442" s="2">
        <v>0</v>
      </c>
      <c r="N442" s="2">
        <v>0</v>
      </c>
      <c r="O442" s="2">
        <v>17284.32</v>
      </c>
      <c r="P442" s="2">
        <v>134</v>
      </c>
      <c r="Q442" s="2">
        <v>113442.32</v>
      </c>
      <c r="R442" s="2" t="s">
        <v>43</v>
      </c>
      <c r="S442" s="2" t="s">
        <v>34</v>
      </c>
      <c r="T442" s="9" t="s">
        <v>1704</v>
      </c>
      <c r="U442" s="10" t="s">
        <v>52</v>
      </c>
      <c r="V442" s="2" t="s">
        <v>35</v>
      </c>
      <c r="W442" s="2">
        <v>2</v>
      </c>
      <c r="X442" s="2" t="s">
        <v>44</v>
      </c>
      <c r="Y442" s="2">
        <v>5</v>
      </c>
      <c r="Z442" s="2" t="s">
        <v>37</v>
      </c>
    </row>
    <row r="443" spans="1:26" x14ac:dyDescent="0.35">
      <c r="A443" s="2" t="s">
        <v>873</v>
      </c>
      <c r="B443" s="3">
        <v>45868</v>
      </c>
      <c r="C443" s="2" t="s">
        <v>702</v>
      </c>
      <c r="D443" s="2" t="s">
        <v>28</v>
      </c>
      <c r="E443" s="2" t="s">
        <v>41</v>
      </c>
      <c r="F443" s="2">
        <v>44</v>
      </c>
      <c r="G443" s="2" t="s">
        <v>81</v>
      </c>
      <c r="H443" s="2" t="s">
        <v>31</v>
      </c>
      <c r="I443" s="2" t="s">
        <v>81</v>
      </c>
      <c r="J443" s="2" t="s">
        <v>32</v>
      </c>
      <c r="K443" s="2">
        <v>5</v>
      </c>
      <c r="L443" s="2">
        <v>23260</v>
      </c>
      <c r="M443" s="2">
        <v>10</v>
      </c>
      <c r="N443" s="2">
        <v>11630</v>
      </c>
      <c r="O443" s="2">
        <v>18840.599999999999</v>
      </c>
      <c r="P443" s="2">
        <v>403</v>
      </c>
      <c r="Q443" s="2">
        <v>123913.60000000001</v>
      </c>
      <c r="R443" s="2" t="s">
        <v>76</v>
      </c>
      <c r="S443" s="2" t="s">
        <v>34</v>
      </c>
      <c r="T443" s="9" t="s">
        <v>1706</v>
      </c>
      <c r="U443" s="10" t="s">
        <v>52</v>
      </c>
      <c r="V443" s="2" t="s">
        <v>53</v>
      </c>
      <c r="W443" s="2">
        <v>10</v>
      </c>
      <c r="X443" s="2" t="s">
        <v>44</v>
      </c>
      <c r="Y443" s="2">
        <v>2</v>
      </c>
      <c r="Z443" s="2" t="s">
        <v>54</v>
      </c>
    </row>
    <row r="444" spans="1:26" x14ac:dyDescent="0.35">
      <c r="A444" s="2" t="s">
        <v>874</v>
      </c>
      <c r="B444" s="3">
        <v>46020</v>
      </c>
      <c r="C444" s="2" t="s">
        <v>875</v>
      </c>
      <c r="D444" s="2" t="s">
        <v>40</v>
      </c>
      <c r="E444" s="2" t="s">
        <v>41</v>
      </c>
      <c r="F444" s="2">
        <v>36</v>
      </c>
      <c r="G444" s="2" t="s">
        <v>42</v>
      </c>
      <c r="H444" s="2" t="s">
        <v>31</v>
      </c>
      <c r="I444" s="2" t="s">
        <v>42</v>
      </c>
      <c r="J444" s="2" t="s">
        <v>138</v>
      </c>
      <c r="K444" s="2">
        <v>5</v>
      </c>
      <c r="L444" s="2">
        <v>3544</v>
      </c>
      <c r="M444" s="2">
        <v>0</v>
      </c>
      <c r="N444" s="2">
        <v>0</v>
      </c>
      <c r="O444" s="2">
        <v>3189.6</v>
      </c>
      <c r="P444" s="2">
        <v>294</v>
      </c>
      <c r="Q444" s="2">
        <v>21203.599999999999</v>
      </c>
      <c r="R444" s="2" t="s">
        <v>33</v>
      </c>
      <c r="S444" s="2" t="s">
        <v>59</v>
      </c>
      <c r="T444" s="9" t="s">
        <v>1708</v>
      </c>
      <c r="U444" s="10" t="s">
        <v>52</v>
      </c>
      <c r="V444" s="2" t="s">
        <v>77</v>
      </c>
      <c r="W444" s="2">
        <v>2</v>
      </c>
      <c r="X444" s="2" t="s">
        <v>44</v>
      </c>
      <c r="Y444" s="2">
        <v>1</v>
      </c>
      <c r="Z444" s="2" t="s">
        <v>82</v>
      </c>
    </row>
    <row r="445" spans="1:26" x14ac:dyDescent="0.35">
      <c r="A445" s="2" t="s">
        <v>876</v>
      </c>
      <c r="B445" s="3">
        <v>46023</v>
      </c>
      <c r="C445" s="2" t="s">
        <v>877</v>
      </c>
      <c r="D445" s="2" t="s">
        <v>80</v>
      </c>
      <c r="E445" s="2" t="s">
        <v>41</v>
      </c>
      <c r="F445" s="2">
        <v>57</v>
      </c>
      <c r="G445" s="2" t="s">
        <v>69</v>
      </c>
      <c r="H445" s="2" t="s">
        <v>31</v>
      </c>
      <c r="I445" s="2" t="s">
        <v>69</v>
      </c>
      <c r="J445" s="2" t="s">
        <v>113</v>
      </c>
      <c r="K445" s="2">
        <v>3</v>
      </c>
      <c r="L445" s="2">
        <v>45381</v>
      </c>
      <c r="M445" s="2">
        <v>15</v>
      </c>
      <c r="N445" s="2">
        <v>20421.45</v>
      </c>
      <c r="O445" s="2">
        <v>20829.88</v>
      </c>
      <c r="P445" s="2">
        <v>110</v>
      </c>
      <c r="Q445" s="2">
        <v>136661.43</v>
      </c>
      <c r="R445" s="2" t="s">
        <v>51</v>
      </c>
      <c r="S445" s="2" t="s">
        <v>34</v>
      </c>
      <c r="T445" s="9" t="s">
        <v>1709</v>
      </c>
      <c r="U445" s="10" t="s">
        <v>52</v>
      </c>
      <c r="V445" s="2" t="s">
        <v>53</v>
      </c>
      <c r="W445" s="2">
        <v>6</v>
      </c>
      <c r="X445" s="2" t="s">
        <v>44</v>
      </c>
      <c r="Y445" s="2">
        <v>3</v>
      </c>
      <c r="Z445" s="2" t="s">
        <v>44</v>
      </c>
    </row>
    <row r="446" spans="1:26" x14ac:dyDescent="0.35">
      <c r="A446" s="2" t="s">
        <v>878</v>
      </c>
      <c r="B446" s="3">
        <v>46010</v>
      </c>
      <c r="C446" s="2" t="s">
        <v>879</v>
      </c>
      <c r="D446" s="2" t="s">
        <v>28</v>
      </c>
      <c r="E446" s="2" t="s">
        <v>29</v>
      </c>
      <c r="F446" s="2">
        <v>52</v>
      </c>
      <c r="G446" s="2" t="s">
        <v>122</v>
      </c>
      <c r="H446" s="2" t="s">
        <v>31</v>
      </c>
      <c r="I446" s="2" t="s">
        <v>122</v>
      </c>
      <c r="J446" s="2" t="s">
        <v>190</v>
      </c>
      <c r="K446" s="2">
        <v>1</v>
      </c>
      <c r="L446" s="2">
        <v>12252</v>
      </c>
      <c r="M446" s="2">
        <v>5</v>
      </c>
      <c r="N446" s="2">
        <v>612.6</v>
      </c>
      <c r="O446" s="2">
        <v>2095.09</v>
      </c>
      <c r="P446" s="2">
        <v>379</v>
      </c>
      <c r="Q446" s="2">
        <v>14113.49</v>
      </c>
      <c r="R446" s="2" t="s">
        <v>33</v>
      </c>
      <c r="S446" s="2" t="s">
        <v>59</v>
      </c>
      <c r="T446" s="9" t="s">
        <v>1703</v>
      </c>
      <c r="U446" s="10" t="s">
        <v>1701</v>
      </c>
      <c r="V446" s="2" t="s">
        <v>35</v>
      </c>
      <c r="W446" s="2">
        <v>8</v>
      </c>
      <c r="X446" s="2" t="s">
        <v>36</v>
      </c>
      <c r="Y446" s="2">
        <v>1</v>
      </c>
      <c r="Z446" s="2" t="s">
        <v>82</v>
      </c>
    </row>
    <row r="447" spans="1:26" x14ac:dyDescent="0.35">
      <c r="A447" s="2" t="s">
        <v>880</v>
      </c>
      <c r="B447" s="3">
        <v>45914</v>
      </c>
      <c r="C447" s="2" t="s">
        <v>222</v>
      </c>
      <c r="D447" s="2" t="s">
        <v>68</v>
      </c>
      <c r="E447" s="2" t="s">
        <v>41</v>
      </c>
      <c r="F447" s="2">
        <v>47</v>
      </c>
      <c r="G447" s="2" t="s">
        <v>63</v>
      </c>
      <c r="H447" s="2" t="s">
        <v>64</v>
      </c>
      <c r="I447" s="2" t="s">
        <v>63</v>
      </c>
      <c r="J447" s="2" t="s">
        <v>113</v>
      </c>
      <c r="K447" s="2">
        <v>4</v>
      </c>
      <c r="L447" s="2">
        <v>30619</v>
      </c>
      <c r="M447" s="2">
        <v>0</v>
      </c>
      <c r="N447" s="2">
        <v>0</v>
      </c>
      <c r="O447" s="2">
        <v>22045.68</v>
      </c>
      <c r="P447" s="2">
        <v>231</v>
      </c>
      <c r="Q447" s="2">
        <v>144752.68</v>
      </c>
      <c r="R447" s="2" t="s">
        <v>43</v>
      </c>
      <c r="S447" s="2" t="s">
        <v>34</v>
      </c>
      <c r="T447" s="9" t="s">
        <v>1706</v>
      </c>
      <c r="U447" s="10" t="s">
        <v>52</v>
      </c>
      <c r="V447" s="2" t="s">
        <v>53</v>
      </c>
      <c r="W447" s="2">
        <v>4</v>
      </c>
      <c r="X447" s="2" t="s">
        <v>36</v>
      </c>
      <c r="Y447" s="2">
        <v>2</v>
      </c>
      <c r="Z447" s="2" t="s">
        <v>44</v>
      </c>
    </row>
    <row r="448" spans="1:26" x14ac:dyDescent="0.35">
      <c r="A448" s="2" t="s">
        <v>881</v>
      </c>
      <c r="B448" s="3">
        <v>46084</v>
      </c>
      <c r="C448" s="2" t="s">
        <v>510</v>
      </c>
      <c r="D448" s="2" t="s">
        <v>40</v>
      </c>
      <c r="E448" s="2" t="s">
        <v>41</v>
      </c>
      <c r="F448" s="2">
        <v>20</v>
      </c>
      <c r="G448" s="2" t="s">
        <v>30</v>
      </c>
      <c r="H448" s="2" t="s">
        <v>31</v>
      </c>
      <c r="I448" s="2" t="s">
        <v>30</v>
      </c>
      <c r="J448" s="2" t="s">
        <v>50</v>
      </c>
      <c r="K448" s="2">
        <v>1</v>
      </c>
      <c r="L448" s="2">
        <v>23553</v>
      </c>
      <c r="M448" s="2">
        <v>20</v>
      </c>
      <c r="N448" s="2">
        <v>4710.6000000000004</v>
      </c>
      <c r="O448" s="2">
        <v>3391.63</v>
      </c>
      <c r="P448" s="2">
        <v>243</v>
      </c>
      <c r="Q448" s="2">
        <v>22477.03</v>
      </c>
      <c r="R448" s="2" t="s">
        <v>43</v>
      </c>
      <c r="S448" s="2" t="s">
        <v>34</v>
      </c>
      <c r="T448" s="9" t="s">
        <v>1703</v>
      </c>
      <c r="U448" s="10" t="s">
        <v>1701</v>
      </c>
      <c r="V448" s="2" t="s">
        <v>35</v>
      </c>
      <c r="W448" s="2">
        <v>8</v>
      </c>
      <c r="X448" s="2" t="s">
        <v>44</v>
      </c>
      <c r="Y448" s="2">
        <v>4</v>
      </c>
      <c r="Z448" s="2" t="s">
        <v>82</v>
      </c>
    </row>
    <row r="449" spans="1:26" x14ac:dyDescent="0.35">
      <c r="A449" s="2" t="s">
        <v>882</v>
      </c>
      <c r="B449" s="3">
        <v>45863</v>
      </c>
      <c r="C449" s="2" t="s">
        <v>883</v>
      </c>
      <c r="D449" s="2" t="s">
        <v>80</v>
      </c>
      <c r="E449" s="2" t="s">
        <v>41</v>
      </c>
      <c r="F449" s="2">
        <v>52</v>
      </c>
      <c r="G449" s="2" t="s">
        <v>42</v>
      </c>
      <c r="H449" s="2" t="s">
        <v>31</v>
      </c>
      <c r="I449" s="2" t="s">
        <v>42</v>
      </c>
      <c r="J449" s="2" t="s">
        <v>50</v>
      </c>
      <c r="K449" s="2">
        <v>2</v>
      </c>
      <c r="L449" s="2">
        <v>6603</v>
      </c>
      <c r="M449" s="2">
        <v>5</v>
      </c>
      <c r="N449" s="2">
        <v>660.3</v>
      </c>
      <c r="O449" s="2">
        <v>2258.23</v>
      </c>
      <c r="P449" s="2">
        <v>343</v>
      </c>
      <c r="Q449" s="2">
        <v>15146.93</v>
      </c>
      <c r="R449" s="2" t="s">
        <v>43</v>
      </c>
      <c r="S449" s="2" t="s">
        <v>34</v>
      </c>
      <c r="T449" s="9" t="s">
        <v>1704</v>
      </c>
      <c r="U449" s="10" t="s">
        <v>52</v>
      </c>
      <c r="V449" s="2" t="s">
        <v>35</v>
      </c>
      <c r="W449" s="2">
        <v>7</v>
      </c>
      <c r="X449" s="2" t="s">
        <v>44</v>
      </c>
      <c r="Y449" s="2">
        <v>3</v>
      </c>
      <c r="Z449" s="2" t="s">
        <v>44</v>
      </c>
    </row>
    <row r="450" spans="1:26" x14ac:dyDescent="0.35">
      <c r="A450" s="2" t="s">
        <v>884</v>
      </c>
      <c r="B450" s="3">
        <v>45929</v>
      </c>
      <c r="C450" s="2" t="s">
        <v>512</v>
      </c>
      <c r="D450" s="2" t="s">
        <v>47</v>
      </c>
      <c r="E450" s="2" t="s">
        <v>41</v>
      </c>
      <c r="F450" s="2">
        <v>28</v>
      </c>
      <c r="G450" s="2" t="s">
        <v>63</v>
      </c>
      <c r="H450" s="2" t="s">
        <v>64</v>
      </c>
      <c r="I450" s="2" t="s">
        <v>63</v>
      </c>
      <c r="J450" s="2" t="s">
        <v>50</v>
      </c>
      <c r="K450" s="2">
        <v>4</v>
      </c>
      <c r="L450" s="2">
        <v>22851</v>
      </c>
      <c r="M450" s="2">
        <v>20</v>
      </c>
      <c r="N450" s="2">
        <v>18280.8</v>
      </c>
      <c r="O450" s="2">
        <v>13162.18</v>
      </c>
      <c r="P450" s="2">
        <v>359</v>
      </c>
      <c r="Q450" s="2">
        <v>86644.38</v>
      </c>
      <c r="R450" s="2" t="s">
        <v>43</v>
      </c>
      <c r="S450" s="2" t="s">
        <v>34</v>
      </c>
      <c r="T450" s="9" t="s">
        <v>1708</v>
      </c>
      <c r="U450" s="10" t="s">
        <v>52</v>
      </c>
      <c r="V450" s="2" t="s">
        <v>77</v>
      </c>
      <c r="W450" s="2">
        <v>7</v>
      </c>
      <c r="X450" s="2" t="s">
        <v>44</v>
      </c>
      <c r="Y450" s="2">
        <v>3</v>
      </c>
      <c r="Z450" s="2" t="s">
        <v>44</v>
      </c>
    </row>
    <row r="451" spans="1:26" x14ac:dyDescent="0.35">
      <c r="A451" s="2" t="s">
        <v>885</v>
      </c>
      <c r="B451" s="3">
        <v>45761</v>
      </c>
      <c r="C451" s="2" t="s">
        <v>886</v>
      </c>
      <c r="D451" s="2" t="s">
        <v>28</v>
      </c>
      <c r="E451" s="2" t="s">
        <v>29</v>
      </c>
      <c r="F451" s="2">
        <v>36</v>
      </c>
      <c r="G451" s="2" t="s">
        <v>122</v>
      </c>
      <c r="H451" s="2" t="s">
        <v>31</v>
      </c>
      <c r="I451" s="2" t="s">
        <v>122</v>
      </c>
      <c r="J451" s="2" t="s">
        <v>65</v>
      </c>
      <c r="K451" s="2">
        <v>1</v>
      </c>
      <c r="L451" s="2">
        <v>25609</v>
      </c>
      <c r="M451" s="2">
        <v>5</v>
      </c>
      <c r="N451" s="2">
        <v>1280.45</v>
      </c>
      <c r="O451" s="2">
        <v>4379.1400000000003</v>
      </c>
      <c r="P451" s="2">
        <v>97</v>
      </c>
      <c r="Q451" s="2">
        <v>28804.69</v>
      </c>
      <c r="R451" s="2" t="s">
        <v>51</v>
      </c>
      <c r="S451" s="2" t="s">
        <v>34</v>
      </c>
      <c r="T451" s="9" t="s">
        <v>1706</v>
      </c>
      <c r="U451" s="10" t="s">
        <v>52</v>
      </c>
      <c r="V451" s="2" t="s">
        <v>53</v>
      </c>
      <c r="W451" s="2">
        <v>1</v>
      </c>
      <c r="X451" s="2" t="s">
        <v>36</v>
      </c>
      <c r="Y451" s="2">
        <v>5</v>
      </c>
      <c r="Z451" s="2" t="s">
        <v>44</v>
      </c>
    </row>
    <row r="452" spans="1:26" x14ac:dyDescent="0.35">
      <c r="A452" s="2" t="s">
        <v>887</v>
      </c>
      <c r="B452" s="3">
        <v>45938</v>
      </c>
      <c r="C452" s="2" t="s">
        <v>888</v>
      </c>
      <c r="D452" s="2" t="s">
        <v>28</v>
      </c>
      <c r="E452" s="2" t="s">
        <v>41</v>
      </c>
      <c r="F452" s="2">
        <v>39</v>
      </c>
      <c r="G452" s="2" t="s">
        <v>30</v>
      </c>
      <c r="H452" s="2" t="s">
        <v>31</v>
      </c>
      <c r="I452" s="2" t="s">
        <v>30</v>
      </c>
      <c r="J452" s="2" t="s">
        <v>91</v>
      </c>
      <c r="K452" s="2">
        <v>2</v>
      </c>
      <c r="L452" s="2">
        <v>14636</v>
      </c>
      <c r="M452" s="2">
        <v>5</v>
      </c>
      <c r="N452" s="2">
        <v>1463.6</v>
      </c>
      <c r="O452" s="2">
        <v>5005.51</v>
      </c>
      <c r="P452" s="2">
        <v>189</v>
      </c>
      <c r="Q452" s="2">
        <v>33002.910000000003</v>
      </c>
      <c r="R452" s="2" t="s">
        <v>76</v>
      </c>
      <c r="S452" s="2" t="s">
        <v>59</v>
      </c>
      <c r="T452" s="9" t="s">
        <v>1703</v>
      </c>
      <c r="U452" s="10" t="s">
        <v>1701</v>
      </c>
      <c r="V452" s="2" t="s">
        <v>35</v>
      </c>
      <c r="W452" s="2">
        <v>2</v>
      </c>
      <c r="X452" s="2" t="s">
        <v>36</v>
      </c>
      <c r="Y452" s="2">
        <v>4</v>
      </c>
      <c r="Z452" s="2" t="s">
        <v>44</v>
      </c>
    </row>
    <row r="453" spans="1:26" x14ac:dyDescent="0.35">
      <c r="A453" s="2" t="s">
        <v>889</v>
      </c>
      <c r="B453" s="3">
        <v>45938</v>
      </c>
      <c r="C453" s="2" t="s">
        <v>890</v>
      </c>
      <c r="D453" s="2" t="s">
        <v>62</v>
      </c>
      <c r="E453" s="2" t="s">
        <v>41</v>
      </c>
      <c r="F453" s="2">
        <v>47</v>
      </c>
      <c r="G453" s="2" t="s">
        <v>42</v>
      </c>
      <c r="H453" s="2" t="s">
        <v>31</v>
      </c>
      <c r="I453" s="2" t="s">
        <v>42</v>
      </c>
      <c r="J453" s="2" t="s">
        <v>58</v>
      </c>
      <c r="K453" s="2">
        <v>2</v>
      </c>
      <c r="L453" s="2">
        <v>38206</v>
      </c>
      <c r="M453" s="2">
        <v>0</v>
      </c>
      <c r="N453" s="2">
        <v>0</v>
      </c>
      <c r="O453" s="2">
        <v>13754.16</v>
      </c>
      <c r="P453" s="2">
        <v>460</v>
      </c>
      <c r="Q453" s="2">
        <v>90626.16</v>
      </c>
      <c r="R453" s="2" t="s">
        <v>33</v>
      </c>
      <c r="S453" s="2" t="s">
        <v>34</v>
      </c>
      <c r="T453" s="9" t="s">
        <v>1710</v>
      </c>
      <c r="U453" s="10" t="s">
        <v>1711</v>
      </c>
      <c r="V453" s="2" t="s">
        <v>53</v>
      </c>
      <c r="W453" s="2">
        <v>7</v>
      </c>
      <c r="X453" s="2" t="s">
        <v>36</v>
      </c>
      <c r="Y453" s="2">
        <v>5</v>
      </c>
      <c r="Z453" s="2" t="s">
        <v>44</v>
      </c>
    </row>
    <row r="454" spans="1:26" x14ac:dyDescent="0.35">
      <c r="A454" s="2" t="s">
        <v>891</v>
      </c>
      <c r="B454" s="3">
        <v>45831</v>
      </c>
      <c r="C454" s="2" t="s">
        <v>224</v>
      </c>
      <c r="D454" s="2" t="s">
        <v>47</v>
      </c>
      <c r="E454" s="2" t="s">
        <v>41</v>
      </c>
      <c r="F454" s="2">
        <v>52</v>
      </c>
      <c r="G454" s="2" t="s">
        <v>30</v>
      </c>
      <c r="H454" s="2" t="s">
        <v>31</v>
      </c>
      <c r="I454" s="2" t="s">
        <v>30</v>
      </c>
      <c r="J454" s="2" t="s">
        <v>58</v>
      </c>
      <c r="K454" s="2">
        <v>4</v>
      </c>
      <c r="L454" s="2">
        <v>16160</v>
      </c>
      <c r="M454" s="2">
        <v>20</v>
      </c>
      <c r="N454" s="2">
        <v>12928</v>
      </c>
      <c r="O454" s="2">
        <v>9308.16</v>
      </c>
      <c r="P454" s="2">
        <v>422</v>
      </c>
      <c r="Q454" s="2">
        <v>61442.16</v>
      </c>
      <c r="R454" s="2" t="s">
        <v>33</v>
      </c>
      <c r="S454" s="2" t="s">
        <v>59</v>
      </c>
      <c r="T454" s="9" t="s">
        <v>1708</v>
      </c>
      <c r="U454" s="10" t="s">
        <v>52</v>
      </c>
      <c r="V454" s="2" t="s">
        <v>77</v>
      </c>
      <c r="W454" s="2">
        <v>5</v>
      </c>
      <c r="X454" s="2" t="s">
        <v>36</v>
      </c>
      <c r="Y454" s="2">
        <v>1</v>
      </c>
      <c r="Z454" s="2" t="s">
        <v>54</v>
      </c>
    </row>
    <row r="455" spans="1:26" x14ac:dyDescent="0.35">
      <c r="A455" s="2" t="s">
        <v>892</v>
      </c>
      <c r="B455" s="3">
        <v>45998</v>
      </c>
      <c r="C455" s="2" t="s">
        <v>893</v>
      </c>
      <c r="D455" s="2" t="s">
        <v>96</v>
      </c>
      <c r="E455" s="2" t="s">
        <v>29</v>
      </c>
      <c r="F455" s="2">
        <v>32</v>
      </c>
      <c r="G455" s="2" t="s">
        <v>127</v>
      </c>
      <c r="H455" s="2" t="s">
        <v>31</v>
      </c>
      <c r="I455" s="2" t="s">
        <v>127</v>
      </c>
      <c r="J455" s="2" t="s">
        <v>113</v>
      </c>
      <c r="K455" s="2">
        <v>5</v>
      </c>
      <c r="L455" s="2">
        <v>31197</v>
      </c>
      <c r="M455" s="2">
        <v>15</v>
      </c>
      <c r="N455" s="2">
        <v>23397.75</v>
      </c>
      <c r="O455" s="2">
        <v>23865.7</v>
      </c>
      <c r="P455" s="2">
        <v>389</v>
      </c>
      <c r="Q455" s="2">
        <v>156841.95000000001</v>
      </c>
      <c r="R455" s="2" t="s">
        <v>33</v>
      </c>
      <c r="S455" s="2" t="s">
        <v>59</v>
      </c>
      <c r="T455" s="9" t="s">
        <v>1709</v>
      </c>
      <c r="U455" s="10" t="s">
        <v>52</v>
      </c>
      <c r="V455" s="2" t="s">
        <v>53</v>
      </c>
      <c r="W455" s="2">
        <v>6</v>
      </c>
      <c r="X455" s="2" t="s">
        <v>36</v>
      </c>
      <c r="Y455" s="2">
        <v>2</v>
      </c>
      <c r="Z455" s="2" t="s">
        <v>37</v>
      </c>
    </row>
    <row r="456" spans="1:26" x14ac:dyDescent="0.35">
      <c r="A456" s="2" t="s">
        <v>894</v>
      </c>
      <c r="B456" s="3">
        <v>45911</v>
      </c>
      <c r="C456" s="2" t="s">
        <v>895</v>
      </c>
      <c r="D456" s="2" t="s">
        <v>96</v>
      </c>
      <c r="E456" s="2" t="s">
        <v>29</v>
      </c>
      <c r="F456" s="2">
        <v>29</v>
      </c>
      <c r="G456" s="2" t="s">
        <v>30</v>
      </c>
      <c r="H456" s="2" t="s">
        <v>31</v>
      </c>
      <c r="I456" s="2" t="s">
        <v>30</v>
      </c>
      <c r="J456" s="2" t="s">
        <v>58</v>
      </c>
      <c r="K456" s="2">
        <v>4</v>
      </c>
      <c r="L456" s="2">
        <v>10812</v>
      </c>
      <c r="M456" s="2">
        <v>0</v>
      </c>
      <c r="N456" s="2">
        <v>0</v>
      </c>
      <c r="O456" s="2">
        <v>7784.64</v>
      </c>
      <c r="P456" s="2">
        <v>76</v>
      </c>
      <c r="Q456" s="2">
        <v>51108.639999999999</v>
      </c>
      <c r="R456" s="2" t="s">
        <v>33</v>
      </c>
      <c r="S456" s="2" t="s">
        <v>34</v>
      </c>
      <c r="T456" s="9" t="s">
        <v>1710</v>
      </c>
      <c r="U456" s="10" t="s">
        <v>1711</v>
      </c>
      <c r="V456" s="2" t="s">
        <v>53</v>
      </c>
      <c r="W456" s="2">
        <v>6</v>
      </c>
      <c r="X456" s="2" t="s">
        <v>44</v>
      </c>
      <c r="Y456" s="2">
        <v>3</v>
      </c>
      <c r="Z456" s="2" t="s">
        <v>54</v>
      </c>
    </row>
    <row r="457" spans="1:26" x14ac:dyDescent="0.35">
      <c r="A457" s="2" t="s">
        <v>896</v>
      </c>
      <c r="B457" s="3">
        <v>46057</v>
      </c>
      <c r="C457" s="2" t="s">
        <v>879</v>
      </c>
      <c r="D457" s="2" t="s">
        <v>28</v>
      </c>
      <c r="E457" s="2" t="s">
        <v>29</v>
      </c>
      <c r="F457" s="2">
        <v>40</v>
      </c>
      <c r="G457" s="2" t="s">
        <v>127</v>
      </c>
      <c r="H457" s="2" t="s">
        <v>31</v>
      </c>
      <c r="I457" s="2" t="s">
        <v>127</v>
      </c>
      <c r="J457" s="2" t="s">
        <v>190</v>
      </c>
      <c r="K457" s="2">
        <v>1</v>
      </c>
      <c r="L457" s="2">
        <v>13238</v>
      </c>
      <c r="M457" s="2">
        <v>20</v>
      </c>
      <c r="N457" s="2">
        <v>2647.6</v>
      </c>
      <c r="O457" s="2">
        <v>1906.27</v>
      </c>
      <c r="P457" s="2">
        <v>33</v>
      </c>
      <c r="Q457" s="2">
        <v>12529.67</v>
      </c>
      <c r="R457" s="2" t="s">
        <v>33</v>
      </c>
      <c r="S457" s="2" t="s">
        <v>59</v>
      </c>
      <c r="T457" s="9" t="s">
        <v>1708</v>
      </c>
      <c r="U457" s="10" t="s">
        <v>52</v>
      </c>
      <c r="V457" s="2" t="s">
        <v>77</v>
      </c>
      <c r="W457" s="2">
        <v>7</v>
      </c>
      <c r="X457" s="2" t="s">
        <v>44</v>
      </c>
      <c r="Y457" s="2">
        <v>1</v>
      </c>
      <c r="Z457" s="2" t="s">
        <v>54</v>
      </c>
    </row>
    <row r="458" spans="1:26" x14ac:dyDescent="0.35">
      <c r="A458" s="2" t="s">
        <v>897</v>
      </c>
      <c r="B458" s="3">
        <v>46047</v>
      </c>
      <c r="C458" s="2" t="s">
        <v>898</v>
      </c>
      <c r="D458" s="2" t="s">
        <v>73</v>
      </c>
      <c r="E458" s="2" t="s">
        <v>41</v>
      </c>
      <c r="F458" s="2">
        <v>44</v>
      </c>
      <c r="G458" s="2" t="s">
        <v>85</v>
      </c>
      <c r="H458" s="2" t="s">
        <v>31</v>
      </c>
      <c r="I458" s="2" t="s">
        <v>85</v>
      </c>
      <c r="J458" s="2" t="s">
        <v>65</v>
      </c>
      <c r="K458" s="2">
        <v>2</v>
      </c>
      <c r="L458" s="2">
        <v>19330</v>
      </c>
      <c r="M458" s="2">
        <v>5</v>
      </c>
      <c r="N458" s="2">
        <v>1933</v>
      </c>
      <c r="O458" s="2">
        <v>6610.86</v>
      </c>
      <c r="P458" s="2">
        <v>455</v>
      </c>
      <c r="Q458" s="2">
        <v>43792.86</v>
      </c>
      <c r="R458" s="2" t="s">
        <v>76</v>
      </c>
      <c r="S458" s="2" t="s">
        <v>34</v>
      </c>
      <c r="T458" s="9" t="s">
        <v>1709</v>
      </c>
      <c r="U458" s="10" t="s">
        <v>52</v>
      </c>
      <c r="V458" s="2" t="s">
        <v>53</v>
      </c>
      <c r="W458" s="2">
        <v>10</v>
      </c>
      <c r="X458" s="2" t="s">
        <v>44</v>
      </c>
      <c r="Y458" s="2">
        <v>3</v>
      </c>
      <c r="Z458" s="2" t="s">
        <v>37</v>
      </c>
    </row>
    <row r="459" spans="1:26" x14ac:dyDescent="0.35">
      <c r="A459" s="2" t="s">
        <v>899</v>
      </c>
      <c r="B459" s="3">
        <v>45810</v>
      </c>
      <c r="C459" s="2" t="s">
        <v>900</v>
      </c>
      <c r="D459" s="2" t="s">
        <v>80</v>
      </c>
      <c r="E459" s="2" t="s">
        <v>29</v>
      </c>
      <c r="F459" s="2">
        <v>26</v>
      </c>
      <c r="G459" s="2" t="s">
        <v>69</v>
      </c>
      <c r="H459" s="2" t="s">
        <v>31</v>
      </c>
      <c r="I459" s="2" t="s">
        <v>69</v>
      </c>
      <c r="J459" s="2" t="s">
        <v>50</v>
      </c>
      <c r="K459" s="2">
        <v>5</v>
      </c>
      <c r="L459" s="2">
        <v>36209</v>
      </c>
      <c r="M459" s="2">
        <v>10</v>
      </c>
      <c r="N459" s="2">
        <v>18104.5</v>
      </c>
      <c r="O459" s="2">
        <v>29329.29</v>
      </c>
      <c r="P459" s="2">
        <v>361</v>
      </c>
      <c r="Q459" s="2">
        <v>192630.79</v>
      </c>
      <c r="R459" s="2" t="s">
        <v>43</v>
      </c>
      <c r="S459" s="2" t="s">
        <v>59</v>
      </c>
      <c r="T459" s="9" t="s">
        <v>1707</v>
      </c>
      <c r="U459" s="10" t="s">
        <v>1712</v>
      </c>
      <c r="V459" s="2" t="s">
        <v>53</v>
      </c>
      <c r="W459" s="2">
        <v>3</v>
      </c>
      <c r="X459" s="2" t="s">
        <v>36</v>
      </c>
      <c r="Y459" s="2">
        <v>3</v>
      </c>
      <c r="Z459" s="2" t="s">
        <v>82</v>
      </c>
    </row>
    <row r="460" spans="1:26" x14ac:dyDescent="0.35">
      <c r="A460" s="2" t="s">
        <v>901</v>
      </c>
      <c r="B460" s="3">
        <v>45970</v>
      </c>
      <c r="C460" s="2" t="s">
        <v>902</v>
      </c>
      <c r="D460" s="2" t="s">
        <v>28</v>
      </c>
      <c r="E460" s="2" t="s">
        <v>41</v>
      </c>
      <c r="F460" s="2">
        <v>48</v>
      </c>
      <c r="G460" s="2" t="s">
        <v>48</v>
      </c>
      <c r="H460" s="2" t="s">
        <v>49</v>
      </c>
      <c r="I460" s="2" t="s">
        <v>48</v>
      </c>
      <c r="J460" s="2" t="s">
        <v>70</v>
      </c>
      <c r="K460" s="2">
        <v>1</v>
      </c>
      <c r="L460" s="2">
        <v>29971</v>
      </c>
      <c r="M460" s="2">
        <v>10</v>
      </c>
      <c r="N460" s="2">
        <v>2997.1</v>
      </c>
      <c r="O460" s="2">
        <v>4855.3</v>
      </c>
      <c r="P460" s="2">
        <v>401</v>
      </c>
      <c r="Q460" s="2">
        <v>32230.2</v>
      </c>
      <c r="R460" s="2" t="s">
        <v>76</v>
      </c>
      <c r="S460" s="2" t="s">
        <v>59</v>
      </c>
      <c r="T460" s="9" t="s">
        <v>1703</v>
      </c>
      <c r="U460" s="10" t="s">
        <v>1701</v>
      </c>
      <c r="V460" s="2" t="s">
        <v>35</v>
      </c>
      <c r="W460" s="2">
        <v>3</v>
      </c>
      <c r="X460" s="2" t="s">
        <v>44</v>
      </c>
      <c r="Y460" s="2">
        <v>5</v>
      </c>
      <c r="Z460" s="2" t="s">
        <v>82</v>
      </c>
    </row>
    <row r="461" spans="1:26" x14ac:dyDescent="0.35">
      <c r="A461" s="2" t="s">
        <v>903</v>
      </c>
      <c r="B461" s="3">
        <v>45903</v>
      </c>
      <c r="C461" s="2" t="s">
        <v>904</v>
      </c>
      <c r="D461" s="2" t="s">
        <v>96</v>
      </c>
      <c r="E461" s="2" t="s">
        <v>41</v>
      </c>
      <c r="F461" s="2">
        <v>24</v>
      </c>
      <c r="G461" s="2" t="s">
        <v>127</v>
      </c>
      <c r="H461" s="2" t="s">
        <v>31</v>
      </c>
      <c r="I461" s="2" t="s">
        <v>127</v>
      </c>
      <c r="J461" s="2" t="s">
        <v>65</v>
      </c>
      <c r="K461" s="2">
        <v>2</v>
      </c>
      <c r="L461" s="2">
        <v>32711</v>
      </c>
      <c r="M461" s="2">
        <v>10</v>
      </c>
      <c r="N461" s="2">
        <v>6542.2</v>
      </c>
      <c r="O461" s="2">
        <v>10598.36</v>
      </c>
      <c r="P461" s="2">
        <v>374</v>
      </c>
      <c r="Q461" s="2">
        <v>69852.160000000003</v>
      </c>
      <c r="R461" s="2" t="s">
        <v>51</v>
      </c>
      <c r="S461" s="2" t="s">
        <v>59</v>
      </c>
      <c r="T461" s="9" t="s">
        <v>1709</v>
      </c>
      <c r="U461" s="10" t="s">
        <v>52</v>
      </c>
      <c r="V461" s="2" t="s">
        <v>53</v>
      </c>
      <c r="W461" s="2">
        <v>9</v>
      </c>
      <c r="X461" s="2" t="s">
        <v>44</v>
      </c>
      <c r="Y461" s="2">
        <v>5</v>
      </c>
      <c r="Z461" s="2" t="s">
        <v>54</v>
      </c>
    </row>
    <row r="462" spans="1:26" x14ac:dyDescent="0.35">
      <c r="A462" s="2" t="s">
        <v>905</v>
      </c>
      <c r="B462" s="3">
        <v>45904</v>
      </c>
      <c r="C462" s="2" t="s">
        <v>906</v>
      </c>
      <c r="D462" s="2" t="s">
        <v>96</v>
      </c>
      <c r="E462" s="2" t="s">
        <v>29</v>
      </c>
      <c r="F462" s="2">
        <v>38</v>
      </c>
      <c r="G462" s="2" t="s">
        <v>127</v>
      </c>
      <c r="H462" s="2" t="s">
        <v>31</v>
      </c>
      <c r="I462" s="2" t="s">
        <v>127</v>
      </c>
      <c r="J462" s="2" t="s">
        <v>58</v>
      </c>
      <c r="K462" s="2">
        <v>2</v>
      </c>
      <c r="L462" s="2">
        <v>8328</v>
      </c>
      <c r="M462" s="2">
        <v>5</v>
      </c>
      <c r="N462" s="2">
        <v>832.8</v>
      </c>
      <c r="O462" s="2">
        <v>2848.18</v>
      </c>
      <c r="P462" s="2">
        <v>251</v>
      </c>
      <c r="Q462" s="2">
        <v>18922.38</v>
      </c>
      <c r="R462" s="2" t="s">
        <v>33</v>
      </c>
      <c r="S462" s="2" t="s">
        <v>59</v>
      </c>
      <c r="T462" s="9" t="s">
        <v>1708</v>
      </c>
      <c r="U462" s="10" t="s">
        <v>52</v>
      </c>
      <c r="V462" s="2" t="s">
        <v>77</v>
      </c>
      <c r="W462" s="2">
        <v>3</v>
      </c>
      <c r="X462" s="2" t="s">
        <v>44</v>
      </c>
      <c r="Y462" s="2">
        <v>3</v>
      </c>
      <c r="Z462" s="2" t="s">
        <v>82</v>
      </c>
    </row>
    <row r="463" spans="1:26" x14ac:dyDescent="0.35">
      <c r="A463" s="2" t="s">
        <v>907</v>
      </c>
      <c r="B463" s="3">
        <v>46049</v>
      </c>
      <c r="C463" s="2" t="s">
        <v>908</v>
      </c>
      <c r="D463" s="2" t="s">
        <v>62</v>
      </c>
      <c r="E463" s="2" t="s">
        <v>29</v>
      </c>
      <c r="F463" s="2">
        <v>31</v>
      </c>
      <c r="G463" s="2" t="s">
        <v>85</v>
      </c>
      <c r="H463" s="2" t="s">
        <v>31</v>
      </c>
      <c r="I463" s="2" t="s">
        <v>85</v>
      </c>
      <c r="J463" s="2" t="s">
        <v>190</v>
      </c>
      <c r="K463" s="2">
        <v>4</v>
      </c>
      <c r="L463" s="2">
        <v>35256</v>
      </c>
      <c r="M463" s="2">
        <v>10</v>
      </c>
      <c r="N463" s="2">
        <v>14102.4</v>
      </c>
      <c r="O463" s="2">
        <v>22845.89</v>
      </c>
      <c r="P463" s="2">
        <v>104</v>
      </c>
      <c r="Q463" s="2">
        <v>149871.49</v>
      </c>
      <c r="R463" s="2" t="s">
        <v>76</v>
      </c>
      <c r="S463" s="2" t="s">
        <v>59</v>
      </c>
      <c r="T463" s="9" t="s">
        <v>1706</v>
      </c>
      <c r="U463" s="10" t="s">
        <v>52</v>
      </c>
      <c r="V463" s="2" t="s">
        <v>53</v>
      </c>
      <c r="W463" s="2">
        <v>9</v>
      </c>
      <c r="X463" s="2" t="s">
        <v>44</v>
      </c>
      <c r="Y463" s="2">
        <v>5</v>
      </c>
      <c r="Z463" s="2" t="s">
        <v>44</v>
      </c>
    </row>
    <row r="464" spans="1:26" x14ac:dyDescent="0.35">
      <c r="A464" s="2" t="s">
        <v>909</v>
      </c>
      <c r="B464" s="3">
        <v>45878</v>
      </c>
      <c r="C464" s="2" t="s">
        <v>910</v>
      </c>
      <c r="D464" s="2" t="s">
        <v>73</v>
      </c>
      <c r="E464" s="2" t="s">
        <v>41</v>
      </c>
      <c r="F464" s="2">
        <v>28</v>
      </c>
      <c r="G464" s="2" t="s">
        <v>30</v>
      </c>
      <c r="H464" s="2" t="s">
        <v>31</v>
      </c>
      <c r="I464" s="2" t="s">
        <v>30</v>
      </c>
      <c r="J464" s="2" t="s">
        <v>65</v>
      </c>
      <c r="K464" s="2">
        <v>2</v>
      </c>
      <c r="L464" s="2">
        <v>45154</v>
      </c>
      <c r="M464" s="2">
        <v>20</v>
      </c>
      <c r="N464" s="2">
        <v>18061.599999999999</v>
      </c>
      <c r="O464" s="2">
        <v>13004.35</v>
      </c>
      <c r="P464" s="2">
        <v>214</v>
      </c>
      <c r="Q464" s="2">
        <v>85464.75</v>
      </c>
      <c r="R464" s="2" t="s">
        <v>76</v>
      </c>
      <c r="S464" s="2" t="s">
        <v>34</v>
      </c>
      <c r="T464" s="9" t="s">
        <v>1703</v>
      </c>
      <c r="U464" s="10" t="s">
        <v>1701</v>
      </c>
      <c r="V464" s="2" t="s">
        <v>35</v>
      </c>
      <c r="W464" s="2">
        <v>6</v>
      </c>
      <c r="X464" s="2" t="s">
        <v>36</v>
      </c>
      <c r="Y464" s="2">
        <v>3</v>
      </c>
      <c r="Z464" s="2" t="s">
        <v>37</v>
      </c>
    </row>
    <row r="465" spans="1:26" x14ac:dyDescent="0.35">
      <c r="A465" s="2" t="s">
        <v>911</v>
      </c>
      <c r="B465" s="3">
        <v>45828</v>
      </c>
      <c r="C465" s="2" t="s">
        <v>702</v>
      </c>
      <c r="D465" s="2" t="s">
        <v>80</v>
      </c>
      <c r="E465" s="2" t="s">
        <v>29</v>
      </c>
      <c r="F465" s="2">
        <v>41</v>
      </c>
      <c r="G465" s="2" t="s">
        <v>30</v>
      </c>
      <c r="H465" s="2" t="s">
        <v>31</v>
      </c>
      <c r="I465" s="2" t="s">
        <v>30</v>
      </c>
      <c r="J465" s="2" t="s">
        <v>50</v>
      </c>
      <c r="K465" s="2">
        <v>4</v>
      </c>
      <c r="L465" s="2">
        <v>12691</v>
      </c>
      <c r="M465" s="2">
        <v>5</v>
      </c>
      <c r="N465" s="2">
        <v>2538.1999999999998</v>
      </c>
      <c r="O465" s="2">
        <v>8680.64</v>
      </c>
      <c r="P465" s="2">
        <v>366</v>
      </c>
      <c r="Q465" s="2">
        <v>57272.44</v>
      </c>
      <c r="R465" s="2" t="s">
        <v>43</v>
      </c>
      <c r="S465" s="2" t="s">
        <v>59</v>
      </c>
      <c r="T465" s="9" t="s">
        <v>1708</v>
      </c>
      <c r="U465" s="10" t="s">
        <v>52</v>
      </c>
      <c r="V465" s="2" t="s">
        <v>77</v>
      </c>
      <c r="W465" s="2">
        <v>3</v>
      </c>
      <c r="X465" s="2" t="s">
        <v>44</v>
      </c>
      <c r="Y465" s="2">
        <v>4</v>
      </c>
      <c r="Z465" s="2" t="s">
        <v>82</v>
      </c>
    </row>
    <row r="466" spans="1:26" x14ac:dyDescent="0.35">
      <c r="A466" s="2" t="s">
        <v>912</v>
      </c>
      <c r="B466" s="3">
        <v>45804</v>
      </c>
      <c r="C466" s="2" t="s">
        <v>498</v>
      </c>
      <c r="D466" s="2" t="s">
        <v>28</v>
      </c>
      <c r="E466" s="2" t="s">
        <v>29</v>
      </c>
      <c r="F466" s="2">
        <v>57</v>
      </c>
      <c r="G466" s="2" t="s">
        <v>48</v>
      </c>
      <c r="H466" s="2" t="s">
        <v>49</v>
      </c>
      <c r="I466" s="2" t="s">
        <v>48</v>
      </c>
      <c r="J466" s="2" t="s">
        <v>138</v>
      </c>
      <c r="K466" s="2">
        <v>1</v>
      </c>
      <c r="L466" s="2">
        <v>34542</v>
      </c>
      <c r="M466" s="2">
        <v>20</v>
      </c>
      <c r="N466" s="2">
        <v>6908.4</v>
      </c>
      <c r="O466" s="2">
        <v>4974.05</v>
      </c>
      <c r="P466" s="2">
        <v>179</v>
      </c>
      <c r="Q466" s="2">
        <v>32786.65</v>
      </c>
      <c r="R466" s="2" t="s">
        <v>76</v>
      </c>
      <c r="S466" s="2" t="s">
        <v>59</v>
      </c>
      <c r="T466" s="9" t="s">
        <v>1707</v>
      </c>
      <c r="U466" s="10" t="s">
        <v>1712</v>
      </c>
      <c r="V466" s="2" t="s">
        <v>53</v>
      </c>
      <c r="W466" s="2">
        <v>8</v>
      </c>
      <c r="X466" s="2" t="s">
        <v>36</v>
      </c>
      <c r="Y466" s="2">
        <v>2</v>
      </c>
      <c r="Z466" s="2" t="s">
        <v>54</v>
      </c>
    </row>
    <row r="467" spans="1:26" x14ac:dyDescent="0.35">
      <c r="A467" s="2" t="s">
        <v>913</v>
      </c>
      <c r="B467" s="3">
        <v>46017</v>
      </c>
      <c r="C467" s="2" t="s">
        <v>914</v>
      </c>
      <c r="D467" s="2" t="s">
        <v>80</v>
      </c>
      <c r="E467" s="2" t="s">
        <v>41</v>
      </c>
      <c r="F467" s="2">
        <v>21</v>
      </c>
      <c r="G467" s="2" t="s">
        <v>127</v>
      </c>
      <c r="H467" s="2" t="s">
        <v>31</v>
      </c>
      <c r="I467" s="2" t="s">
        <v>127</v>
      </c>
      <c r="J467" s="2" t="s">
        <v>70</v>
      </c>
      <c r="K467" s="2">
        <v>2</v>
      </c>
      <c r="L467" s="2">
        <v>43091</v>
      </c>
      <c r="M467" s="2">
        <v>5</v>
      </c>
      <c r="N467" s="2">
        <v>4309.1000000000004</v>
      </c>
      <c r="O467" s="2">
        <v>14737.12</v>
      </c>
      <c r="P467" s="2">
        <v>410</v>
      </c>
      <c r="Q467" s="2">
        <v>97020.02</v>
      </c>
      <c r="R467" s="2" t="s">
        <v>43</v>
      </c>
      <c r="S467" s="2" t="s">
        <v>59</v>
      </c>
      <c r="T467" s="9" t="s">
        <v>1704</v>
      </c>
      <c r="U467" s="10" t="s">
        <v>52</v>
      </c>
      <c r="V467" s="2" t="s">
        <v>35</v>
      </c>
      <c r="W467" s="2">
        <v>1</v>
      </c>
      <c r="X467" s="2" t="s">
        <v>44</v>
      </c>
      <c r="Y467" s="2">
        <v>2</v>
      </c>
      <c r="Z467" s="2" t="s">
        <v>82</v>
      </c>
    </row>
    <row r="468" spans="1:26" x14ac:dyDescent="0.35">
      <c r="A468" s="2" t="s">
        <v>915</v>
      </c>
      <c r="B468" s="3">
        <v>46018</v>
      </c>
      <c r="C468" s="2" t="s">
        <v>735</v>
      </c>
      <c r="D468" s="2" t="s">
        <v>28</v>
      </c>
      <c r="E468" s="2" t="s">
        <v>29</v>
      </c>
      <c r="F468" s="2">
        <v>53</v>
      </c>
      <c r="G468" s="2" t="s">
        <v>88</v>
      </c>
      <c r="H468" s="2" t="s">
        <v>49</v>
      </c>
      <c r="I468" s="2" t="s">
        <v>88</v>
      </c>
      <c r="J468" s="2" t="s">
        <v>50</v>
      </c>
      <c r="K468" s="2">
        <v>4</v>
      </c>
      <c r="L468" s="2">
        <v>8212</v>
      </c>
      <c r="M468" s="2">
        <v>5</v>
      </c>
      <c r="N468" s="2">
        <v>1642.4</v>
      </c>
      <c r="O468" s="2">
        <v>5617.01</v>
      </c>
      <c r="P468" s="2">
        <v>456</v>
      </c>
      <c r="Q468" s="2">
        <v>37278.61</v>
      </c>
      <c r="R468" s="2" t="s">
        <v>76</v>
      </c>
      <c r="S468" s="2" t="s">
        <v>34</v>
      </c>
      <c r="T468" s="9" t="s">
        <v>1706</v>
      </c>
      <c r="U468" s="10" t="s">
        <v>52</v>
      </c>
      <c r="V468" s="2" t="s">
        <v>53</v>
      </c>
      <c r="W468" s="2">
        <v>5</v>
      </c>
      <c r="X468" s="2" t="s">
        <v>44</v>
      </c>
      <c r="Y468" s="2">
        <v>2</v>
      </c>
      <c r="Z468" s="2" t="s">
        <v>37</v>
      </c>
    </row>
    <row r="469" spans="1:26" x14ac:dyDescent="0.35">
      <c r="A469" s="2" t="s">
        <v>916</v>
      </c>
      <c r="B469" s="3">
        <v>45900</v>
      </c>
      <c r="C469" s="2" t="s">
        <v>917</v>
      </c>
      <c r="D469" s="2" t="s">
        <v>57</v>
      </c>
      <c r="E469" s="2" t="s">
        <v>29</v>
      </c>
      <c r="F469" s="2">
        <v>41</v>
      </c>
      <c r="G469" s="2" t="s">
        <v>88</v>
      </c>
      <c r="H469" s="2" t="s">
        <v>49</v>
      </c>
      <c r="I469" s="2" t="s">
        <v>88</v>
      </c>
      <c r="J469" s="2" t="s">
        <v>32</v>
      </c>
      <c r="K469" s="2">
        <v>2</v>
      </c>
      <c r="L469" s="2">
        <v>20842</v>
      </c>
      <c r="M469" s="2">
        <v>5</v>
      </c>
      <c r="N469" s="2">
        <v>2084.1999999999998</v>
      </c>
      <c r="O469" s="2">
        <v>7127.96</v>
      </c>
      <c r="P469" s="2">
        <v>476</v>
      </c>
      <c r="Q469" s="2">
        <v>47203.76</v>
      </c>
      <c r="R469" s="2" t="s">
        <v>76</v>
      </c>
      <c r="S469" s="2" t="s">
        <v>34</v>
      </c>
      <c r="T469" s="9" t="s">
        <v>1707</v>
      </c>
      <c r="U469" s="10" t="s">
        <v>1712</v>
      </c>
      <c r="V469" s="2" t="s">
        <v>53</v>
      </c>
      <c r="W469" s="2">
        <v>6</v>
      </c>
      <c r="X469" s="2" t="s">
        <v>36</v>
      </c>
      <c r="Y469" s="2">
        <v>5</v>
      </c>
      <c r="Z469" s="2" t="s">
        <v>37</v>
      </c>
    </row>
    <row r="470" spans="1:26" x14ac:dyDescent="0.35">
      <c r="A470" s="2" t="s">
        <v>918</v>
      </c>
      <c r="B470" s="3">
        <v>46020</v>
      </c>
      <c r="C470" s="2" t="s">
        <v>115</v>
      </c>
      <c r="D470" s="2" t="s">
        <v>68</v>
      </c>
      <c r="E470" s="2" t="s">
        <v>29</v>
      </c>
      <c r="F470" s="2">
        <v>24</v>
      </c>
      <c r="G470" s="2" t="s">
        <v>42</v>
      </c>
      <c r="H470" s="2" t="s">
        <v>31</v>
      </c>
      <c r="I470" s="2" t="s">
        <v>42</v>
      </c>
      <c r="J470" s="2" t="s">
        <v>50</v>
      </c>
      <c r="K470" s="2">
        <v>1</v>
      </c>
      <c r="L470" s="2">
        <v>47724</v>
      </c>
      <c r="M470" s="2">
        <v>0</v>
      </c>
      <c r="N470" s="2">
        <v>0</v>
      </c>
      <c r="O470" s="2">
        <v>8590.32</v>
      </c>
      <c r="P470" s="2">
        <v>1</v>
      </c>
      <c r="Q470" s="2">
        <v>56315.32</v>
      </c>
      <c r="R470" s="2" t="s">
        <v>33</v>
      </c>
      <c r="S470" s="2" t="s">
        <v>59</v>
      </c>
      <c r="T470" s="9" t="s">
        <v>1710</v>
      </c>
      <c r="U470" s="10" t="s">
        <v>1711</v>
      </c>
      <c r="V470" s="2" t="s">
        <v>53</v>
      </c>
      <c r="W470" s="2">
        <v>9</v>
      </c>
      <c r="X470" s="2" t="s">
        <v>44</v>
      </c>
      <c r="Y470" s="2">
        <v>5</v>
      </c>
      <c r="Z470" s="2" t="s">
        <v>44</v>
      </c>
    </row>
    <row r="471" spans="1:26" x14ac:dyDescent="0.35">
      <c r="A471" s="2" t="s">
        <v>919</v>
      </c>
      <c r="B471" s="3">
        <v>45924</v>
      </c>
      <c r="C471" s="2" t="s">
        <v>303</v>
      </c>
      <c r="D471" s="2" t="s">
        <v>28</v>
      </c>
      <c r="E471" s="2" t="s">
        <v>29</v>
      </c>
      <c r="F471" s="2">
        <v>40</v>
      </c>
      <c r="G471" s="2" t="s">
        <v>81</v>
      </c>
      <c r="H471" s="2" t="s">
        <v>31</v>
      </c>
      <c r="I471" s="2" t="s">
        <v>81</v>
      </c>
      <c r="J471" s="2" t="s">
        <v>113</v>
      </c>
      <c r="K471" s="2">
        <v>4</v>
      </c>
      <c r="L471" s="2">
        <v>10839</v>
      </c>
      <c r="M471" s="2">
        <v>0</v>
      </c>
      <c r="N471" s="2">
        <v>0</v>
      </c>
      <c r="O471" s="2">
        <v>7804.08</v>
      </c>
      <c r="P471" s="2">
        <v>263</v>
      </c>
      <c r="Q471" s="2">
        <v>51423.08</v>
      </c>
      <c r="R471" s="2" t="s">
        <v>76</v>
      </c>
      <c r="S471" s="2" t="s">
        <v>59</v>
      </c>
      <c r="T471" s="9" t="s">
        <v>1706</v>
      </c>
      <c r="U471" s="10" t="s">
        <v>52</v>
      </c>
      <c r="V471" s="2" t="s">
        <v>53</v>
      </c>
      <c r="W471" s="2">
        <v>10</v>
      </c>
      <c r="X471" s="2" t="s">
        <v>44</v>
      </c>
      <c r="Y471" s="2">
        <v>2</v>
      </c>
      <c r="Z471" s="2" t="s">
        <v>37</v>
      </c>
    </row>
    <row r="472" spans="1:26" x14ac:dyDescent="0.35">
      <c r="A472" s="2" t="s">
        <v>920</v>
      </c>
      <c r="B472" s="3">
        <v>45940</v>
      </c>
      <c r="C472" s="2" t="s">
        <v>480</v>
      </c>
      <c r="D472" s="2" t="s">
        <v>73</v>
      </c>
      <c r="E472" s="2" t="s">
        <v>29</v>
      </c>
      <c r="F472" s="2">
        <v>59</v>
      </c>
      <c r="G472" s="2" t="s">
        <v>30</v>
      </c>
      <c r="H472" s="2" t="s">
        <v>31</v>
      </c>
      <c r="I472" s="2" t="s">
        <v>30</v>
      </c>
      <c r="J472" s="2" t="s">
        <v>65</v>
      </c>
      <c r="K472" s="2">
        <v>3</v>
      </c>
      <c r="L472" s="2">
        <v>26534</v>
      </c>
      <c r="M472" s="2">
        <v>20</v>
      </c>
      <c r="N472" s="2">
        <v>15920.4</v>
      </c>
      <c r="O472" s="2">
        <v>11462.69</v>
      </c>
      <c r="P472" s="2">
        <v>204</v>
      </c>
      <c r="Q472" s="2">
        <v>75348.289999999994</v>
      </c>
      <c r="R472" s="2" t="s">
        <v>43</v>
      </c>
      <c r="S472" s="2" t="s">
        <v>34</v>
      </c>
      <c r="T472" s="9" t="s">
        <v>1706</v>
      </c>
      <c r="U472" s="10" t="s">
        <v>52</v>
      </c>
      <c r="V472" s="2" t="s">
        <v>53</v>
      </c>
      <c r="W472" s="2">
        <v>1</v>
      </c>
      <c r="X472" s="2" t="s">
        <v>36</v>
      </c>
      <c r="Y472" s="2">
        <v>3</v>
      </c>
      <c r="Z472" s="2" t="s">
        <v>82</v>
      </c>
    </row>
    <row r="473" spans="1:26" x14ac:dyDescent="0.35">
      <c r="A473" s="2" t="s">
        <v>921</v>
      </c>
      <c r="B473" s="3">
        <v>45795</v>
      </c>
      <c r="C473" s="2" t="s">
        <v>321</v>
      </c>
      <c r="D473" s="2" t="s">
        <v>73</v>
      </c>
      <c r="E473" s="2" t="s">
        <v>29</v>
      </c>
      <c r="F473" s="2">
        <v>30</v>
      </c>
      <c r="G473" s="2" t="s">
        <v>122</v>
      </c>
      <c r="H473" s="2" t="s">
        <v>31</v>
      </c>
      <c r="I473" s="2" t="s">
        <v>122</v>
      </c>
      <c r="J473" s="2" t="s">
        <v>58</v>
      </c>
      <c r="K473" s="2">
        <v>4</v>
      </c>
      <c r="L473" s="2">
        <v>31580</v>
      </c>
      <c r="M473" s="2">
        <v>0</v>
      </c>
      <c r="N473" s="2">
        <v>0</v>
      </c>
      <c r="O473" s="2">
        <v>22737.599999999999</v>
      </c>
      <c r="P473" s="2">
        <v>323</v>
      </c>
      <c r="Q473" s="2">
        <v>149380.6</v>
      </c>
      <c r="R473" s="2" t="s">
        <v>76</v>
      </c>
      <c r="S473" s="2" t="s">
        <v>59</v>
      </c>
      <c r="T473" s="9" t="s">
        <v>1703</v>
      </c>
      <c r="U473" s="10" t="s">
        <v>1701</v>
      </c>
      <c r="V473" s="2" t="s">
        <v>35</v>
      </c>
      <c r="W473" s="2">
        <v>9</v>
      </c>
      <c r="X473" s="2" t="s">
        <v>44</v>
      </c>
      <c r="Y473" s="2">
        <v>4</v>
      </c>
      <c r="Z473" s="2" t="s">
        <v>44</v>
      </c>
    </row>
    <row r="474" spans="1:26" x14ac:dyDescent="0.35">
      <c r="A474" s="2" t="s">
        <v>922</v>
      </c>
      <c r="B474" s="3">
        <v>45864</v>
      </c>
      <c r="C474" s="2" t="s">
        <v>923</v>
      </c>
      <c r="D474" s="2" t="s">
        <v>57</v>
      </c>
      <c r="E474" s="2" t="s">
        <v>41</v>
      </c>
      <c r="F474" s="2">
        <v>42</v>
      </c>
      <c r="G474" s="2" t="s">
        <v>42</v>
      </c>
      <c r="H474" s="2" t="s">
        <v>31</v>
      </c>
      <c r="I474" s="2" t="s">
        <v>42</v>
      </c>
      <c r="J474" s="2" t="s">
        <v>113</v>
      </c>
      <c r="K474" s="2">
        <v>2</v>
      </c>
      <c r="L474" s="2">
        <v>35161</v>
      </c>
      <c r="M474" s="2">
        <v>15</v>
      </c>
      <c r="N474" s="2">
        <v>10548.3</v>
      </c>
      <c r="O474" s="2">
        <v>10759.27</v>
      </c>
      <c r="P474" s="2">
        <v>349</v>
      </c>
      <c r="Q474" s="2">
        <v>70881.97</v>
      </c>
      <c r="R474" s="2" t="s">
        <v>43</v>
      </c>
      <c r="S474" s="2" t="s">
        <v>59</v>
      </c>
      <c r="T474" s="9" t="s">
        <v>1707</v>
      </c>
      <c r="U474" s="10" t="s">
        <v>1712</v>
      </c>
      <c r="V474" s="2" t="s">
        <v>53</v>
      </c>
      <c r="W474" s="2">
        <v>3</v>
      </c>
      <c r="X474" s="2" t="s">
        <v>36</v>
      </c>
      <c r="Y474" s="2">
        <v>2</v>
      </c>
      <c r="Z474" s="2" t="s">
        <v>54</v>
      </c>
    </row>
    <row r="475" spans="1:26" x14ac:dyDescent="0.35">
      <c r="A475" s="2" t="s">
        <v>924</v>
      </c>
      <c r="B475" s="3">
        <v>46034</v>
      </c>
      <c r="C475" s="2" t="s">
        <v>925</v>
      </c>
      <c r="D475" s="2" t="s">
        <v>96</v>
      </c>
      <c r="E475" s="2" t="s">
        <v>29</v>
      </c>
      <c r="F475" s="2">
        <v>46</v>
      </c>
      <c r="G475" s="2" t="s">
        <v>122</v>
      </c>
      <c r="H475" s="2" t="s">
        <v>31</v>
      </c>
      <c r="I475" s="2" t="s">
        <v>122</v>
      </c>
      <c r="J475" s="2" t="s">
        <v>70</v>
      </c>
      <c r="K475" s="2">
        <v>3</v>
      </c>
      <c r="L475" s="2">
        <v>48636</v>
      </c>
      <c r="M475" s="2">
        <v>0</v>
      </c>
      <c r="N475" s="2">
        <v>0</v>
      </c>
      <c r="O475" s="2">
        <v>26263.439999999999</v>
      </c>
      <c r="P475" s="2">
        <v>268</v>
      </c>
      <c r="Q475" s="2">
        <v>172439.44</v>
      </c>
      <c r="R475" s="2" t="s">
        <v>51</v>
      </c>
      <c r="S475" s="2" t="s">
        <v>34</v>
      </c>
      <c r="T475" s="9" t="s">
        <v>1704</v>
      </c>
      <c r="U475" s="10" t="s">
        <v>52</v>
      </c>
      <c r="V475" s="2" t="s">
        <v>35</v>
      </c>
      <c r="W475" s="2">
        <v>6</v>
      </c>
      <c r="X475" s="2" t="s">
        <v>36</v>
      </c>
      <c r="Y475" s="2">
        <v>3</v>
      </c>
      <c r="Z475" s="2" t="s">
        <v>54</v>
      </c>
    </row>
    <row r="476" spans="1:26" x14ac:dyDescent="0.35">
      <c r="A476" s="2" t="s">
        <v>926</v>
      </c>
      <c r="B476" s="3">
        <v>46088</v>
      </c>
      <c r="C476" s="2" t="s">
        <v>927</v>
      </c>
      <c r="D476" s="2" t="s">
        <v>96</v>
      </c>
      <c r="E476" s="2" t="s">
        <v>41</v>
      </c>
      <c r="F476" s="2">
        <v>31</v>
      </c>
      <c r="G476" s="2" t="s">
        <v>63</v>
      </c>
      <c r="H476" s="2" t="s">
        <v>64</v>
      </c>
      <c r="I476" s="2" t="s">
        <v>63</v>
      </c>
      <c r="J476" s="2" t="s">
        <v>70</v>
      </c>
      <c r="K476" s="2">
        <v>2</v>
      </c>
      <c r="L476" s="2">
        <v>31744</v>
      </c>
      <c r="M476" s="2">
        <v>20</v>
      </c>
      <c r="N476" s="2">
        <v>12697.6</v>
      </c>
      <c r="O476" s="2">
        <v>9142.27</v>
      </c>
      <c r="P476" s="2">
        <v>209</v>
      </c>
      <c r="Q476" s="2">
        <v>60141.67</v>
      </c>
      <c r="R476" s="2" t="s">
        <v>76</v>
      </c>
      <c r="S476" s="2" t="s">
        <v>34</v>
      </c>
      <c r="T476" s="9" t="s">
        <v>1705</v>
      </c>
      <c r="U476" s="10" t="s">
        <v>1702</v>
      </c>
      <c r="V476" s="2" t="s">
        <v>53</v>
      </c>
      <c r="W476" s="2">
        <v>7</v>
      </c>
      <c r="X476" s="2" t="s">
        <v>36</v>
      </c>
      <c r="Y476" s="2">
        <v>5</v>
      </c>
      <c r="Z476" s="2" t="s">
        <v>82</v>
      </c>
    </row>
    <row r="477" spans="1:26" x14ac:dyDescent="0.35">
      <c r="A477" s="2" t="s">
        <v>928</v>
      </c>
      <c r="B477" s="3">
        <v>46051</v>
      </c>
      <c r="C477" s="2" t="s">
        <v>929</v>
      </c>
      <c r="D477" s="2" t="s">
        <v>57</v>
      </c>
      <c r="E477" s="2" t="s">
        <v>41</v>
      </c>
      <c r="F477" s="2">
        <v>32</v>
      </c>
      <c r="G477" s="2" t="s">
        <v>30</v>
      </c>
      <c r="H477" s="2" t="s">
        <v>31</v>
      </c>
      <c r="I477" s="2" t="s">
        <v>30</v>
      </c>
      <c r="J477" s="2" t="s">
        <v>91</v>
      </c>
      <c r="K477" s="2">
        <v>4</v>
      </c>
      <c r="L477" s="2">
        <v>31822</v>
      </c>
      <c r="M477" s="2">
        <v>0</v>
      </c>
      <c r="N477" s="2">
        <v>0</v>
      </c>
      <c r="O477" s="2">
        <v>22911.84</v>
      </c>
      <c r="P477" s="2">
        <v>60</v>
      </c>
      <c r="Q477" s="2">
        <v>150259.84</v>
      </c>
      <c r="R477" s="2" t="s">
        <v>43</v>
      </c>
      <c r="S477" s="2" t="s">
        <v>59</v>
      </c>
      <c r="T477" s="9" t="s">
        <v>1709</v>
      </c>
      <c r="U477" s="10" t="s">
        <v>52</v>
      </c>
      <c r="V477" s="2" t="s">
        <v>53</v>
      </c>
      <c r="W477" s="2">
        <v>1</v>
      </c>
      <c r="X477" s="2" t="s">
        <v>36</v>
      </c>
      <c r="Y477" s="2">
        <v>3</v>
      </c>
      <c r="Z477" s="2" t="s">
        <v>44</v>
      </c>
    </row>
    <row r="478" spans="1:26" x14ac:dyDescent="0.35">
      <c r="A478" s="2" t="s">
        <v>930</v>
      </c>
      <c r="B478" s="3">
        <v>45832</v>
      </c>
      <c r="C478" s="2" t="s">
        <v>931</v>
      </c>
      <c r="D478" s="2" t="s">
        <v>99</v>
      </c>
      <c r="E478" s="2" t="s">
        <v>29</v>
      </c>
      <c r="F478" s="2">
        <v>33</v>
      </c>
      <c r="G478" s="2" t="s">
        <v>88</v>
      </c>
      <c r="H478" s="2" t="s">
        <v>49</v>
      </c>
      <c r="I478" s="2" t="s">
        <v>88</v>
      </c>
      <c r="J478" s="2" t="s">
        <v>50</v>
      </c>
      <c r="K478" s="2">
        <v>4</v>
      </c>
      <c r="L478" s="2">
        <v>2368</v>
      </c>
      <c r="M478" s="2">
        <v>20</v>
      </c>
      <c r="N478" s="2">
        <v>1894.4</v>
      </c>
      <c r="O478" s="2">
        <v>1363.97</v>
      </c>
      <c r="P478" s="2">
        <v>373</v>
      </c>
      <c r="Q478" s="2">
        <v>9314.57</v>
      </c>
      <c r="R478" s="2" t="s">
        <v>43</v>
      </c>
      <c r="S478" s="2" t="s">
        <v>34</v>
      </c>
      <c r="T478" s="9" t="s">
        <v>1707</v>
      </c>
      <c r="U478" s="10" t="s">
        <v>1712</v>
      </c>
      <c r="V478" s="2" t="s">
        <v>53</v>
      </c>
      <c r="W478" s="2">
        <v>6</v>
      </c>
      <c r="X478" s="2" t="s">
        <v>44</v>
      </c>
      <c r="Y478" s="2">
        <v>1</v>
      </c>
      <c r="Z478" s="2" t="s">
        <v>44</v>
      </c>
    </row>
    <row r="479" spans="1:26" x14ac:dyDescent="0.35">
      <c r="A479" s="2" t="s">
        <v>932</v>
      </c>
      <c r="B479" s="3">
        <v>46109</v>
      </c>
      <c r="C479" s="2" t="s">
        <v>933</v>
      </c>
      <c r="D479" s="2" t="s">
        <v>57</v>
      </c>
      <c r="E479" s="2" t="s">
        <v>29</v>
      </c>
      <c r="F479" s="2">
        <v>20</v>
      </c>
      <c r="G479" s="2" t="s">
        <v>88</v>
      </c>
      <c r="H479" s="2" t="s">
        <v>49</v>
      </c>
      <c r="I479" s="2" t="s">
        <v>88</v>
      </c>
      <c r="J479" s="2" t="s">
        <v>32</v>
      </c>
      <c r="K479" s="2">
        <v>5</v>
      </c>
      <c r="L479" s="2">
        <v>48760</v>
      </c>
      <c r="M479" s="2">
        <v>5</v>
      </c>
      <c r="N479" s="2">
        <v>12190</v>
      </c>
      <c r="O479" s="2">
        <v>41689.800000000003</v>
      </c>
      <c r="P479" s="2">
        <v>420</v>
      </c>
      <c r="Q479" s="2">
        <v>273719.8</v>
      </c>
      <c r="R479" s="2" t="s">
        <v>33</v>
      </c>
      <c r="S479" s="2" t="s">
        <v>34</v>
      </c>
      <c r="T479" s="9" t="s">
        <v>1709</v>
      </c>
      <c r="U479" s="10" t="s">
        <v>52</v>
      </c>
      <c r="V479" s="2" t="s">
        <v>53</v>
      </c>
      <c r="W479" s="2">
        <v>7</v>
      </c>
      <c r="X479" s="2" t="s">
        <v>44</v>
      </c>
      <c r="Y479" s="2">
        <v>4</v>
      </c>
      <c r="Z479" s="2" t="s">
        <v>44</v>
      </c>
    </row>
    <row r="480" spans="1:26" x14ac:dyDescent="0.35">
      <c r="A480" s="2" t="s">
        <v>934</v>
      </c>
      <c r="B480" s="3">
        <v>45804</v>
      </c>
      <c r="C480" s="2" t="s">
        <v>131</v>
      </c>
      <c r="D480" s="2" t="s">
        <v>73</v>
      </c>
      <c r="E480" s="2" t="s">
        <v>41</v>
      </c>
      <c r="F480" s="2">
        <v>38</v>
      </c>
      <c r="G480" s="2" t="s">
        <v>30</v>
      </c>
      <c r="H480" s="2" t="s">
        <v>31</v>
      </c>
      <c r="I480" s="2" t="s">
        <v>30</v>
      </c>
      <c r="J480" s="2" t="s">
        <v>58</v>
      </c>
      <c r="K480" s="2">
        <v>5</v>
      </c>
      <c r="L480" s="2">
        <v>39991</v>
      </c>
      <c r="M480" s="2">
        <v>10</v>
      </c>
      <c r="N480" s="2">
        <v>19995.5</v>
      </c>
      <c r="O480" s="2">
        <v>32392.71</v>
      </c>
      <c r="P480" s="2">
        <v>310</v>
      </c>
      <c r="Q480" s="2">
        <v>212662.21</v>
      </c>
      <c r="R480" s="2" t="s">
        <v>33</v>
      </c>
      <c r="S480" s="2" t="s">
        <v>34</v>
      </c>
      <c r="T480" s="9" t="s">
        <v>1704</v>
      </c>
      <c r="U480" s="10" t="s">
        <v>52</v>
      </c>
      <c r="V480" s="2" t="s">
        <v>35</v>
      </c>
      <c r="W480" s="2">
        <v>8</v>
      </c>
      <c r="X480" s="2" t="s">
        <v>36</v>
      </c>
      <c r="Y480" s="2">
        <v>5</v>
      </c>
      <c r="Z480" s="2" t="s">
        <v>44</v>
      </c>
    </row>
    <row r="481" spans="1:26" x14ac:dyDescent="0.35">
      <c r="A481" s="2" t="s">
        <v>935</v>
      </c>
      <c r="B481" s="3">
        <v>45909</v>
      </c>
      <c r="C481" s="2" t="s">
        <v>654</v>
      </c>
      <c r="D481" s="2" t="s">
        <v>62</v>
      </c>
      <c r="E481" s="2" t="s">
        <v>41</v>
      </c>
      <c r="F481" s="2">
        <v>53</v>
      </c>
      <c r="G481" s="2" t="s">
        <v>81</v>
      </c>
      <c r="H481" s="2" t="s">
        <v>31</v>
      </c>
      <c r="I481" s="2" t="s">
        <v>81</v>
      </c>
      <c r="J481" s="2" t="s">
        <v>100</v>
      </c>
      <c r="K481" s="2">
        <v>1</v>
      </c>
      <c r="L481" s="2">
        <v>47402</v>
      </c>
      <c r="M481" s="2">
        <v>5</v>
      </c>
      <c r="N481" s="2">
        <v>2370.1</v>
      </c>
      <c r="O481" s="2">
        <v>8105.74</v>
      </c>
      <c r="P481" s="2">
        <v>192</v>
      </c>
      <c r="Q481" s="2">
        <v>53329.64</v>
      </c>
      <c r="R481" s="2" t="s">
        <v>51</v>
      </c>
      <c r="S481" s="2" t="s">
        <v>59</v>
      </c>
      <c r="T481" s="9" t="s">
        <v>1705</v>
      </c>
      <c r="U481" s="10" t="s">
        <v>1702</v>
      </c>
      <c r="V481" s="2" t="s">
        <v>53</v>
      </c>
      <c r="W481" s="2">
        <v>5</v>
      </c>
      <c r="X481" s="2" t="s">
        <v>36</v>
      </c>
      <c r="Y481" s="2">
        <v>2</v>
      </c>
      <c r="Z481" s="2" t="s">
        <v>54</v>
      </c>
    </row>
    <row r="482" spans="1:26" x14ac:dyDescent="0.35">
      <c r="A482" s="2" t="s">
        <v>936</v>
      </c>
      <c r="B482" s="3">
        <v>46034</v>
      </c>
      <c r="C482" s="2" t="s">
        <v>937</v>
      </c>
      <c r="D482" s="2" t="s">
        <v>57</v>
      </c>
      <c r="E482" s="2" t="s">
        <v>41</v>
      </c>
      <c r="F482" s="2">
        <v>34</v>
      </c>
      <c r="G482" s="2" t="s">
        <v>85</v>
      </c>
      <c r="H482" s="2" t="s">
        <v>31</v>
      </c>
      <c r="I482" s="2" t="s">
        <v>85</v>
      </c>
      <c r="J482" s="2" t="s">
        <v>138</v>
      </c>
      <c r="K482" s="2">
        <v>3</v>
      </c>
      <c r="L482" s="2">
        <v>42924</v>
      </c>
      <c r="M482" s="2">
        <v>20</v>
      </c>
      <c r="N482" s="2">
        <v>25754.400000000001</v>
      </c>
      <c r="O482" s="2">
        <v>18543.169999999998</v>
      </c>
      <c r="P482" s="2">
        <v>373</v>
      </c>
      <c r="Q482" s="2">
        <v>121933.77</v>
      </c>
      <c r="R482" s="2" t="s">
        <v>51</v>
      </c>
      <c r="S482" s="2" t="s">
        <v>34</v>
      </c>
      <c r="T482" s="9" t="s">
        <v>1706</v>
      </c>
      <c r="U482" s="10" t="s">
        <v>52</v>
      </c>
      <c r="V482" s="2" t="s">
        <v>53</v>
      </c>
      <c r="W482" s="2">
        <v>2</v>
      </c>
      <c r="X482" s="2" t="s">
        <v>44</v>
      </c>
      <c r="Y482" s="2">
        <v>4</v>
      </c>
      <c r="Z482" s="2" t="s">
        <v>82</v>
      </c>
    </row>
    <row r="483" spans="1:26" x14ac:dyDescent="0.35">
      <c r="A483" s="2" t="s">
        <v>938</v>
      </c>
      <c r="B483" s="3">
        <v>46000</v>
      </c>
      <c r="C483" s="2" t="s">
        <v>939</v>
      </c>
      <c r="D483" s="2" t="s">
        <v>96</v>
      </c>
      <c r="E483" s="2" t="s">
        <v>41</v>
      </c>
      <c r="F483" s="2">
        <v>29</v>
      </c>
      <c r="G483" s="2" t="s">
        <v>42</v>
      </c>
      <c r="H483" s="2" t="s">
        <v>31</v>
      </c>
      <c r="I483" s="2" t="s">
        <v>42</v>
      </c>
      <c r="J483" s="2" t="s">
        <v>58</v>
      </c>
      <c r="K483" s="2">
        <v>2</v>
      </c>
      <c r="L483" s="2">
        <v>43493</v>
      </c>
      <c r="M483" s="2">
        <v>5</v>
      </c>
      <c r="N483" s="2">
        <v>4349.3</v>
      </c>
      <c r="O483" s="2">
        <v>14874.61</v>
      </c>
      <c r="P483" s="2">
        <v>499</v>
      </c>
      <c r="Q483" s="2">
        <v>98010.31</v>
      </c>
      <c r="R483" s="2" t="s">
        <v>76</v>
      </c>
      <c r="S483" s="2" t="s">
        <v>59</v>
      </c>
      <c r="T483" s="9" t="s">
        <v>1703</v>
      </c>
      <c r="U483" s="10" t="s">
        <v>1701</v>
      </c>
      <c r="V483" s="2" t="s">
        <v>35</v>
      </c>
      <c r="W483" s="2">
        <v>10</v>
      </c>
      <c r="X483" s="2" t="s">
        <v>44</v>
      </c>
      <c r="Y483" s="2">
        <v>4</v>
      </c>
      <c r="Z483" s="2" t="s">
        <v>37</v>
      </c>
    </row>
    <row r="484" spans="1:26" x14ac:dyDescent="0.35">
      <c r="A484" s="2" t="s">
        <v>940</v>
      </c>
      <c r="B484" s="3">
        <v>46087</v>
      </c>
      <c r="C484" s="2" t="s">
        <v>941</v>
      </c>
      <c r="D484" s="2" t="s">
        <v>40</v>
      </c>
      <c r="E484" s="2" t="s">
        <v>29</v>
      </c>
      <c r="F484" s="2">
        <v>52</v>
      </c>
      <c r="G484" s="2" t="s">
        <v>88</v>
      </c>
      <c r="H484" s="2" t="s">
        <v>49</v>
      </c>
      <c r="I484" s="2" t="s">
        <v>88</v>
      </c>
      <c r="J484" s="2" t="s">
        <v>70</v>
      </c>
      <c r="K484" s="2">
        <v>1</v>
      </c>
      <c r="L484" s="2">
        <v>23370</v>
      </c>
      <c r="M484" s="2">
        <v>0</v>
      </c>
      <c r="N484" s="2">
        <v>0</v>
      </c>
      <c r="O484" s="2">
        <v>4206.6000000000004</v>
      </c>
      <c r="P484" s="2">
        <v>413</v>
      </c>
      <c r="Q484" s="2">
        <v>27989.599999999999</v>
      </c>
      <c r="R484" s="2" t="s">
        <v>76</v>
      </c>
      <c r="S484" s="2" t="s">
        <v>59</v>
      </c>
      <c r="T484" s="9" t="s">
        <v>1708</v>
      </c>
      <c r="U484" s="10" t="s">
        <v>52</v>
      </c>
      <c r="V484" s="2" t="s">
        <v>77</v>
      </c>
      <c r="W484" s="2">
        <v>6</v>
      </c>
      <c r="X484" s="2" t="s">
        <v>36</v>
      </c>
      <c r="Y484" s="2">
        <v>4</v>
      </c>
      <c r="Z484" s="2" t="s">
        <v>44</v>
      </c>
    </row>
    <row r="485" spans="1:26" x14ac:dyDescent="0.35">
      <c r="A485" s="2" t="s">
        <v>942</v>
      </c>
      <c r="B485" s="3">
        <v>46070</v>
      </c>
      <c r="C485" s="2" t="s">
        <v>943</v>
      </c>
      <c r="D485" s="2" t="s">
        <v>40</v>
      </c>
      <c r="E485" s="2" t="s">
        <v>41</v>
      </c>
      <c r="F485" s="2">
        <v>58</v>
      </c>
      <c r="G485" s="2" t="s">
        <v>30</v>
      </c>
      <c r="H485" s="2" t="s">
        <v>31</v>
      </c>
      <c r="I485" s="2" t="s">
        <v>30</v>
      </c>
      <c r="J485" s="2" t="s">
        <v>50</v>
      </c>
      <c r="K485" s="2">
        <v>3</v>
      </c>
      <c r="L485" s="2">
        <v>47124</v>
      </c>
      <c r="M485" s="2">
        <v>10</v>
      </c>
      <c r="N485" s="2">
        <v>14137.2</v>
      </c>
      <c r="O485" s="2">
        <v>22902.26</v>
      </c>
      <c r="P485" s="2">
        <v>40</v>
      </c>
      <c r="Q485" s="2">
        <v>150177.06</v>
      </c>
      <c r="R485" s="2" t="s">
        <v>51</v>
      </c>
      <c r="S485" s="2" t="s">
        <v>59</v>
      </c>
      <c r="T485" s="9" t="s">
        <v>1710</v>
      </c>
      <c r="U485" s="10" t="s">
        <v>1711</v>
      </c>
      <c r="V485" s="2" t="s">
        <v>53</v>
      </c>
      <c r="W485" s="2">
        <v>4</v>
      </c>
      <c r="X485" s="2" t="s">
        <v>36</v>
      </c>
      <c r="Y485" s="2">
        <v>3</v>
      </c>
      <c r="Z485" s="2" t="s">
        <v>82</v>
      </c>
    </row>
    <row r="486" spans="1:26" x14ac:dyDescent="0.35">
      <c r="A486" s="2" t="s">
        <v>944</v>
      </c>
      <c r="B486" s="3">
        <v>46062</v>
      </c>
      <c r="C486" s="2" t="s">
        <v>945</v>
      </c>
      <c r="D486" s="2" t="s">
        <v>80</v>
      </c>
      <c r="E486" s="2" t="s">
        <v>29</v>
      </c>
      <c r="F486" s="2">
        <v>30</v>
      </c>
      <c r="G486" s="2" t="s">
        <v>127</v>
      </c>
      <c r="H486" s="2" t="s">
        <v>31</v>
      </c>
      <c r="I486" s="2" t="s">
        <v>127</v>
      </c>
      <c r="J486" s="2" t="s">
        <v>190</v>
      </c>
      <c r="K486" s="2">
        <v>1</v>
      </c>
      <c r="L486" s="2">
        <v>27733</v>
      </c>
      <c r="M486" s="2">
        <v>5</v>
      </c>
      <c r="N486" s="2">
        <v>1386.65</v>
      </c>
      <c r="O486" s="2">
        <v>4742.34</v>
      </c>
      <c r="P486" s="2">
        <v>481</v>
      </c>
      <c r="Q486" s="2">
        <v>31569.69</v>
      </c>
      <c r="R486" s="2" t="s">
        <v>76</v>
      </c>
      <c r="S486" s="2" t="s">
        <v>34</v>
      </c>
      <c r="T486" s="9" t="s">
        <v>1704</v>
      </c>
      <c r="U486" s="10" t="s">
        <v>52</v>
      </c>
      <c r="V486" s="2" t="s">
        <v>35</v>
      </c>
      <c r="W486" s="2">
        <v>8</v>
      </c>
      <c r="X486" s="2" t="s">
        <v>36</v>
      </c>
      <c r="Y486" s="2">
        <v>3</v>
      </c>
      <c r="Z486" s="2" t="s">
        <v>37</v>
      </c>
    </row>
    <row r="487" spans="1:26" x14ac:dyDescent="0.35">
      <c r="A487" s="2" t="s">
        <v>946</v>
      </c>
      <c r="B487" s="3">
        <v>45913</v>
      </c>
      <c r="C487" s="2" t="s">
        <v>731</v>
      </c>
      <c r="D487" s="2" t="s">
        <v>40</v>
      </c>
      <c r="E487" s="2" t="s">
        <v>29</v>
      </c>
      <c r="F487" s="2">
        <v>26</v>
      </c>
      <c r="G487" s="2" t="s">
        <v>69</v>
      </c>
      <c r="H487" s="2" t="s">
        <v>31</v>
      </c>
      <c r="I487" s="2" t="s">
        <v>69</v>
      </c>
      <c r="J487" s="2" t="s">
        <v>190</v>
      </c>
      <c r="K487" s="2">
        <v>1</v>
      </c>
      <c r="L487" s="2">
        <v>16619</v>
      </c>
      <c r="M487" s="2">
        <v>5</v>
      </c>
      <c r="N487" s="2">
        <v>830.95</v>
      </c>
      <c r="O487" s="2">
        <v>2841.85</v>
      </c>
      <c r="P487" s="2">
        <v>416</v>
      </c>
      <c r="Q487" s="2">
        <v>19045.900000000001</v>
      </c>
      <c r="R487" s="2" t="s">
        <v>51</v>
      </c>
      <c r="S487" s="2" t="s">
        <v>34</v>
      </c>
      <c r="T487" s="9" t="s">
        <v>1708</v>
      </c>
      <c r="U487" s="10" t="s">
        <v>52</v>
      </c>
      <c r="V487" s="2" t="s">
        <v>77</v>
      </c>
      <c r="W487" s="2">
        <v>4</v>
      </c>
      <c r="X487" s="2" t="s">
        <v>36</v>
      </c>
      <c r="Y487" s="2">
        <v>1</v>
      </c>
      <c r="Z487" s="2" t="s">
        <v>44</v>
      </c>
    </row>
    <row r="488" spans="1:26" x14ac:dyDescent="0.35">
      <c r="A488" s="2" t="s">
        <v>947</v>
      </c>
      <c r="B488" s="3">
        <v>45939</v>
      </c>
      <c r="C488" s="2" t="s">
        <v>160</v>
      </c>
      <c r="D488" s="2" t="s">
        <v>28</v>
      </c>
      <c r="E488" s="2" t="s">
        <v>41</v>
      </c>
      <c r="F488" s="2">
        <v>39</v>
      </c>
      <c r="G488" s="2" t="s">
        <v>88</v>
      </c>
      <c r="H488" s="2" t="s">
        <v>49</v>
      </c>
      <c r="I488" s="2" t="s">
        <v>88</v>
      </c>
      <c r="J488" s="2" t="s">
        <v>100</v>
      </c>
      <c r="K488" s="2">
        <v>3</v>
      </c>
      <c r="L488" s="2">
        <v>16882</v>
      </c>
      <c r="M488" s="2">
        <v>10</v>
      </c>
      <c r="N488" s="2">
        <v>5064.6000000000004</v>
      </c>
      <c r="O488" s="2">
        <v>8204.65</v>
      </c>
      <c r="P488" s="2">
        <v>146</v>
      </c>
      <c r="Q488" s="2">
        <v>53932.05</v>
      </c>
      <c r="R488" s="2" t="s">
        <v>33</v>
      </c>
      <c r="S488" s="2" t="s">
        <v>59</v>
      </c>
      <c r="T488" s="9" t="s">
        <v>1710</v>
      </c>
      <c r="U488" s="10" t="s">
        <v>1711</v>
      </c>
      <c r="V488" s="2" t="s">
        <v>53</v>
      </c>
      <c r="W488" s="2">
        <v>2</v>
      </c>
      <c r="X488" s="2" t="s">
        <v>36</v>
      </c>
      <c r="Y488" s="2">
        <v>5</v>
      </c>
      <c r="Z488" s="2" t="s">
        <v>82</v>
      </c>
    </row>
    <row r="489" spans="1:26" x14ac:dyDescent="0.35">
      <c r="A489" s="2" t="s">
        <v>948</v>
      </c>
      <c r="B489" s="3">
        <v>46009</v>
      </c>
      <c r="C489" s="2" t="s">
        <v>949</v>
      </c>
      <c r="D489" s="2" t="s">
        <v>73</v>
      </c>
      <c r="E489" s="2" t="s">
        <v>29</v>
      </c>
      <c r="F489" s="2">
        <v>52</v>
      </c>
      <c r="G489" s="2" t="s">
        <v>69</v>
      </c>
      <c r="H489" s="2" t="s">
        <v>31</v>
      </c>
      <c r="I489" s="2" t="s">
        <v>69</v>
      </c>
      <c r="J489" s="2" t="s">
        <v>113</v>
      </c>
      <c r="K489" s="2">
        <v>3</v>
      </c>
      <c r="L489" s="2">
        <v>42848</v>
      </c>
      <c r="M489" s="2">
        <v>15</v>
      </c>
      <c r="N489" s="2">
        <v>19281.599999999999</v>
      </c>
      <c r="O489" s="2">
        <v>19667.23</v>
      </c>
      <c r="P489" s="2">
        <v>22</v>
      </c>
      <c r="Q489" s="2">
        <v>128951.63</v>
      </c>
      <c r="R489" s="2" t="s">
        <v>51</v>
      </c>
      <c r="S489" s="2" t="s">
        <v>34</v>
      </c>
      <c r="T489" s="9" t="s">
        <v>1706</v>
      </c>
      <c r="U489" s="10" t="s">
        <v>52</v>
      </c>
      <c r="V489" s="2" t="s">
        <v>53</v>
      </c>
      <c r="W489" s="2">
        <v>3</v>
      </c>
      <c r="X489" s="2" t="s">
        <v>36</v>
      </c>
      <c r="Y489" s="2">
        <v>2</v>
      </c>
      <c r="Z489" s="2" t="s">
        <v>44</v>
      </c>
    </row>
    <row r="490" spans="1:26" x14ac:dyDescent="0.35">
      <c r="A490" s="2" t="s">
        <v>950</v>
      </c>
      <c r="B490" s="3">
        <v>45860</v>
      </c>
      <c r="C490" s="2" t="s">
        <v>951</v>
      </c>
      <c r="D490" s="2" t="s">
        <v>68</v>
      </c>
      <c r="E490" s="2" t="s">
        <v>41</v>
      </c>
      <c r="F490" s="2">
        <v>25</v>
      </c>
      <c r="G490" s="2" t="s">
        <v>63</v>
      </c>
      <c r="H490" s="2" t="s">
        <v>64</v>
      </c>
      <c r="I490" s="2" t="s">
        <v>63</v>
      </c>
      <c r="J490" s="2" t="s">
        <v>58</v>
      </c>
      <c r="K490" s="2">
        <v>3</v>
      </c>
      <c r="L490" s="2">
        <v>17988</v>
      </c>
      <c r="M490" s="2">
        <v>10</v>
      </c>
      <c r="N490" s="2">
        <v>5396.4</v>
      </c>
      <c r="O490" s="2">
        <v>8742.17</v>
      </c>
      <c r="P490" s="2">
        <v>462</v>
      </c>
      <c r="Q490" s="2">
        <v>57771.77</v>
      </c>
      <c r="R490" s="2" t="s">
        <v>76</v>
      </c>
      <c r="S490" s="2" t="s">
        <v>34</v>
      </c>
      <c r="T490" s="9" t="s">
        <v>1707</v>
      </c>
      <c r="U490" s="10" t="s">
        <v>1712</v>
      </c>
      <c r="V490" s="2" t="s">
        <v>53</v>
      </c>
      <c r="W490" s="2">
        <v>10</v>
      </c>
      <c r="X490" s="2" t="s">
        <v>36</v>
      </c>
      <c r="Y490" s="2">
        <v>2</v>
      </c>
      <c r="Z490" s="2" t="s">
        <v>82</v>
      </c>
    </row>
    <row r="491" spans="1:26" x14ac:dyDescent="0.35">
      <c r="A491" s="2" t="s">
        <v>952</v>
      </c>
      <c r="B491" s="3">
        <v>45807</v>
      </c>
      <c r="C491" s="2" t="s">
        <v>192</v>
      </c>
      <c r="D491" s="2" t="s">
        <v>62</v>
      </c>
      <c r="E491" s="2" t="s">
        <v>41</v>
      </c>
      <c r="F491" s="2">
        <v>51</v>
      </c>
      <c r="G491" s="2" t="s">
        <v>88</v>
      </c>
      <c r="H491" s="2" t="s">
        <v>49</v>
      </c>
      <c r="I491" s="2" t="s">
        <v>88</v>
      </c>
      <c r="J491" s="2" t="s">
        <v>91</v>
      </c>
      <c r="K491" s="2">
        <v>4</v>
      </c>
      <c r="L491" s="2">
        <v>20757</v>
      </c>
      <c r="M491" s="2">
        <v>0</v>
      </c>
      <c r="N491" s="2">
        <v>0</v>
      </c>
      <c r="O491" s="2">
        <v>14945.04</v>
      </c>
      <c r="P491" s="2">
        <v>65</v>
      </c>
      <c r="Q491" s="2">
        <v>98038.04</v>
      </c>
      <c r="R491" s="2" t="s">
        <v>51</v>
      </c>
      <c r="S491" s="2" t="s">
        <v>34</v>
      </c>
      <c r="T491" s="9" t="s">
        <v>1706</v>
      </c>
      <c r="U491" s="10" t="s">
        <v>52</v>
      </c>
      <c r="V491" s="2" t="s">
        <v>53</v>
      </c>
      <c r="W491" s="2">
        <v>6</v>
      </c>
      <c r="X491" s="2" t="s">
        <v>44</v>
      </c>
      <c r="Y491" s="2">
        <v>4</v>
      </c>
      <c r="Z491" s="2" t="s">
        <v>54</v>
      </c>
    </row>
    <row r="492" spans="1:26" x14ac:dyDescent="0.35">
      <c r="A492" s="2" t="s">
        <v>953</v>
      </c>
      <c r="B492" s="3">
        <v>45868</v>
      </c>
      <c r="C492" s="2" t="s">
        <v>954</v>
      </c>
      <c r="D492" s="2" t="s">
        <v>47</v>
      </c>
      <c r="E492" s="2" t="s">
        <v>41</v>
      </c>
      <c r="F492" s="2">
        <v>54</v>
      </c>
      <c r="G492" s="2" t="s">
        <v>122</v>
      </c>
      <c r="H492" s="2" t="s">
        <v>31</v>
      </c>
      <c r="I492" s="2" t="s">
        <v>122</v>
      </c>
      <c r="J492" s="2" t="s">
        <v>70</v>
      </c>
      <c r="K492" s="2">
        <v>2</v>
      </c>
      <c r="L492" s="2">
        <v>36202</v>
      </c>
      <c r="M492" s="2">
        <v>10</v>
      </c>
      <c r="N492" s="2">
        <v>7240.4</v>
      </c>
      <c r="O492" s="2">
        <v>11729.45</v>
      </c>
      <c r="P492" s="2">
        <v>49</v>
      </c>
      <c r="Q492" s="2">
        <v>76942.05</v>
      </c>
      <c r="R492" s="2" t="s">
        <v>51</v>
      </c>
      <c r="S492" s="2" t="s">
        <v>59</v>
      </c>
      <c r="T492" s="9" t="s">
        <v>1710</v>
      </c>
      <c r="U492" s="10" t="s">
        <v>1711</v>
      </c>
      <c r="V492" s="2" t="s">
        <v>53</v>
      </c>
      <c r="W492" s="2">
        <v>10</v>
      </c>
      <c r="X492" s="2" t="s">
        <v>44</v>
      </c>
      <c r="Y492" s="2">
        <v>3</v>
      </c>
      <c r="Z492" s="2" t="s">
        <v>54</v>
      </c>
    </row>
    <row r="493" spans="1:26" x14ac:dyDescent="0.35">
      <c r="A493" s="2" t="s">
        <v>955</v>
      </c>
      <c r="B493" s="3">
        <v>46089</v>
      </c>
      <c r="C493" s="2" t="s">
        <v>766</v>
      </c>
      <c r="D493" s="2" t="s">
        <v>73</v>
      </c>
      <c r="E493" s="2" t="s">
        <v>41</v>
      </c>
      <c r="F493" s="2">
        <v>55</v>
      </c>
      <c r="G493" s="2" t="s">
        <v>81</v>
      </c>
      <c r="H493" s="2" t="s">
        <v>31</v>
      </c>
      <c r="I493" s="2" t="s">
        <v>81</v>
      </c>
      <c r="J493" s="2" t="s">
        <v>58</v>
      </c>
      <c r="K493" s="2">
        <v>5</v>
      </c>
      <c r="L493" s="2">
        <v>8252</v>
      </c>
      <c r="M493" s="2">
        <v>20</v>
      </c>
      <c r="N493" s="2">
        <v>8252</v>
      </c>
      <c r="O493" s="2">
        <v>5941.44</v>
      </c>
      <c r="P493" s="2">
        <v>389</v>
      </c>
      <c r="Q493" s="2">
        <v>39338.44</v>
      </c>
      <c r="R493" s="2" t="s">
        <v>51</v>
      </c>
      <c r="S493" s="2" t="s">
        <v>34</v>
      </c>
      <c r="T493" s="9" t="s">
        <v>1704</v>
      </c>
      <c r="U493" s="10" t="s">
        <v>52</v>
      </c>
      <c r="V493" s="2" t="s">
        <v>35</v>
      </c>
      <c r="W493" s="2">
        <v>5</v>
      </c>
      <c r="X493" s="2" t="s">
        <v>44</v>
      </c>
      <c r="Y493" s="2">
        <v>3</v>
      </c>
      <c r="Z493" s="2" t="s">
        <v>82</v>
      </c>
    </row>
    <row r="494" spans="1:26" x14ac:dyDescent="0.35">
      <c r="A494" s="2" t="s">
        <v>956</v>
      </c>
      <c r="B494" s="3">
        <v>45776</v>
      </c>
      <c r="C494" s="2" t="s">
        <v>192</v>
      </c>
      <c r="D494" s="2" t="s">
        <v>73</v>
      </c>
      <c r="E494" s="2" t="s">
        <v>29</v>
      </c>
      <c r="F494" s="2">
        <v>50</v>
      </c>
      <c r="G494" s="2" t="s">
        <v>63</v>
      </c>
      <c r="H494" s="2" t="s">
        <v>64</v>
      </c>
      <c r="I494" s="2" t="s">
        <v>63</v>
      </c>
      <c r="J494" s="2" t="s">
        <v>58</v>
      </c>
      <c r="K494" s="2">
        <v>1</v>
      </c>
      <c r="L494" s="2">
        <v>49467</v>
      </c>
      <c r="M494" s="2">
        <v>20</v>
      </c>
      <c r="N494" s="2">
        <v>9893.4</v>
      </c>
      <c r="O494" s="2">
        <v>7123.25</v>
      </c>
      <c r="P494" s="2">
        <v>217</v>
      </c>
      <c r="Q494" s="2">
        <v>46913.85</v>
      </c>
      <c r="R494" s="2" t="s">
        <v>51</v>
      </c>
      <c r="S494" s="2" t="s">
        <v>59</v>
      </c>
      <c r="T494" s="9" t="s">
        <v>1708</v>
      </c>
      <c r="U494" s="10" t="s">
        <v>52</v>
      </c>
      <c r="V494" s="2" t="s">
        <v>77</v>
      </c>
      <c r="W494" s="2">
        <v>5</v>
      </c>
      <c r="X494" s="2" t="s">
        <v>36</v>
      </c>
      <c r="Y494" s="2">
        <v>3</v>
      </c>
      <c r="Z494" s="2" t="s">
        <v>54</v>
      </c>
    </row>
    <row r="495" spans="1:26" x14ac:dyDescent="0.35">
      <c r="A495" s="2" t="s">
        <v>957</v>
      </c>
      <c r="B495" s="3">
        <v>45941</v>
      </c>
      <c r="C495" s="2" t="s">
        <v>377</v>
      </c>
      <c r="D495" s="2" t="s">
        <v>40</v>
      </c>
      <c r="E495" s="2" t="s">
        <v>29</v>
      </c>
      <c r="F495" s="2">
        <v>55</v>
      </c>
      <c r="G495" s="2" t="s">
        <v>48</v>
      </c>
      <c r="H495" s="2" t="s">
        <v>49</v>
      </c>
      <c r="I495" s="2" t="s">
        <v>48</v>
      </c>
      <c r="J495" s="2" t="s">
        <v>91</v>
      </c>
      <c r="K495" s="2">
        <v>4</v>
      </c>
      <c r="L495" s="2">
        <v>21774</v>
      </c>
      <c r="M495" s="2">
        <v>20</v>
      </c>
      <c r="N495" s="2">
        <v>17419.2</v>
      </c>
      <c r="O495" s="2">
        <v>12541.82</v>
      </c>
      <c r="P495" s="2">
        <v>11</v>
      </c>
      <c r="Q495" s="2">
        <v>82229.62</v>
      </c>
      <c r="R495" s="2" t="s">
        <v>51</v>
      </c>
      <c r="S495" s="2" t="s">
        <v>59</v>
      </c>
      <c r="T495" s="9" t="s">
        <v>1709</v>
      </c>
      <c r="U495" s="10" t="s">
        <v>52</v>
      </c>
      <c r="V495" s="2" t="s">
        <v>53</v>
      </c>
      <c r="W495" s="2">
        <v>5</v>
      </c>
      <c r="X495" s="2" t="s">
        <v>44</v>
      </c>
      <c r="Y495" s="2">
        <v>1</v>
      </c>
      <c r="Z495" s="2" t="s">
        <v>82</v>
      </c>
    </row>
    <row r="496" spans="1:26" x14ac:dyDescent="0.35">
      <c r="A496" s="2" t="s">
        <v>958</v>
      </c>
      <c r="B496" s="3">
        <v>45994</v>
      </c>
      <c r="C496" s="2" t="s">
        <v>272</v>
      </c>
      <c r="D496" s="2" t="s">
        <v>73</v>
      </c>
      <c r="E496" s="2" t="s">
        <v>41</v>
      </c>
      <c r="F496" s="2">
        <v>54</v>
      </c>
      <c r="G496" s="2" t="s">
        <v>69</v>
      </c>
      <c r="H496" s="2" t="s">
        <v>31</v>
      </c>
      <c r="I496" s="2" t="s">
        <v>69</v>
      </c>
      <c r="J496" s="2" t="s">
        <v>100</v>
      </c>
      <c r="K496" s="2">
        <v>4</v>
      </c>
      <c r="L496" s="2">
        <v>47507</v>
      </c>
      <c r="M496" s="2">
        <v>5</v>
      </c>
      <c r="N496" s="2">
        <v>9501.4</v>
      </c>
      <c r="O496" s="2">
        <v>32494.79</v>
      </c>
      <c r="P496" s="2">
        <v>181</v>
      </c>
      <c r="Q496" s="2">
        <v>213202.39</v>
      </c>
      <c r="R496" s="2" t="s">
        <v>33</v>
      </c>
      <c r="S496" s="2" t="s">
        <v>59</v>
      </c>
      <c r="T496" s="9" t="s">
        <v>1709</v>
      </c>
      <c r="U496" s="10" t="s">
        <v>52</v>
      </c>
      <c r="V496" s="2" t="s">
        <v>53</v>
      </c>
      <c r="W496" s="2">
        <v>7</v>
      </c>
      <c r="X496" s="2" t="s">
        <v>44</v>
      </c>
      <c r="Y496" s="2">
        <v>2</v>
      </c>
      <c r="Z496" s="2" t="s">
        <v>82</v>
      </c>
    </row>
    <row r="497" spans="1:26" x14ac:dyDescent="0.35">
      <c r="A497" s="2" t="s">
        <v>959</v>
      </c>
      <c r="B497" s="3">
        <v>45961</v>
      </c>
      <c r="C497" s="2" t="s">
        <v>960</v>
      </c>
      <c r="D497" s="2" t="s">
        <v>68</v>
      </c>
      <c r="E497" s="2" t="s">
        <v>41</v>
      </c>
      <c r="F497" s="2">
        <v>29</v>
      </c>
      <c r="G497" s="2" t="s">
        <v>127</v>
      </c>
      <c r="H497" s="2" t="s">
        <v>31</v>
      </c>
      <c r="I497" s="2" t="s">
        <v>127</v>
      </c>
      <c r="J497" s="2" t="s">
        <v>100</v>
      </c>
      <c r="K497" s="2">
        <v>3</v>
      </c>
      <c r="L497" s="2">
        <v>36790</v>
      </c>
      <c r="M497" s="2">
        <v>10</v>
      </c>
      <c r="N497" s="2">
        <v>11037</v>
      </c>
      <c r="O497" s="2">
        <v>17879.939999999999</v>
      </c>
      <c r="P497" s="2">
        <v>0</v>
      </c>
      <c r="Q497" s="2">
        <v>117212.94</v>
      </c>
      <c r="R497" s="2" t="s">
        <v>33</v>
      </c>
      <c r="S497" s="2" t="s">
        <v>59</v>
      </c>
      <c r="T497" s="9" t="s">
        <v>1709</v>
      </c>
      <c r="U497" s="10" t="s">
        <v>52</v>
      </c>
      <c r="V497" s="2" t="s">
        <v>53</v>
      </c>
      <c r="W497" s="2">
        <v>7</v>
      </c>
      <c r="X497" s="2" t="s">
        <v>36</v>
      </c>
      <c r="Y497" s="2">
        <v>1</v>
      </c>
      <c r="Z497" s="2" t="s">
        <v>82</v>
      </c>
    </row>
    <row r="498" spans="1:26" x14ac:dyDescent="0.35">
      <c r="A498" s="2" t="s">
        <v>961</v>
      </c>
      <c r="B498" s="3">
        <v>45831</v>
      </c>
      <c r="C498" s="2" t="s">
        <v>962</v>
      </c>
      <c r="D498" s="2" t="s">
        <v>62</v>
      </c>
      <c r="E498" s="2" t="s">
        <v>29</v>
      </c>
      <c r="F498" s="2">
        <v>22</v>
      </c>
      <c r="G498" s="2" t="s">
        <v>69</v>
      </c>
      <c r="H498" s="2" t="s">
        <v>31</v>
      </c>
      <c r="I498" s="2" t="s">
        <v>69</v>
      </c>
      <c r="J498" s="2" t="s">
        <v>58</v>
      </c>
      <c r="K498" s="2">
        <v>1</v>
      </c>
      <c r="L498" s="2">
        <v>29785</v>
      </c>
      <c r="M498" s="2">
        <v>20</v>
      </c>
      <c r="N498" s="2">
        <v>5957</v>
      </c>
      <c r="O498" s="2">
        <v>4289.04</v>
      </c>
      <c r="P498" s="2">
        <v>223</v>
      </c>
      <c r="Q498" s="2">
        <v>28340.04</v>
      </c>
      <c r="R498" s="2" t="s">
        <v>33</v>
      </c>
      <c r="S498" s="2" t="s">
        <v>59</v>
      </c>
      <c r="T498" s="9" t="s">
        <v>1704</v>
      </c>
      <c r="U498" s="10" t="s">
        <v>52</v>
      </c>
      <c r="V498" s="2" t="s">
        <v>35</v>
      </c>
      <c r="W498" s="2">
        <v>1</v>
      </c>
      <c r="X498" s="2" t="s">
        <v>44</v>
      </c>
      <c r="Y498" s="2">
        <v>1</v>
      </c>
      <c r="Z498" s="2" t="s">
        <v>82</v>
      </c>
    </row>
    <row r="499" spans="1:26" x14ac:dyDescent="0.35">
      <c r="A499" s="2" t="s">
        <v>963</v>
      </c>
      <c r="B499" s="3">
        <v>46019</v>
      </c>
      <c r="C499" s="2" t="s">
        <v>964</v>
      </c>
      <c r="D499" s="2" t="s">
        <v>68</v>
      </c>
      <c r="E499" s="2" t="s">
        <v>29</v>
      </c>
      <c r="F499" s="2">
        <v>21</v>
      </c>
      <c r="G499" s="2" t="s">
        <v>85</v>
      </c>
      <c r="H499" s="2" t="s">
        <v>31</v>
      </c>
      <c r="I499" s="2" t="s">
        <v>85</v>
      </c>
      <c r="J499" s="2" t="s">
        <v>70</v>
      </c>
      <c r="K499" s="2">
        <v>3</v>
      </c>
      <c r="L499" s="2">
        <v>44354</v>
      </c>
      <c r="M499" s="2">
        <v>0</v>
      </c>
      <c r="N499" s="2">
        <v>0</v>
      </c>
      <c r="O499" s="2">
        <v>23951.16</v>
      </c>
      <c r="P499" s="2">
        <v>395</v>
      </c>
      <c r="Q499" s="2">
        <v>157408.16</v>
      </c>
      <c r="R499" s="2" t="s">
        <v>51</v>
      </c>
      <c r="S499" s="2" t="s">
        <v>34</v>
      </c>
      <c r="T499" s="9" t="s">
        <v>1706</v>
      </c>
      <c r="U499" s="10" t="s">
        <v>52</v>
      </c>
      <c r="V499" s="2" t="s">
        <v>53</v>
      </c>
      <c r="W499" s="2">
        <v>4</v>
      </c>
      <c r="X499" s="2" t="s">
        <v>44</v>
      </c>
      <c r="Y499" s="2">
        <v>3</v>
      </c>
      <c r="Z499" s="2" t="s">
        <v>44</v>
      </c>
    </row>
    <row r="500" spans="1:26" x14ac:dyDescent="0.35">
      <c r="A500" s="2" t="s">
        <v>965</v>
      </c>
      <c r="B500" s="3">
        <v>45921</v>
      </c>
      <c r="C500" s="2" t="s">
        <v>966</v>
      </c>
      <c r="D500" s="2" t="s">
        <v>73</v>
      </c>
      <c r="E500" s="2" t="s">
        <v>29</v>
      </c>
      <c r="F500" s="2">
        <v>26</v>
      </c>
      <c r="G500" s="2" t="s">
        <v>63</v>
      </c>
      <c r="H500" s="2" t="s">
        <v>64</v>
      </c>
      <c r="I500" s="2" t="s">
        <v>63</v>
      </c>
      <c r="J500" s="2" t="s">
        <v>65</v>
      </c>
      <c r="K500" s="2">
        <v>4</v>
      </c>
      <c r="L500" s="2">
        <v>42490</v>
      </c>
      <c r="M500" s="2">
        <v>10</v>
      </c>
      <c r="N500" s="2">
        <v>16996</v>
      </c>
      <c r="O500" s="2">
        <v>27533.52</v>
      </c>
      <c r="P500" s="2">
        <v>135</v>
      </c>
      <c r="Q500" s="2">
        <v>180632.52</v>
      </c>
      <c r="R500" s="2" t="s">
        <v>51</v>
      </c>
      <c r="S500" s="2" t="s">
        <v>59</v>
      </c>
      <c r="T500" s="9" t="s">
        <v>1710</v>
      </c>
      <c r="U500" s="10" t="s">
        <v>1711</v>
      </c>
      <c r="V500" s="2" t="s">
        <v>53</v>
      </c>
      <c r="W500" s="2">
        <v>3</v>
      </c>
      <c r="X500" s="2" t="s">
        <v>36</v>
      </c>
      <c r="Y500" s="2">
        <v>3</v>
      </c>
      <c r="Z500" s="2" t="s">
        <v>82</v>
      </c>
    </row>
    <row r="501" spans="1:26" x14ac:dyDescent="0.35">
      <c r="A501" s="2" t="s">
        <v>967</v>
      </c>
      <c r="B501" s="3">
        <v>46014</v>
      </c>
      <c r="C501" s="2" t="s">
        <v>620</v>
      </c>
      <c r="D501" s="2" t="s">
        <v>99</v>
      </c>
      <c r="E501" s="2" t="s">
        <v>41</v>
      </c>
      <c r="F501" s="2">
        <v>28</v>
      </c>
      <c r="G501" s="2" t="s">
        <v>85</v>
      </c>
      <c r="H501" s="2" t="s">
        <v>31</v>
      </c>
      <c r="I501" s="2" t="s">
        <v>85</v>
      </c>
      <c r="J501" s="2" t="s">
        <v>138</v>
      </c>
      <c r="K501" s="2">
        <v>1</v>
      </c>
      <c r="L501" s="2">
        <v>7815</v>
      </c>
      <c r="M501" s="2">
        <v>0</v>
      </c>
      <c r="N501" s="2">
        <v>0</v>
      </c>
      <c r="O501" s="2">
        <v>1406.7</v>
      </c>
      <c r="P501" s="2">
        <v>306</v>
      </c>
      <c r="Q501" s="2">
        <v>9527.7000000000007</v>
      </c>
      <c r="R501" s="2" t="s">
        <v>43</v>
      </c>
      <c r="S501" s="2" t="s">
        <v>59</v>
      </c>
      <c r="T501" s="9" t="s">
        <v>1710</v>
      </c>
      <c r="U501" s="10" t="s">
        <v>1711</v>
      </c>
      <c r="V501" s="2" t="s">
        <v>53</v>
      </c>
      <c r="W501" s="2">
        <v>7</v>
      </c>
      <c r="X501" s="2" t="s">
        <v>44</v>
      </c>
      <c r="Y501" s="2">
        <v>1</v>
      </c>
      <c r="Z501" s="2" t="s">
        <v>37</v>
      </c>
    </row>
    <row r="502" spans="1:26" x14ac:dyDescent="0.35">
      <c r="A502" s="2" t="s">
        <v>968</v>
      </c>
      <c r="B502" s="3">
        <v>45949</v>
      </c>
      <c r="C502" s="2" t="s">
        <v>969</v>
      </c>
      <c r="D502" s="2" t="s">
        <v>96</v>
      </c>
      <c r="E502" s="2" t="s">
        <v>29</v>
      </c>
      <c r="F502" s="2">
        <v>47</v>
      </c>
      <c r="G502" s="2" t="s">
        <v>85</v>
      </c>
      <c r="H502" s="2" t="s">
        <v>31</v>
      </c>
      <c r="I502" s="2" t="s">
        <v>85</v>
      </c>
      <c r="J502" s="2" t="s">
        <v>100</v>
      </c>
      <c r="K502" s="2">
        <v>1</v>
      </c>
      <c r="L502" s="2">
        <v>36934</v>
      </c>
      <c r="M502" s="2">
        <v>20</v>
      </c>
      <c r="N502" s="2">
        <v>7386.8</v>
      </c>
      <c r="O502" s="2">
        <v>5318.5</v>
      </c>
      <c r="P502" s="2">
        <v>83</v>
      </c>
      <c r="Q502" s="2">
        <v>34948.699999999997</v>
      </c>
      <c r="R502" s="2" t="s">
        <v>51</v>
      </c>
      <c r="S502" s="2" t="s">
        <v>34</v>
      </c>
      <c r="T502" s="9" t="s">
        <v>1704</v>
      </c>
      <c r="U502" s="10" t="s">
        <v>52</v>
      </c>
      <c r="V502" s="2" t="s">
        <v>35</v>
      </c>
      <c r="W502" s="2">
        <v>4</v>
      </c>
      <c r="X502" s="2" t="s">
        <v>36</v>
      </c>
      <c r="Y502" s="2">
        <v>3</v>
      </c>
      <c r="Z502" s="2" t="s">
        <v>44</v>
      </c>
    </row>
    <row r="503" spans="1:26" x14ac:dyDescent="0.35">
      <c r="A503" s="2" t="s">
        <v>970</v>
      </c>
      <c r="B503" s="3">
        <v>46005</v>
      </c>
      <c r="C503" s="2" t="s">
        <v>799</v>
      </c>
      <c r="D503" s="2" t="s">
        <v>62</v>
      </c>
      <c r="E503" s="2" t="s">
        <v>41</v>
      </c>
      <c r="F503" s="2">
        <v>25</v>
      </c>
      <c r="G503" s="2" t="s">
        <v>81</v>
      </c>
      <c r="H503" s="2" t="s">
        <v>31</v>
      </c>
      <c r="I503" s="2" t="s">
        <v>81</v>
      </c>
      <c r="J503" s="2" t="s">
        <v>32</v>
      </c>
      <c r="K503" s="2">
        <v>4</v>
      </c>
      <c r="L503" s="2">
        <v>22888</v>
      </c>
      <c r="M503" s="2">
        <v>0</v>
      </c>
      <c r="N503" s="2">
        <v>0</v>
      </c>
      <c r="O503" s="2">
        <v>16479.36</v>
      </c>
      <c r="P503" s="2">
        <v>377</v>
      </c>
      <c r="Q503" s="2">
        <v>108408.36</v>
      </c>
      <c r="R503" s="2" t="s">
        <v>76</v>
      </c>
      <c r="S503" s="2" t="s">
        <v>34</v>
      </c>
      <c r="T503" s="9" t="s">
        <v>1706</v>
      </c>
      <c r="U503" s="10" t="s">
        <v>52</v>
      </c>
      <c r="V503" s="2" t="s">
        <v>53</v>
      </c>
      <c r="W503" s="2">
        <v>10</v>
      </c>
      <c r="X503" s="2" t="s">
        <v>36</v>
      </c>
      <c r="Y503" s="2">
        <v>1</v>
      </c>
      <c r="Z503" s="2" t="s">
        <v>37</v>
      </c>
    </row>
    <row r="504" spans="1:26" x14ac:dyDescent="0.35">
      <c r="A504" s="2" t="s">
        <v>971</v>
      </c>
      <c r="B504" s="3">
        <v>46008</v>
      </c>
      <c r="C504" s="2" t="s">
        <v>972</v>
      </c>
      <c r="D504" s="2" t="s">
        <v>28</v>
      </c>
      <c r="E504" s="2" t="s">
        <v>41</v>
      </c>
      <c r="F504" s="2">
        <v>27</v>
      </c>
      <c r="G504" s="2" t="s">
        <v>88</v>
      </c>
      <c r="H504" s="2" t="s">
        <v>49</v>
      </c>
      <c r="I504" s="2" t="s">
        <v>88</v>
      </c>
      <c r="J504" s="2" t="s">
        <v>58</v>
      </c>
      <c r="K504" s="2">
        <v>4</v>
      </c>
      <c r="L504" s="2">
        <v>36131</v>
      </c>
      <c r="M504" s="2">
        <v>0</v>
      </c>
      <c r="N504" s="2">
        <v>0</v>
      </c>
      <c r="O504" s="2">
        <v>26014.32</v>
      </c>
      <c r="P504" s="2">
        <v>402</v>
      </c>
      <c r="Q504" s="2">
        <v>170940.32</v>
      </c>
      <c r="R504" s="2" t="s">
        <v>43</v>
      </c>
      <c r="S504" s="2" t="s">
        <v>59</v>
      </c>
      <c r="T504" s="9" t="s">
        <v>1706</v>
      </c>
      <c r="U504" s="10" t="s">
        <v>52</v>
      </c>
      <c r="V504" s="2" t="s">
        <v>53</v>
      </c>
      <c r="W504" s="2">
        <v>4</v>
      </c>
      <c r="X504" s="2" t="s">
        <v>36</v>
      </c>
      <c r="Y504" s="2">
        <v>4</v>
      </c>
      <c r="Z504" s="2" t="s">
        <v>54</v>
      </c>
    </row>
    <row r="505" spans="1:26" x14ac:dyDescent="0.35">
      <c r="A505" s="2" t="s">
        <v>973</v>
      </c>
      <c r="B505" s="3">
        <v>45948</v>
      </c>
      <c r="C505" s="2" t="s">
        <v>974</v>
      </c>
      <c r="D505" s="2" t="s">
        <v>62</v>
      </c>
      <c r="E505" s="2" t="s">
        <v>41</v>
      </c>
      <c r="F505" s="2">
        <v>43</v>
      </c>
      <c r="G505" s="2" t="s">
        <v>42</v>
      </c>
      <c r="H505" s="2" t="s">
        <v>31</v>
      </c>
      <c r="I505" s="2" t="s">
        <v>42</v>
      </c>
      <c r="J505" s="2" t="s">
        <v>50</v>
      </c>
      <c r="K505" s="2">
        <v>2</v>
      </c>
      <c r="L505" s="2">
        <v>1030</v>
      </c>
      <c r="M505" s="2">
        <v>0</v>
      </c>
      <c r="N505" s="2">
        <v>0</v>
      </c>
      <c r="O505" s="2">
        <v>370.8</v>
      </c>
      <c r="P505" s="2">
        <v>174</v>
      </c>
      <c r="Q505" s="2">
        <v>2604.8000000000002</v>
      </c>
      <c r="R505" s="2" t="s">
        <v>43</v>
      </c>
      <c r="S505" s="2" t="s">
        <v>34</v>
      </c>
      <c r="T505" s="9" t="s">
        <v>1703</v>
      </c>
      <c r="U505" s="10" t="s">
        <v>1701</v>
      </c>
      <c r="V505" s="2" t="s">
        <v>35</v>
      </c>
      <c r="W505" s="2">
        <v>7</v>
      </c>
      <c r="X505" s="2" t="s">
        <v>44</v>
      </c>
      <c r="Y505" s="2">
        <v>2</v>
      </c>
      <c r="Z505" s="2" t="s">
        <v>82</v>
      </c>
    </row>
    <row r="506" spans="1:26" x14ac:dyDescent="0.35">
      <c r="A506" s="2" t="s">
        <v>975</v>
      </c>
      <c r="B506" s="3">
        <v>45963</v>
      </c>
      <c r="C506" s="2" t="s">
        <v>636</v>
      </c>
      <c r="D506" s="2" t="s">
        <v>68</v>
      </c>
      <c r="E506" s="2" t="s">
        <v>29</v>
      </c>
      <c r="F506" s="2">
        <v>55</v>
      </c>
      <c r="G506" s="2" t="s">
        <v>63</v>
      </c>
      <c r="H506" s="2" t="s">
        <v>64</v>
      </c>
      <c r="I506" s="2" t="s">
        <v>63</v>
      </c>
      <c r="J506" s="2" t="s">
        <v>32</v>
      </c>
      <c r="K506" s="2">
        <v>3</v>
      </c>
      <c r="L506" s="2">
        <v>22483</v>
      </c>
      <c r="M506" s="2">
        <v>15</v>
      </c>
      <c r="N506" s="2">
        <v>10117.35</v>
      </c>
      <c r="O506" s="2">
        <v>10319.700000000001</v>
      </c>
      <c r="P506" s="2">
        <v>275</v>
      </c>
      <c r="Q506" s="2">
        <v>67926.350000000006</v>
      </c>
      <c r="R506" s="2" t="s">
        <v>51</v>
      </c>
      <c r="S506" s="2" t="s">
        <v>34</v>
      </c>
      <c r="T506" s="9" t="s">
        <v>1704</v>
      </c>
      <c r="U506" s="10" t="s">
        <v>52</v>
      </c>
      <c r="V506" s="2" t="s">
        <v>35</v>
      </c>
      <c r="W506" s="2">
        <v>7</v>
      </c>
      <c r="X506" s="2" t="s">
        <v>36</v>
      </c>
      <c r="Y506" s="2">
        <v>5</v>
      </c>
      <c r="Z506" s="2" t="s">
        <v>54</v>
      </c>
    </row>
    <row r="507" spans="1:26" x14ac:dyDescent="0.35">
      <c r="A507" s="2" t="s">
        <v>976</v>
      </c>
      <c r="B507" s="3">
        <v>45877</v>
      </c>
      <c r="C507" s="2" t="s">
        <v>624</v>
      </c>
      <c r="D507" s="2" t="s">
        <v>28</v>
      </c>
      <c r="E507" s="2" t="s">
        <v>41</v>
      </c>
      <c r="F507" s="2">
        <v>26</v>
      </c>
      <c r="G507" s="2" t="s">
        <v>81</v>
      </c>
      <c r="H507" s="2" t="s">
        <v>31</v>
      </c>
      <c r="I507" s="2" t="s">
        <v>81</v>
      </c>
      <c r="J507" s="2" t="s">
        <v>50</v>
      </c>
      <c r="K507" s="2">
        <v>4</v>
      </c>
      <c r="L507" s="2">
        <v>7865</v>
      </c>
      <c r="M507" s="2">
        <v>0</v>
      </c>
      <c r="N507" s="2">
        <v>0</v>
      </c>
      <c r="O507" s="2">
        <v>5662.8</v>
      </c>
      <c r="P507" s="2">
        <v>311</v>
      </c>
      <c r="Q507" s="2">
        <v>37433.800000000003</v>
      </c>
      <c r="R507" s="2" t="s">
        <v>33</v>
      </c>
      <c r="S507" s="2" t="s">
        <v>34</v>
      </c>
      <c r="T507" s="9" t="s">
        <v>1710</v>
      </c>
      <c r="U507" s="10" t="s">
        <v>1711</v>
      </c>
      <c r="V507" s="2" t="s">
        <v>53</v>
      </c>
      <c r="W507" s="2">
        <v>8</v>
      </c>
      <c r="X507" s="2" t="s">
        <v>36</v>
      </c>
      <c r="Y507" s="2">
        <v>3</v>
      </c>
      <c r="Z507" s="2" t="s">
        <v>54</v>
      </c>
    </row>
    <row r="508" spans="1:26" x14ac:dyDescent="0.35">
      <c r="A508" s="2" t="s">
        <v>977</v>
      </c>
      <c r="B508" s="3">
        <v>45980</v>
      </c>
      <c r="C508" s="2" t="s">
        <v>978</v>
      </c>
      <c r="D508" s="2" t="s">
        <v>62</v>
      </c>
      <c r="E508" s="2" t="s">
        <v>29</v>
      </c>
      <c r="F508" s="2">
        <v>27</v>
      </c>
      <c r="G508" s="2" t="s">
        <v>88</v>
      </c>
      <c r="H508" s="2" t="s">
        <v>49</v>
      </c>
      <c r="I508" s="2" t="s">
        <v>88</v>
      </c>
      <c r="J508" s="2" t="s">
        <v>91</v>
      </c>
      <c r="K508" s="2">
        <v>5</v>
      </c>
      <c r="L508" s="2">
        <v>20520</v>
      </c>
      <c r="M508" s="2">
        <v>20</v>
      </c>
      <c r="N508" s="2">
        <v>20520</v>
      </c>
      <c r="O508" s="2">
        <v>14774.4</v>
      </c>
      <c r="P508" s="2">
        <v>70</v>
      </c>
      <c r="Q508" s="2">
        <v>96924.4</v>
      </c>
      <c r="R508" s="2" t="s">
        <v>33</v>
      </c>
      <c r="S508" s="2" t="s">
        <v>59</v>
      </c>
      <c r="T508" s="9" t="s">
        <v>1709</v>
      </c>
      <c r="U508" s="10" t="s">
        <v>52</v>
      </c>
      <c r="V508" s="2" t="s">
        <v>53</v>
      </c>
      <c r="W508" s="2">
        <v>10</v>
      </c>
      <c r="X508" s="2" t="s">
        <v>36</v>
      </c>
      <c r="Y508" s="2">
        <v>5</v>
      </c>
      <c r="Z508" s="2" t="s">
        <v>82</v>
      </c>
    </row>
    <row r="509" spans="1:26" x14ac:dyDescent="0.35">
      <c r="A509" s="2" t="s">
        <v>979</v>
      </c>
      <c r="B509" s="3">
        <v>45770</v>
      </c>
      <c r="C509" s="2" t="s">
        <v>282</v>
      </c>
      <c r="D509" s="2" t="s">
        <v>40</v>
      </c>
      <c r="E509" s="2" t="s">
        <v>41</v>
      </c>
      <c r="F509" s="2">
        <v>32</v>
      </c>
      <c r="G509" s="2" t="s">
        <v>122</v>
      </c>
      <c r="H509" s="2" t="s">
        <v>31</v>
      </c>
      <c r="I509" s="2" t="s">
        <v>122</v>
      </c>
      <c r="J509" s="2" t="s">
        <v>65</v>
      </c>
      <c r="K509" s="2">
        <v>3</v>
      </c>
      <c r="L509" s="2">
        <v>31680</v>
      </c>
      <c r="M509" s="2">
        <v>0</v>
      </c>
      <c r="N509" s="2">
        <v>0</v>
      </c>
      <c r="O509" s="2">
        <v>17107.2</v>
      </c>
      <c r="P509" s="2">
        <v>218</v>
      </c>
      <c r="Q509" s="2">
        <v>112365.2</v>
      </c>
      <c r="R509" s="2" t="s">
        <v>76</v>
      </c>
      <c r="S509" s="2" t="s">
        <v>59</v>
      </c>
      <c r="T509" s="9" t="s">
        <v>1705</v>
      </c>
      <c r="U509" s="10" t="s">
        <v>1702</v>
      </c>
      <c r="V509" s="2" t="s">
        <v>53</v>
      </c>
      <c r="W509" s="2">
        <v>7</v>
      </c>
      <c r="X509" s="2" t="s">
        <v>36</v>
      </c>
      <c r="Y509" s="2">
        <v>5</v>
      </c>
      <c r="Z509" s="2" t="s">
        <v>44</v>
      </c>
    </row>
    <row r="510" spans="1:26" x14ac:dyDescent="0.35">
      <c r="A510" s="2" t="s">
        <v>980</v>
      </c>
      <c r="B510" s="3">
        <v>45876</v>
      </c>
      <c r="C510" s="2" t="s">
        <v>981</v>
      </c>
      <c r="D510" s="2" t="s">
        <v>57</v>
      </c>
      <c r="E510" s="2" t="s">
        <v>29</v>
      </c>
      <c r="F510" s="2">
        <v>56</v>
      </c>
      <c r="G510" s="2" t="s">
        <v>69</v>
      </c>
      <c r="H510" s="2" t="s">
        <v>31</v>
      </c>
      <c r="I510" s="2" t="s">
        <v>69</v>
      </c>
      <c r="J510" s="2" t="s">
        <v>50</v>
      </c>
      <c r="K510" s="2">
        <v>5</v>
      </c>
      <c r="L510" s="2">
        <v>9895</v>
      </c>
      <c r="M510" s="2">
        <v>20</v>
      </c>
      <c r="N510" s="2">
        <v>9895</v>
      </c>
      <c r="O510" s="2">
        <v>7124.4</v>
      </c>
      <c r="P510" s="2">
        <v>285</v>
      </c>
      <c r="Q510" s="2">
        <v>46989.4</v>
      </c>
      <c r="R510" s="2" t="s">
        <v>43</v>
      </c>
      <c r="S510" s="2" t="s">
        <v>59</v>
      </c>
      <c r="T510" s="9" t="s">
        <v>1705</v>
      </c>
      <c r="U510" s="10" t="s">
        <v>1702</v>
      </c>
      <c r="V510" s="2" t="s">
        <v>53</v>
      </c>
      <c r="W510" s="2">
        <v>10</v>
      </c>
      <c r="X510" s="2" t="s">
        <v>36</v>
      </c>
      <c r="Y510" s="2">
        <v>3</v>
      </c>
      <c r="Z510" s="2" t="s">
        <v>54</v>
      </c>
    </row>
    <row r="511" spans="1:26" x14ac:dyDescent="0.35">
      <c r="A511" s="2" t="s">
        <v>982</v>
      </c>
      <c r="B511" s="3">
        <v>46106</v>
      </c>
      <c r="C511" s="2" t="s">
        <v>612</v>
      </c>
      <c r="D511" s="2" t="s">
        <v>80</v>
      </c>
      <c r="E511" s="2" t="s">
        <v>29</v>
      </c>
      <c r="F511" s="2">
        <v>48</v>
      </c>
      <c r="G511" s="2" t="s">
        <v>30</v>
      </c>
      <c r="H511" s="2" t="s">
        <v>31</v>
      </c>
      <c r="I511" s="2" t="s">
        <v>30</v>
      </c>
      <c r="J511" s="2" t="s">
        <v>190</v>
      </c>
      <c r="K511" s="2">
        <v>4</v>
      </c>
      <c r="L511" s="2">
        <v>11370</v>
      </c>
      <c r="M511" s="2">
        <v>10</v>
      </c>
      <c r="N511" s="2">
        <v>4548</v>
      </c>
      <c r="O511" s="2">
        <v>7367.76</v>
      </c>
      <c r="P511" s="2">
        <v>129</v>
      </c>
      <c r="Q511" s="2">
        <v>48428.76</v>
      </c>
      <c r="R511" s="2" t="s">
        <v>76</v>
      </c>
      <c r="S511" s="2" t="s">
        <v>59</v>
      </c>
      <c r="T511" s="9" t="s">
        <v>1704</v>
      </c>
      <c r="U511" s="10" t="s">
        <v>52</v>
      </c>
      <c r="V511" s="2" t="s">
        <v>35</v>
      </c>
      <c r="W511" s="2">
        <v>4</v>
      </c>
      <c r="X511" s="2" t="s">
        <v>44</v>
      </c>
      <c r="Y511" s="2">
        <v>4</v>
      </c>
      <c r="Z511" s="2" t="s">
        <v>37</v>
      </c>
    </row>
    <row r="512" spans="1:26" x14ac:dyDescent="0.35">
      <c r="A512" s="2" t="s">
        <v>983</v>
      </c>
      <c r="B512" s="3">
        <v>46025</v>
      </c>
      <c r="C512" s="2" t="s">
        <v>984</v>
      </c>
      <c r="D512" s="2" t="s">
        <v>40</v>
      </c>
      <c r="E512" s="2" t="s">
        <v>41</v>
      </c>
      <c r="F512" s="2">
        <v>51</v>
      </c>
      <c r="G512" s="2" t="s">
        <v>88</v>
      </c>
      <c r="H512" s="2" t="s">
        <v>49</v>
      </c>
      <c r="I512" s="2" t="s">
        <v>88</v>
      </c>
      <c r="J512" s="2" t="s">
        <v>138</v>
      </c>
      <c r="K512" s="2">
        <v>1</v>
      </c>
      <c r="L512" s="2">
        <v>47284</v>
      </c>
      <c r="M512" s="2">
        <v>15</v>
      </c>
      <c r="N512" s="2">
        <v>7092.6</v>
      </c>
      <c r="O512" s="2">
        <v>7234.45</v>
      </c>
      <c r="P512" s="2">
        <v>432</v>
      </c>
      <c r="Q512" s="2">
        <v>47857.85</v>
      </c>
      <c r="R512" s="2" t="s">
        <v>33</v>
      </c>
      <c r="S512" s="2" t="s">
        <v>34</v>
      </c>
      <c r="T512" s="9" t="s">
        <v>1707</v>
      </c>
      <c r="U512" s="10" t="s">
        <v>1712</v>
      </c>
      <c r="V512" s="2" t="s">
        <v>53</v>
      </c>
      <c r="W512" s="2">
        <v>9</v>
      </c>
      <c r="X512" s="2" t="s">
        <v>36</v>
      </c>
      <c r="Y512" s="2">
        <v>4</v>
      </c>
      <c r="Z512" s="2" t="s">
        <v>82</v>
      </c>
    </row>
    <row r="513" spans="1:26" x14ac:dyDescent="0.35">
      <c r="A513" s="2" t="s">
        <v>985</v>
      </c>
      <c r="B513" s="3">
        <v>45941</v>
      </c>
      <c r="C513" s="2" t="s">
        <v>986</v>
      </c>
      <c r="D513" s="2" t="s">
        <v>99</v>
      </c>
      <c r="E513" s="2" t="s">
        <v>29</v>
      </c>
      <c r="F513" s="2">
        <v>49</v>
      </c>
      <c r="G513" s="2" t="s">
        <v>85</v>
      </c>
      <c r="H513" s="2" t="s">
        <v>31</v>
      </c>
      <c r="I513" s="2" t="s">
        <v>85</v>
      </c>
      <c r="J513" s="2" t="s">
        <v>58</v>
      </c>
      <c r="K513" s="2">
        <v>5</v>
      </c>
      <c r="L513" s="2">
        <v>15893</v>
      </c>
      <c r="M513" s="2">
        <v>15</v>
      </c>
      <c r="N513" s="2">
        <v>11919.75</v>
      </c>
      <c r="O513" s="2">
        <v>12158.15</v>
      </c>
      <c r="P513" s="2">
        <v>282</v>
      </c>
      <c r="Q513" s="2">
        <v>79985.399999999994</v>
      </c>
      <c r="R513" s="2" t="s">
        <v>33</v>
      </c>
      <c r="S513" s="2" t="s">
        <v>34</v>
      </c>
      <c r="T513" s="9" t="s">
        <v>1708</v>
      </c>
      <c r="U513" s="10" t="s">
        <v>52</v>
      </c>
      <c r="V513" s="2" t="s">
        <v>77</v>
      </c>
      <c r="W513" s="2">
        <v>9</v>
      </c>
      <c r="X513" s="2" t="s">
        <v>44</v>
      </c>
      <c r="Y513" s="2">
        <v>4</v>
      </c>
      <c r="Z513" s="2" t="s">
        <v>82</v>
      </c>
    </row>
    <row r="514" spans="1:26" x14ac:dyDescent="0.35">
      <c r="A514" s="2" t="s">
        <v>987</v>
      </c>
      <c r="B514" s="3">
        <v>45939</v>
      </c>
      <c r="C514" s="2" t="s">
        <v>988</v>
      </c>
      <c r="D514" s="2" t="s">
        <v>28</v>
      </c>
      <c r="E514" s="2" t="s">
        <v>41</v>
      </c>
      <c r="F514" s="2">
        <v>24</v>
      </c>
      <c r="G514" s="2" t="s">
        <v>69</v>
      </c>
      <c r="H514" s="2" t="s">
        <v>31</v>
      </c>
      <c r="I514" s="2" t="s">
        <v>69</v>
      </c>
      <c r="J514" s="2" t="s">
        <v>100</v>
      </c>
      <c r="K514" s="2">
        <v>5</v>
      </c>
      <c r="L514" s="2">
        <v>27748</v>
      </c>
      <c r="M514" s="2">
        <v>10</v>
      </c>
      <c r="N514" s="2">
        <v>13874</v>
      </c>
      <c r="O514" s="2">
        <v>22475.88</v>
      </c>
      <c r="P514" s="2">
        <v>237</v>
      </c>
      <c r="Q514" s="2">
        <v>147578.88</v>
      </c>
      <c r="R514" s="2" t="s">
        <v>33</v>
      </c>
      <c r="S514" s="2" t="s">
        <v>34</v>
      </c>
      <c r="T514" s="9" t="s">
        <v>1707</v>
      </c>
      <c r="U514" s="10" t="s">
        <v>1712</v>
      </c>
      <c r="V514" s="2" t="s">
        <v>53</v>
      </c>
      <c r="W514" s="2">
        <v>9</v>
      </c>
      <c r="X514" s="2" t="s">
        <v>44</v>
      </c>
      <c r="Y514" s="2">
        <v>2</v>
      </c>
      <c r="Z514" s="2" t="s">
        <v>82</v>
      </c>
    </row>
    <row r="515" spans="1:26" x14ac:dyDescent="0.35">
      <c r="A515" s="2" t="s">
        <v>989</v>
      </c>
      <c r="B515" s="3">
        <v>46082</v>
      </c>
      <c r="C515" s="2" t="s">
        <v>990</v>
      </c>
      <c r="D515" s="2" t="s">
        <v>80</v>
      </c>
      <c r="E515" s="2" t="s">
        <v>41</v>
      </c>
      <c r="F515" s="2">
        <v>30</v>
      </c>
      <c r="G515" s="2" t="s">
        <v>63</v>
      </c>
      <c r="H515" s="2" t="s">
        <v>64</v>
      </c>
      <c r="I515" s="2" t="s">
        <v>63</v>
      </c>
      <c r="J515" s="2" t="s">
        <v>100</v>
      </c>
      <c r="K515" s="2">
        <v>1</v>
      </c>
      <c r="L515" s="2">
        <v>48180</v>
      </c>
      <c r="M515" s="2">
        <v>0</v>
      </c>
      <c r="N515" s="2">
        <v>0</v>
      </c>
      <c r="O515" s="2">
        <v>8672.4</v>
      </c>
      <c r="P515" s="2">
        <v>48</v>
      </c>
      <c r="Q515" s="2">
        <v>56900.4</v>
      </c>
      <c r="R515" s="2" t="s">
        <v>33</v>
      </c>
      <c r="S515" s="2" t="s">
        <v>59</v>
      </c>
      <c r="T515" s="9" t="s">
        <v>1704</v>
      </c>
      <c r="U515" s="10" t="s">
        <v>52</v>
      </c>
      <c r="V515" s="2" t="s">
        <v>35</v>
      </c>
      <c r="W515" s="2">
        <v>7</v>
      </c>
      <c r="X515" s="2" t="s">
        <v>36</v>
      </c>
      <c r="Y515" s="2">
        <v>3</v>
      </c>
      <c r="Z515" s="2" t="s">
        <v>37</v>
      </c>
    </row>
    <row r="516" spans="1:26" x14ac:dyDescent="0.35">
      <c r="A516" s="2" t="s">
        <v>991</v>
      </c>
      <c r="B516" s="3">
        <v>46016</v>
      </c>
      <c r="C516" s="2" t="s">
        <v>992</v>
      </c>
      <c r="D516" s="2" t="s">
        <v>68</v>
      </c>
      <c r="E516" s="2" t="s">
        <v>29</v>
      </c>
      <c r="F516" s="2">
        <v>49</v>
      </c>
      <c r="G516" s="2" t="s">
        <v>88</v>
      </c>
      <c r="H516" s="2" t="s">
        <v>49</v>
      </c>
      <c r="I516" s="2" t="s">
        <v>88</v>
      </c>
      <c r="J516" s="2" t="s">
        <v>190</v>
      </c>
      <c r="K516" s="2">
        <v>3</v>
      </c>
      <c r="L516" s="2">
        <v>13292</v>
      </c>
      <c r="M516" s="2">
        <v>15</v>
      </c>
      <c r="N516" s="2">
        <v>5981.4</v>
      </c>
      <c r="O516" s="2">
        <v>6101.03</v>
      </c>
      <c r="P516" s="2">
        <v>233</v>
      </c>
      <c r="Q516" s="2">
        <v>40228.629999999997</v>
      </c>
      <c r="R516" s="2" t="s">
        <v>76</v>
      </c>
      <c r="S516" s="2" t="s">
        <v>34</v>
      </c>
      <c r="T516" s="9" t="s">
        <v>1706</v>
      </c>
      <c r="U516" s="10" t="s">
        <v>52</v>
      </c>
      <c r="V516" s="2" t="s">
        <v>53</v>
      </c>
      <c r="W516" s="2">
        <v>1</v>
      </c>
      <c r="X516" s="2" t="s">
        <v>36</v>
      </c>
      <c r="Y516" s="2">
        <v>4</v>
      </c>
      <c r="Z516" s="2" t="s">
        <v>54</v>
      </c>
    </row>
    <row r="517" spans="1:26" x14ac:dyDescent="0.35">
      <c r="A517" s="2" t="s">
        <v>993</v>
      </c>
      <c r="B517" s="3">
        <v>46120</v>
      </c>
      <c r="C517" s="2" t="s">
        <v>994</v>
      </c>
      <c r="D517" s="2" t="s">
        <v>62</v>
      </c>
      <c r="E517" s="2" t="s">
        <v>29</v>
      </c>
      <c r="F517" s="2">
        <v>19</v>
      </c>
      <c r="G517" s="2" t="s">
        <v>122</v>
      </c>
      <c r="H517" s="2" t="s">
        <v>31</v>
      </c>
      <c r="I517" s="2" t="s">
        <v>122</v>
      </c>
      <c r="J517" s="2" t="s">
        <v>190</v>
      </c>
      <c r="K517" s="2">
        <v>4</v>
      </c>
      <c r="L517" s="2">
        <v>48469</v>
      </c>
      <c r="M517" s="2">
        <v>20</v>
      </c>
      <c r="N517" s="2">
        <v>38775.199999999997</v>
      </c>
      <c r="O517" s="2">
        <v>27918.14</v>
      </c>
      <c r="P517" s="2">
        <v>368</v>
      </c>
      <c r="Q517" s="2">
        <v>183386.94</v>
      </c>
      <c r="R517" s="2" t="s">
        <v>43</v>
      </c>
      <c r="S517" s="2" t="s">
        <v>59</v>
      </c>
      <c r="T517" s="9" t="s">
        <v>1703</v>
      </c>
      <c r="U517" s="10" t="s">
        <v>1701</v>
      </c>
      <c r="V517" s="2" t="s">
        <v>35</v>
      </c>
      <c r="W517" s="2">
        <v>6</v>
      </c>
      <c r="X517" s="2" t="s">
        <v>36</v>
      </c>
      <c r="Y517" s="2">
        <v>2</v>
      </c>
      <c r="Z517" s="2" t="s">
        <v>82</v>
      </c>
    </row>
    <row r="518" spans="1:26" x14ac:dyDescent="0.35">
      <c r="A518" s="2" t="s">
        <v>995</v>
      </c>
      <c r="B518" s="3">
        <v>45990</v>
      </c>
      <c r="C518" s="2" t="s">
        <v>996</v>
      </c>
      <c r="D518" s="2" t="s">
        <v>99</v>
      </c>
      <c r="E518" s="2" t="s">
        <v>41</v>
      </c>
      <c r="F518" s="2">
        <v>53</v>
      </c>
      <c r="G518" s="2" t="s">
        <v>127</v>
      </c>
      <c r="H518" s="2" t="s">
        <v>31</v>
      </c>
      <c r="I518" s="2" t="s">
        <v>127</v>
      </c>
      <c r="J518" s="2" t="s">
        <v>70</v>
      </c>
      <c r="K518" s="2">
        <v>5</v>
      </c>
      <c r="L518" s="2">
        <v>31571</v>
      </c>
      <c r="M518" s="2">
        <v>5</v>
      </c>
      <c r="N518" s="2">
        <v>7892.75</v>
      </c>
      <c r="O518" s="2">
        <v>26993.200000000001</v>
      </c>
      <c r="P518" s="2">
        <v>388</v>
      </c>
      <c r="Q518" s="2">
        <v>177343.45</v>
      </c>
      <c r="R518" s="2" t="s">
        <v>51</v>
      </c>
      <c r="S518" s="2" t="s">
        <v>59</v>
      </c>
      <c r="T518" s="9" t="s">
        <v>1710</v>
      </c>
      <c r="U518" s="10" t="s">
        <v>1711</v>
      </c>
      <c r="V518" s="2" t="s">
        <v>53</v>
      </c>
      <c r="W518" s="2">
        <v>2</v>
      </c>
      <c r="X518" s="2" t="s">
        <v>36</v>
      </c>
      <c r="Y518" s="2">
        <v>2</v>
      </c>
      <c r="Z518" s="2" t="s">
        <v>44</v>
      </c>
    </row>
    <row r="519" spans="1:26" x14ac:dyDescent="0.35">
      <c r="A519" s="2" t="s">
        <v>997</v>
      </c>
      <c r="B519" s="3">
        <v>46044</v>
      </c>
      <c r="C519" s="2" t="s">
        <v>998</v>
      </c>
      <c r="D519" s="2" t="s">
        <v>99</v>
      </c>
      <c r="E519" s="2" t="s">
        <v>41</v>
      </c>
      <c r="F519" s="2">
        <v>23</v>
      </c>
      <c r="G519" s="2" t="s">
        <v>48</v>
      </c>
      <c r="H519" s="2" t="s">
        <v>49</v>
      </c>
      <c r="I519" s="2" t="s">
        <v>48</v>
      </c>
      <c r="J519" s="2" t="s">
        <v>58</v>
      </c>
      <c r="K519" s="2">
        <v>3</v>
      </c>
      <c r="L519" s="2">
        <v>48754</v>
      </c>
      <c r="M519" s="2">
        <v>10</v>
      </c>
      <c r="N519" s="2">
        <v>14626.2</v>
      </c>
      <c r="O519" s="2">
        <v>23694.44</v>
      </c>
      <c r="P519" s="2">
        <v>56</v>
      </c>
      <c r="Q519" s="2">
        <v>155386.23999999999</v>
      </c>
      <c r="R519" s="2" t="s">
        <v>76</v>
      </c>
      <c r="S519" s="2" t="s">
        <v>59</v>
      </c>
      <c r="T519" s="9" t="s">
        <v>1710</v>
      </c>
      <c r="U519" s="10" t="s">
        <v>1711</v>
      </c>
      <c r="V519" s="2" t="s">
        <v>53</v>
      </c>
      <c r="W519" s="2">
        <v>4</v>
      </c>
      <c r="X519" s="2" t="s">
        <v>44</v>
      </c>
      <c r="Y519" s="2">
        <v>2</v>
      </c>
      <c r="Z519" s="2" t="s">
        <v>37</v>
      </c>
    </row>
    <row r="520" spans="1:26" x14ac:dyDescent="0.35">
      <c r="A520" s="2" t="s">
        <v>999</v>
      </c>
      <c r="B520" s="3">
        <v>45761</v>
      </c>
      <c r="C520" s="2" t="s">
        <v>504</v>
      </c>
      <c r="D520" s="2" t="s">
        <v>47</v>
      </c>
      <c r="E520" s="2" t="s">
        <v>41</v>
      </c>
      <c r="F520" s="2">
        <v>59</v>
      </c>
      <c r="G520" s="2" t="s">
        <v>88</v>
      </c>
      <c r="H520" s="2" t="s">
        <v>49</v>
      </c>
      <c r="I520" s="2" t="s">
        <v>88</v>
      </c>
      <c r="J520" s="2" t="s">
        <v>113</v>
      </c>
      <c r="K520" s="2">
        <v>5</v>
      </c>
      <c r="L520" s="2">
        <v>49241</v>
      </c>
      <c r="M520" s="2">
        <v>20</v>
      </c>
      <c r="N520" s="2">
        <v>49241</v>
      </c>
      <c r="O520" s="2">
        <v>35453.519999999997</v>
      </c>
      <c r="P520" s="2">
        <v>323</v>
      </c>
      <c r="Q520" s="2">
        <v>232740.52</v>
      </c>
      <c r="R520" s="2" t="s">
        <v>43</v>
      </c>
      <c r="S520" s="2" t="s">
        <v>59</v>
      </c>
      <c r="T520" s="9" t="s">
        <v>1703</v>
      </c>
      <c r="U520" s="10" t="s">
        <v>1701</v>
      </c>
      <c r="V520" s="2" t="s">
        <v>35</v>
      </c>
      <c r="W520" s="2">
        <v>9</v>
      </c>
      <c r="X520" s="2" t="s">
        <v>44</v>
      </c>
      <c r="Y520" s="2">
        <v>3</v>
      </c>
      <c r="Z520" s="2" t="s">
        <v>54</v>
      </c>
    </row>
    <row r="521" spans="1:26" x14ac:dyDescent="0.35">
      <c r="A521" s="2" t="s">
        <v>1000</v>
      </c>
      <c r="B521" s="3">
        <v>45802</v>
      </c>
      <c r="C521" s="2" t="s">
        <v>348</v>
      </c>
      <c r="D521" s="2" t="s">
        <v>73</v>
      </c>
      <c r="E521" s="2" t="s">
        <v>41</v>
      </c>
      <c r="F521" s="2">
        <v>52</v>
      </c>
      <c r="G521" s="2" t="s">
        <v>122</v>
      </c>
      <c r="H521" s="2" t="s">
        <v>31</v>
      </c>
      <c r="I521" s="2" t="s">
        <v>122</v>
      </c>
      <c r="J521" s="2" t="s">
        <v>70</v>
      </c>
      <c r="K521" s="2">
        <v>2</v>
      </c>
      <c r="L521" s="2">
        <v>17576</v>
      </c>
      <c r="M521" s="2">
        <v>10</v>
      </c>
      <c r="N521" s="2">
        <v>3515.2</v>
      </c>
      <c r="O521" s="2">
        <v>5694.62</v>
      </c>
      <c r="P521" s="2">
        <v>234</v>
      </c>
      <c r="Q521" s="2">
        <v>37565.42</v>
      </c>
      <c r="R521" s="2" t="s">
        <v>51</v>
      </c>
      <c r="S521" s="2" t="s">
        <v>34</v>
      </c>
      <c r="T521" s="9" t="s">
        <v>1705</v>
      </c>
      <c r="U521" s="10" t="s">
        <v>1702</v>
      </c>
      <c r="V521" s="2" t="s">
        <v>53</v>
      </c>
      <c r="W521" s="2">
        <v>8</v>
      </c>
      <c r="X521" s="2" t="s">
        <v>44</v>
      </c>
      <c r="Y521" s="2">
        <v>4</v>
      </c>
      <c r="Z521" s="2" t="s">
        <v>82</v>
      </c>
    </row>
    <row r="522" spans="1:26" x14ac:dyDescent="0.35">
      <c r="A522" s="2" t="s">
        <v>1001</v>
      </c>
      <c r="B522" s="3">
        <v>46034</v>
      </c>
      <c r="C522" s="2" t="s">
        <v>448</v>
      </c>
      <c r="D522" s="2" t="s">
        <v>68</v>
      </c>
      <c r="E522" s="2" t="s">
        <v>41</v>
      </c>
      <c r="F522" s="2">
        <v>48</v>
      </c>
      <c r="G522" s="2" t="s">
        <v>88</v>
      </c>
      <c r="H522" s="2" t="s">
        <v>49</v>
      </c>
      <c r="I522" s="2" t="s">
        <v>88</v>
      </c>
      <c r="J522" s="2" t="s">
        <v>190</v>
      </c>
      <c r="K522" s="2">
        <v>4</v>
      </c>
      <c r="L522" s="2">
        <v>14213</v>
      </c>
      <c r="M522" s="2">
        <v>5</v>
      </c>
      <c r="N522" s="2">
        <v>2842.6</v>
      </c>
      <c r="O522" s="2">
        <v>9721.69</v>
      </c>
      <c r="P522" s="2">
        <v>74</v>
      </c>
      <c r="Q522" s="2">
        <v>63805.09</v>
      </c>
      <c r="R522" s="2" t="s">
        <v>43</v>
      </c>
      <c r="S522" s="2" t="s">
        <v>34</v>
      </c>
      <c r="T522" s="9" t="s">
        <v>1703</v>
      </c>
      <c r="U522" s="10" t="s">
        <v>1701</v>
      </c>
      <c r="V522" s="2" t="s">
        <v>35</v>
      </c>
      <c r="W522" s="2">
        <v>8</v>
      </c>
      <c r="X522" s="2" t="s">
        <v>44</v>
      </c>
      <c r="Y522" s="2">
        <v>5</v>
      </c>
      <c r="Z522" s="2" t="s">
        <v>82</v>
      </c>
    </row>
    <row r="523" spans="1:26" x14ac:dyDescent="0.35">
      <c r="A523" s="2" t="s">
        <v>1002</v>
      </c>
      <c r="B523" s="3">
        <v>45953</v>
      </c>
      <c r="C523" s="2" t="s">
        <v>753</v>
      </c>
      <c r="D523" s="2" t="s">
        <v>99</v>
      </c>
      <c r="E523" s="2" t="s">
        <v>41</v>
      </c>
      <c r="F523" s="2">
        <v>35</v>
      </c>
      <c r="G523" s="2" t="s">
        <v>63</v>
      </c>
      <c r="H523" s="2" t="s">
        <v>64</v>
      </c>
      <c r="I523" s="2" t="s">
        <v>63</v>
      </c>
      <c r="J523" s="2" t="s">
        <v>190</v>
      </c>
      <c r="K523" s="2">
        <v>1</v>
      </c>
      <c r="L523" s="2">
        <v>43439</v>
      </c>
      <c r="M523" s="2">
        <v>0</v>
      </c>
      <c r="N523" s="2">
        <v>0</v>
      </c>
      <c r="O523" s="2">
        <v>7819.02</v>
      </c>
      <c r="P523" s="2">
        <v>403</v>
      </c>
      <c r="Q523" s="2">
        <v>51661.02</v>
      </c>
      <c r="R523" s="2" t="s">
        <v>43</v>
      </c>
      <c r="S523" s="2" t="s">
        <v>59</v>
      </c>
      <c r="T523" s="9" t="s">
        <v>1703</v>
      </c>
      <c r="U523" s="10" t="s">
        <v>1701</v>
      </c>
      <c r="V523" s="2" t="s">
        <v>35</v>
      </c>
      <c r="W523" s="2">
        <v>3</v>
      </c>
      <c r="X523" s="2" t="s">
        <v>36</v>
      </c>
      <c r="Y523" s="2">
        <v>1</v>
      </c>
      <c r="Z523" s="2" t="s">
        <v>54</v>
      </c>
    </row>
    <row r="524" spans="1:26" x14ac:dyDescent="0.35">
      <c r="A524" s="2" t="s">
        <v>1003</v>
      </c>
      <c r="B524" s="3">
        <v>45966</v>
      </c>
      <c r="C524" s="2" t="s">
        <v>1004</v>
      </c>
      <c r="D524" s="2" t="s">
        <v>68</v>
      </c>
      <c r="E524" s="2" t="s">
        <v>41</v>
      </c>
      <c r="F524" s="2">
        <v>42</v>
      </c>
      <c r="G524" s="2" t="s">
        <v>48</v>
      </c>
      <c r="H524" s="2" t="s">
        <v>49</v>
      </c>
      <c r="I524" s="2" t="s">
        <v>48</v>
      </c>
      <c r="J524" s="2" t="s">
        <v>100</v>
      </c>
      <c r="K524" s="2">
        <v>1</v>
      </c>
      <c r="L524" s="2">
        <v>35941</v>
      </c>
      <c r="M524" s="2">
        <v>5</v>
      </c>
      <c r="N524" s="2">
        <v>1797.05</v>
      </c>
      <c r="O524" s="2">
        <v>6145.91</v>
      </c>
      <c r="P524" s="2">
        <v>20</v>
      </c>
      <c r="Q524" s="2">
        <v>40309.86</v>
      </c>
      <c r="R524" s="2" t="s">
        <v>43</v>
      </c>
      <c r="S524" s="2" t="s">
        <v>59</v>
      </c>
      <c r="T524" s="9" t="s">
        <v>1704</v>
      </c>
      <c r="U524" s="10" t="s">
        <v>52</v>
      </c>
      <c r="V524" s="2" t="s">
        <v>35</v>
      </c>
      <c r="W524" s="2">
        <v>2</v>
      </c>
      <c r="X524" s="2" t="s">
        <v>36</v>
      </c>
      <c r="Y524" s="2">
        <v>2</v>
      </c>
      <c r="Z524" s="2" t="s">
        <v>54</v>
      </c>
    </row>
    <row r="525" spans="1:26" x14ac:dyDescent="0.35">
      <c r="A525" s="2" t="s">
        <v>1005</v>
      </c>
      <c r="B525" s="3">
        <v>45937</v>
      </c>
      <c r="C525" s="2" t="s">
        <v>1006</v>
      </c>
      <c r="D525" s="2" t="s">
        <v>28</v>
      </c>
      <c r="E525" s="2" t="s">
        <v>41</v>
      </c>
      <c r="F525" s="2">
        <v>56</v>
      </c>
      <c r="G525" s="2" t="s">
        <v>30</v>
      </c>
      <c r="H525" s="2" t="s">
        <v>31</v>
      </c>
      <c r="I525" s="2" t="s">
        <v>30</v>
      </c>
      <c r="J525" s="2" t="s">
        <v>50</v>
      </c>
      <c r="K525" s="2">
        <v>2</v>
      </c>
      <c r="L525" s="2">
        <v>6043</v>
      </c>
      <c r="M525" s="2">
        <v>15</v>
      </c>
      <c r="N525" s="2">
        <v>1812.9</v>
      </c>
      <c r="O525" s="2">
        <v>1849.16</v>
      </c>
      <c r="P525" s="2">
        <v>480</v>
      </c>
      <c r="Q525" s="2">
        <v>12602.26</v>
      </c>
      <c r="R525" s="2" t="s">
        <v>33</v>
      </c>
      <c r="S525" s="2" t="s">
        <v>34</v>
      </c>
      <c r="T525" s="9" t="s">
        <v>1707</v>
      </c>
      <c r="U525" s="10" t="s">
        <v>1712</v>
      </c>
      <c r="V525" s="2" t="s">
        <v>53</v>
      </c>
      <c r="W525" s="2">
        <v>7</v>
      </c>
      <c r="X525" s="2" t="s">
        <v>44</v>
      </c>
      <c r="Y525" s="2">
        <v>5</v>
      </c>
      <c r="Z525" s="2" t="s">
        <v>44</v>
      </c>
    </row>
    <row r="526" spans="1:26" x14ac:dyDescent="0.35">
      <c r="A526" s="2" t="s">
        <v>1007</v>
      </c>
      <c r="B526" s="3">
        <v>46011</v>
      </c>
      <c r="C526" s="2" t="s">
        <v>327</v>
      </c>
      <c r="D526" s="2" t="s">
        <v>57</v>
      </c>
      <c r="E526" s="2" t="s">
        <v>41</v>
      </c>
      <c r="F526" s="2">
        <v>58</v>
      </c>
      <c r="G526" s="2" t="s">
        <v>81</v>
      </c>
      <c r="H526" s="2" t="s">
        <v>31</v>
      </c>
      <c r="I526" s="2" t="s">
        <v>81</v>
      </c>
      <c r="J526" s="2" t="s">
        <v>91</v>
      </c>
      <c r="K526" s="2">
        <v>3</v>
      </c>
      <c r="L526" s="2">
        <v>26460</v>
      </c>
      <c r="M526" s="2">
        <v>5</v>
      </c>
      <c r="N526" s="2">
        <v>3969</v>
      </c>
      <c r="O526" s="2">
        <v>13573.98</v>
      </c>
      <c r="P526" s="2">
        <v>340</v>
      </c>
      <c r="Q526" s="2">
        <v>89324.98</v>
      </c>
      <c r="R526" s="2" t="s">
        <v>51</v>
      </c>
      <c r="S526" s="2" t="s">
        <v>59</v>
      </c>
      <c r="T526" s="9" t="s">
        <v>1705</v>
      </c>
      <c r="U526" s="10" t="s">
        <v>1702</v>
      </c>
      <c r="V526" s="2" t="s">
        <v>53</v>
      </c>
      <c r="W526" s="2">
        <v>2</v>
      </c>
      <c r="X526" s="2" t="s">
        <v>36</v>
      </c>
      <c r="Y526" s="2">
        <v>4</v>
      </c>
      <c r="Z526" s="2" t="s">
        <v>82</v>
      </c>
    </row>
    <row r="527" spans="1:26" x14ac:dyDescent="0.35">
      <c r="A527" s="2" t="s">
        <v>1008</v>
      </c>
      <c r="B527" s="3">
        <v>45927</v>
      </c>
      <c r="C527" s="2" t="s">
        <v>1009</v>
      </c>
      <c r="D527" s="2" t="s">
        <v>28</v>
      </c>
      <c r="E527" s="2" t="s">
        <v>29</v>
      </c>
      <c r="F527" s="2">
        <v>51</v>
      </c>
      <c r="G527" s="2" t="s">
        <v>30</v>
      </c>
      <c r="H527" s="2" t="s">
        <v>31</v>
      </c>
      <c r="I527" s="2" t="s">
        <v>30</v>
      </c>
      <c r="J527" s="2" t="s">
        <v>138</v>
      </c>
      <c r="K527" s="2">
        <v>5</v>
      </c>
      <c r="L527" s="2">
        <v>37592</v>
      </c>
      <c r="M527" s="2">
        <v>10</v>
      </c>
      <c r="N527" s="2">
        <v>18796</v>
      </c>
      <c r="O527" s="2">
        <v>30449.52</v>
      </c>
      <c r="P527" s="2">
        <v>380</v>
      </c>
      <c r="Q527" s="2">
        <v>199993.52</v>
      </c>
      <c r="R527" s="2" t="s">
        <v>51</v>
      </c>
      <c r="S527" s="2" t="s">
        <v>59</v>
      </c>
      <c r="T527" s="9" t="s">
        <v>1707</v>
      </c>
      <c r="U527" s="10" t="s">
        <v>1712</v>
      </c>
      <c r="V527" s="2" t="s">
        <v>53</v>
      </c>
      <c r="W527" s="2">
        <v>4</v>
      </c>
      <c r="X527" s="2" t="s">
        <v>44</v>
      </c>
      <c r="Y527" s="2">
        <v>1</v>
      </c>
      <c r="Z527" s="2" t="s">
        <v>82</v>
      </c>
    </row>
    <row r="528" spans="1:26" x14ac:dyDescent="0.35">
      <c r="A528" s="2" t="s">
        <v>1010</v>
      </c>
      <c r="B528" s="3">
        <v>45925</v>
      </c>
      <c r="C528" s="2" t="s">
        <v>1011</v>
      </c>
      <c r="D528" s="2" t="s">
        <v>80</v>
      </c>
      <c r="E528" s="2" t="s">
        <v>29</v>
      </c>
      <c r="F528" s="2">
        <v>57</v>
      </c>
      <c r="G528" s="2" t="s">
        <v>69</v>
      </c>
      <c r="H528" s="2" t="s">
        <v>31</v>
      </c>
      <c r="I528" s="2" t="s">
        <v>69</v>
      </c>
      <c r="J528" s="2" t="s">
        <v>32</v>
      </c>
      <c r="K528" s="2">
        <v>1</v>
      </c>
      <c r="L528" s="2">
        <v>21149</v>
      </c>
      <c r="M528" s="2">
        <v>20</v>
      </c>
      <c r="N528" s="2">
        <v>4229.8</v>
      </c>
      <c r="O528" s="2">
        <v>3045.46</v>
      </c>
      <c r="P528" s="2">
        <v>298</v>
      </c>
      <c r="Q528" s="2">
        <v>20262.66</v>
      </c>
      <c r="R528" s="2" t="s">
        <v>76</v>
      </c>
      <c r="S528" s="2" t="s">
        <v>59</v>
      </c>
      <c r="T528" s="9" t="s">
        <v>1705</v>
      </c>
      <c r="U528" s="10" t="s">
        <v>1702</v>
      </c>
      <c r="V528" s="2" t="s">
        <v>53</v>
      </c>
      <c r="W528" s="2">
        <v>1</v>
      </c>
      <c r="X528" s="2" t="s">
        <v>44</v>
      </c>
      <c r="Y528" s="2">
        <v>5</v>
      </c>
      <c r="Z528" s="2" t="s">
        <v>37</v>
      </c>
    </row>
    <row r="529" spans="1:26" x14ac:dyDescent="0.35">
      <c r="A529" s="2" t="s">
        <v>1012</v>
      </c>
      <c r="B529" s="3">
        <v>46116</v>
      </c>
      <c r="C529" s="2" t="s">
        <v>969</v>
      </c>
      <c r="D529" s="2" t="s">
        <v>40</v>
      </c>
      <c r="E529" s="2" t="s">
        <v>29</v>
      </c>
      <c r="F529" s="2">
        <v>29</v>
      </c>
      <c r="G529" s="2" t="s">
        <v>127</v>
      </c>
      <c r="H529" s="2" t="s">
        <v>31</v>
      </c>
      <c r="I529" s="2" t="s">
        <v>127</v>
      </c>
      <c r="J529" s="2" t="s">
        <v>113</v>
      </c>
      <c r="K529" s="2">
        <v>2</v>
      </c>
      <c r="L529" s="2">
        <v>7542</v>
      </c>
      <c r="M529" s="2">
        <v>0</v>
      </c>
      <c r="N529" s="2">
        <v>0</v>
      </c>
      <c r="O529" s="2">
        <v>2715.12</v>
      </c>
      <c r="P529" s="2">
        <v>336</v>
      </c>
      <c r="Q529" s="2">
        <v>18135.12</v>
      </c>
      <c r="R529" s="2" t="s">
        <v>76</v>
      </c>
      <c r="S529" s="2" t="s">
        <v>34</v>
      </c>
      <c r="T529" s="9" t="s">
        <v>1705</v>
      </c>
      <c r="U529" s="10" t="s">
        <v>1702</v>
      </c>
      <c r="V529" s="2" t="s">
        <v>53</v>
      </c>
      <c r="W529" s="2">
        <v>4</v>
      </c>
      <c r="X529" s="2" t="s">
        <v>36</v>
      </c>
      <c r="Y529" s="2">
        <v>2</v>
      </c>
      <c r="Z529" s="2" t="s">
        <v>37</v>
      </c>
    </row>
    <row r="530" spans="1:26" x14ac:dyDescent="0.35">
      <c r="A530" s="2" t="s">
        <v>1013</v>
      </c>
      <c r="B530" s="3">
        <v>45796</v>
      </c>
      <c r="C530" s="2" t="s">
        <v>898</v>
      </c>
      <c r="D530" s="2" t="s">
        <v>40</v>
      </c>
      <c r="E530" s="2" t="s">
        <v>41</v>
      </c>
      <c r="F530" s="2">
        <v>44</v>
      </c>
      <c r="G530" s="2" t="s">
        <v>69</v>
      </c>
      <c r="H530" s="2" t="s">
        <v>31</v>
      </c>
      <c r="I530" s="2" t="s">
        <v>69</v>
      </c>
      <c r="J530" s="2" t="s">
        <v>100</v>
      </c>
      <c r="K530" s="2">
        <v>1</v>
      </c>
      <c r="L530" s="2">
        <v>13196</v>
      </c>
      <c r="M530" s="2">
        <v>15</v>
      </c>
      <c r="N530" s="2">
        <v>1979.4</v>
      </c>
      <c r="O530" s="2">
        <v>2018.99</v>
      </c>
      <c r="P530" s="2">
        <v>439</v>
      </c>
      <c r="Q530" s="2">
        <v>13674.59</v>
      </c>
      <c r="R530" s="2" t="s">
        <v>43</v>
      </c>
      <c r="S530" s="2" t="s">
        <v>59</v>
      </c>
      <c r="T530" s="9" t="s">
        <v>1705</v>
      </c>
      <c r="U530" s="10" t="s">
        <v>1702</v>
      </c>
      <c r="V530" s="2" t="s">
        <v>53</v>
      </c>
      <c r="W530" s="2">
        <v>8</v>
      </c>
      <c r="X530" s="2" t="s">
        <v>44</v>
      </c>
      <c r="Y530" s="2">
        <v>2</v>
      </c>
      <c r="Z530" s="2" t="s">
        <v>37</v>
      </c>
    </row>
    <row r="531" spans="1:26" x14ac:dyDescent="0.35">
      <c r="A531" s="2" t="s">
        <v>1014</v>
      </c>
      <c r="B531" s="3">
        <v>45843</v>
      </c>
      <c r="C531" s="2" t="s">
        <v>1015</v>
      </c>
      <c r="D531" s="2" t="s">
        <v>96</v>
      </c>
      <c r="E531" s="2" t="s">
        <v>29</v>
      </c>
      <c r="F531" s="2">
        <v>18</v>
      </c>
      <c r="G531" s="2" t="s">
        <v>69</v>
      </c>
      <c r="H531" s="2" t="s">
        <v>31</v>
      </c>
      <c r="I531" s="2" t="s">
        <v>69</v>
      </c>
      <c r="J531" s="2" t="s">
        <v>32</v>
      </c>
      <c r="K531" s="2">
        <v>4</v>
      </c>
      <c r="L531" s="2">
        <v>14222</v>
      </c>
      <c r="M531" s="2">
        <v>0</v>
      </c>
      <c r="N531" s="2">
        <v>0</v>
      </c>
      <c r="O531" s="2">
        <v>10239.84</v>
      </c>
      <c r="P531" s="2">
        <v>498</v>
      </c>
      <c r="Q531" s="2">
        <v>67625.84</v>
      </c>
      <c r="R531" s="2" t="s">
        <v>76</v>
      </c>
      <c r="S531" s="2" t="s">
        <v>34</v>
      </c>
      <c r="T531" s="9" t="s">
        <v>1709</v>
      </c>
      <c r="U531" s="10" t="s">
        <v>52</v>
      </c>
      <c r="V531" s="2" t="s">
        <v>53</v>
      </c>
      <c r="W531" s="2">
        <v>8</v>
      </c>
      <c r="X531" s="2" t="s">
        <v>44</v>
      </c>
      <c r="Y531" s="2">
        <v>4</v>
      </c>
      <c r="Z531" s="2" t="s">
        <v>54</v>
      </c>
    </row>
    <row r="532" spans="1:26" x14ac:dyDescent="0.35">
      <c r="A532" s="2" t="s">
        <v>1016</v>
      </c>
      <c r="B532" s="3">
        <v>45799</v>
      </c>
      <c r="C532" s="2" t="s">
        <v>1017</v>
      </c>
      <c r="D532" s="2" t="s">
        <v>62</v>
      </c>
      <c r="E532" s="2" t="s">
        <v>41</v>
      </c>
      <c r="F532" s="2">
        <v>33</v>
      </c>
      <c r="G532" s="2" t="s">
        <v>42</v>
      </c>
      <c r="H532" s="2" t="s">
        <v>31</v>
      </c>
      <c r="I532" s="2" t="s">
        <v>42</v>
      </c>
      <c r="J532" s="2" t="s">
        <v>113</v>
      </c>
      <c r="K532" s="2">
        <v>4</v>
      </c>
      <c r="L532" s="2">
        <v>19887</v>
      </c>
      <c r="M532" s="2">
        <v>10</v>
      </c>
      <c r="N532" s="2">
        <v>7954.8</v>
      </c>
      <c r="O532" s="2">
        <v>12886.78</v>
      </c>
      <c r="P532" s="2">
        <v>318</v>
      </c>
      <c r="Q532" s="2">
        <v>84797.98</v>
      </c>
      <c r="R532" s="2" t="s">
        <v>33</v>
      </c>
      <c r="S532" s="2" t="s">
        <v>59</v>
      </c>
      <c r="T532" s="9" t="s">
        <v>1703</v>
      </c>
      <c r="U532" s="10" t="s">
        <v>1701</v>
      </c>
      <c r="V532" s="2" t="s">
        <v>35</v>
      </c>
      <c r="W532" s="2">
        <v>2</v>
      </c>
      <c r="X532" s="2" t="s">
        <v>44</v>
      </c>
      <c r="Y532" s="2">
        <v>4</v>
      </c>
      <c r="Z532" s="2" t="s">
        <v>82</v>
      </c>
    </row>
    <row r="533" spans="1:26" x14ac:dyDescent="0.35">
      <c r="A533" s="2" t="s">
        <v>1018</v>
      </c>
      <c r="B533" s="3">
        <v>45808</v>
      </c>
      <c r="C533" s="2" t="s">
        <v>632</v>
      </c>
      <c r="D533" s="2" t="s">
        <v>47</v>
      </c>
      <c r="E533" s="2" t="s">
        <v>29</v>
      </c>
      <c r="F533" s="2">
        <v>51</v>
      </c>
      <c r="G533" s="2" t="s">
        <v>127</v>
      </c>
      <c r="H533" s="2" t="s">
        <v>31</v>
      </c>
      <c r="I533" s="2" t="s">
        <v>127</v>
      </c>
      <c r="J533" s="2" t="s">
        <v>32</v>
      </c>
      <c r="K533" s="2">
        <v>2</v>
      </c>
      <c r="L533" s="2">
        <v>7873</v>
      </c>
      <c r="M533" s="2">
        <v>5</v>
      </c>
      <c r="N533" s="2">
        <v>787.3</v>
      </c>
      <c r="O533" s="2">
        <v>2692.57</v>
      </c>
      <c r="P533" s="2">
        <v>155</v>
      </c>
      <c r="Q533" s="2">
        <v>17806.27</v>
      </c>
      <c r="R533" s="2" t="s">
        <v>33</v>
      </c>
      <c r="S533" s="2" t="s">
        <v>34</v>
      </c>
      <c r="T533" s="9" t="s">
        <v>1709</v>
      </c>
      <c r="U533" s="10" t="s">
        <v>52</v>
      </c>
      <c r="V533" s="2" t="s">
        <v>53</v>
      </c>
      <c r="W533" s="2">
        <v>7</v>
      </c>
      <c r="X533" s="2" t="s">
        <v>44</v>
      </c>
      <c r="Y533" s="2">
        <v>5</v>
      </c>
      <c r="Z533" s="2" t="s">
        <v>82</v>
      </c>
    </row>
    <row r="534" spans="1:26" x14ac:dyDescent="0.35">
      <c r="A534" s="2" t="s">
        <v>1019</v>
      </c>
      <c r="B534" s="3">
        <v>45832</v>
      </c>
      <c r="C534" s="2" t="s">
        <v>327</v>
      </c>
      <c r="D534" s="2" t="s">
        <v>28</v>
      </c>
      <c r="E534" s="2" t="s">
        <v>29</v>
      </c>
      <c r="F534" s="2">
        <v>46</v>
      </c>
      <c r="G534" s="2" t="s">
        <v>42</v>
      </c>
      <c r="H534" s="2" t="s">
        <v>31</v>
      </c>
      <c r="I534" s="2" t="s">
        <v>42</v>
      </c>
      <c r="J534" s="2" t="s">
        <v>32</v>
      </c>
      <c r="K534" s="2">
        <v>1</v>
      </c>
      <c r="L534" s="2">
        <v>42929</v>
      </c>
      <c r="M534" s="2">
        <v>20</v>
      </c>
      <c r="N534" s="2">
        <v>8585.7999999999993</v>
      </c>
      <c r="O534" s="2">
        <v>6181.78</v>
      </c>
      <c r="P534" s="2">
        <v>228</v>
      </c>
      <c r="Q534" s="2">
        <v>40752.980000000003</v>
      </c>
      <c r="R534" s="2" t="s">
        <v>76</v>
      </c>
      <c r="S534" s="2" t="s">
        <v>34</v>
      </c>
      <c r="T534" s="9" t="s">
        <v>1710</v>
      </c>
      <c r="U534" s="10" t="s">
        <v>1711</v>
      </c>
      <c r="V534" s="2" t="s">
        <v>53</v>
      </c>
      <c r="W534" s="2">
        <v>10</v>
      </c>
      <c r="X534" s="2" t="s">
        <v>36</v>
      </c>
      <c r="Y534" s="2">
        <v>3</v>
      </c>
      <c r="Z534" s="2" t="s">
        <v>82</v>
      </c>
    </row>
    <row r="535" spans="1:26" x14ac:dyDescent="0.35">
      <c r="A535" s="2" t="s">
        <v>1020</v>
      </c>
      <c r="B535" s="3">
        <v>45874</v>
      </c>
      <c r="C535" s="2" t="s">
        <v>1021</v>
      </c>
      <c r="D535" s="2" t="s">
        <v>80</v>
      </c>
      <c r="E535" s="2" t="s">
        <v>29</v>
      </c>
      <c r="F535" s="2">
        <v>43</v>
      </c>
      <c r="G535" s="2" t="s">
        <v>81</v>
      </c>
      <c r="H535" s="2" t="s">
        <v>31</v>
      </c>
      <c r="I535" s="2" t="s">
        <v>81</v>
      </c>
      <c r="J535" s="2" t="s">
        <v>70</v>
      </c>
      <c r="K535" s="2">
        <v>1</v>
      </c>
      <c r="L535" s="2">
        <v>41961</v>
      </c>
      <c r="M535" s="2">
        <v>10</v>
      </c>
      <c r="N535" s="2">
        <v>4196.1000000000004</v>
      </c>
      <c r="O535" s="2">
        <v>6797.68</v>
      </c>
      <c r="P535" s="2">
        <v>63</v>
      </c>
      <c r="Q535" s="2">
        <v>44625.58</v>
      </c>
      <c r="R535" s="2" t="s">
        <v>51</v>
      </c>
      <c r="S535" s="2" t="s">
        <v>59</v>
      </c>
      <c r="T535" s="9" t="s">
        <v>1707</v>
      </c>
      <c r="U535" s="10" t="s">
        <v>1712</v>
      </c>
      <c r="V535" s="2" t="s">
        <v>53</v>
      </c>
      <c r="W535" s="2">
        <v>8</v>
      </c>
      <c r="X535" s="2" t="s">
        <v>44</v>
      </c>
      <c r="Y535" s="2">
        <v>5</v>
      </c>
      <c r="Z535" s="2" t="s">
        <v>82</v>
      </c>
    </row>
    <row r="536" spans="1:26" x14ac:dyDescent="0.35">
      <c r="A536" s="2" t="s">
        <v>1022</v>
      </c>
      <c r="B536" s="3">
        <v>45879</v>
      </c>
      <c r="C536" s="2" t="s">
        <v>1023</v>
      </c>
      <c r="D536" s="2" t="s">
        <v>73</v>
      </c>
      <c r="E536" s="2" t="s">
        <v>29</v>
      </c>
      <c r="F536" s="2">
        <v>60</v>
      </c>
      <c r="G536" s="2" t="s">
        <v>122</v>
      </c>
      <c r="H536" s="2" t="s">
        <v>31</v>
      </c>
      <c r="I536" s="2" t="s">
        <v>122</v>
      </c>
      <c r="J536" s="2" t="s">
        <v>100</v>
      </c>
      <c r="K536" s="2">
        <v>5</v>
      </c>
      <c r="L536" s="2">
        <v>6154</v>
      </c>
      <c r="M536" s="2">
        <v>15</v>
      </c>
      <c r="N536" s="2">
        <v>4615.5</v>
      </c>
      <c r="O536" s="2">
        <v>4707.8100000000004</v>
      </c>
      <c r="P536" s="2">
        <v>460</v>
      </c>
      <c r="Q536" s="2">
        <v>31322.31</v>
      </c>
      <c r="R536" s="2" t="s">
        <v>51</v>
      </c>
      <c r="S536" s="2" t="s">
        <v>59</v>
      </c>
      <c r="T536" s="9" t="s">
        <v>1705</v>
      </c>
      <c r="U536" s="10" t="s">
        <v>1702</v>
      </c>
      <c r="V536" s="2" t="s">
        <v>53</v>
      </c>
      <c r="W536" s="2">
        <v>10</v>
      </c>
      <c r="X536" s="2" t="s">
        <v>44</v>
      </c>
      <c r="Y536" s="2">
        <v>1</v>
      </c>
      <c r="Z536" s="2" t="s">
        <v>37</v>
      </c>
    </row>
    <row r="537" spans="1:26" x14ac:dyDescent="0.35">
      <c r="A537" s="2" t="s">
        <v>1024</v>
      </c>
      <c r="B537" s="3">
        <v>46074</v>
      </c>
      <c r="C537" s="2" t="s">
        <v>925</v>
      </c>
      <c r="D537" s="2" t="s">
        <v>73</v>
      </c>
      <c r="E537" s="2" t="s">
        <v>41</v>
      </c>
      <c r="F537" s="2">
        <v>44</v>
      </c>
      <c r="G537" s="2" t="s">
        <v>63</v>
      </c>
      <c r="H537" s="2" t="s">
        <v>64</v>
      </c>
      <c r="I537" s="2" t="s">
        <v>63</v>
      </c>
      <c r="J537" s="2" t="s">
        <v>138</v>
      </c>
      <c r="K537" s="2">
        <v>2</v>
      </c>
      <c r="L537" s="2">
        <v>43139</v>
      </c>
      <c r="M537" s="2">
        <v>20</v>
      </c>
      <c r="N537" s="2">
        <v>17255.599999999999</v>
      </c>
      <c r="O537" s="2">
        <v>12424.03</v>
      </c>
      <c r="P537" s="2">
        <v>165</v>
      </c>
      <c r="Q537" s="2">
        <v>81611.429999999993</v>
      </c>
      <c r="R537" s="2" t="s">
        <v>51</v>
      </c>
      <c r="S537" s="2" t="s">
        <v>34</v>
      </c>
      <c r="T537" s="9" t="s">
        <v>1705</v>
      </c>
      <c r="U537" s="10" t="s">
        <v>1702</v>
      </c>
      <c r="V537" s="2" t="s">
        <v>53</v>
      </c>
      <c r="W537" s="2">
        <v>1</v>
      </c>
      <c r="X537" s="2" t="s">
        <v>36</v>
      </c>
      <c r="Y537" s="2">
        <v>5</v>
      </c>
      <c r="Z537" s="2" t="s">
        <v>44</v>
      </c>
    </row>
    <row r="538" spans="1:26" x14ac:dyDescent="0.35">
      <c r="A538" s="2" t="s">
        <v>1025</v>
      </c>
      <c r="B538" s="3">
        <v>45867</v>
      </c>
      <c r="C538" s="2" t="s">
        <v>1026</v>
      </c>
      <c r="D538" s="2" t="s">
        <v>73</v>
      </c>
      <c r="E538" s="2" t="s">
        <v>41</v>
      </c>
      <c r="F538" s="2">
        <v>26</v>
      </c>
      <c r="G538" s="2" t="s">
        <v>48</v>
      </c>
      <c r="H538" s="2" t="s">
        <v>49</v>
      </c>
      <c r="I538" s="2" t="s">
        <v>48</v>
      </c>
      <c r="J538" s="2" t="s">
        <v>58</v>
      </c>
      <c r="K538" s="2">
        <v>4</v>
      </c>
      <c r="L538" s="2">
        <v>39551</v>
      </c>
      <c r="M538" s="2">
        <v>0</v>
      </c>
      <c r="N538" s="2">
        <v>0</v>
      </c>
      <c r="O538" s="2">
        <v>28476.720000000001</v>
      </c>
      <c r="P538" s="2">
        <v>416</v>
      </c>
      <c r="Q538" s="2">
        <v>187096.72</v>
      </c>
      <c r="R538" s="2" t="s">
        <v>33</v>
      </c>
      <c r="S538" s="2" t="s">
        <v>59</v>
      </c>
      <c r="T538" s="9" t="s">
        <v>1708</v>
      </c>
      <c r="U538" s="10" t="s">
        <v>52</v>
      </c>
      <c r="V538" s="2" t="s">
        <v>77</v>
      </c>
      <c r="W538" s="2">
        <v>5</v>
      </c>
      <c r="X538" s="2" t="s">
        <v>44</v>
      </c>
      <c r="Y538" s="2">
        <v>4</v>
      </c>
      <c r="Z538" s="2" t="s">
        <v>44</v>
      </c>
    </row>
    <row r="539" spans="1:26" x14ac:dyDescent="0.35">
      <c r="A539" s="2" t="s">
        <v>1027</v>
      </c>
      <c r="B539" s="3">
        <v>46022</v>
      </c>
      <c r="C539" s="2" t="s">
        <v>1028</v>
      </c>
      <c r="D539" s="2" t="s">
        <v>80</v>
      </c>
      <c r="E539" s="2" t="s">
        <v>29</v>
      </c>
      <c r="F539" s="2">
        <v>27</v>
      </c>
      <c r="G539" s="2" t="s">
        <v>122</v>
      </c>
      <c r="H539" s="2" t="s">
        <v>31</v>
      </c>
      <c r="I539" s="2" t="s">
        <v>122</v>
      </c>
      <c r="J539" s="2" t="s">
        <v>32</v>
      </c>
      <c r="K539" s="2">
        <v>4</v>
      </c>
      <c r="L539" s="2">
        <v>48917</v>
      </c>
      <c r="M539" s="2">
        <v>0</v>
      </c>
      <c r="N539" s="2">
        <v>0</v>
      </c>
      <c r="O539" s="2">
        <v>35220.239999999998</v>
      </c>
      <c r="P539" s="2">
        <v>296</v>
      </c>
      <c r="Q539" s="2">
        <v>231184.24</v>
      </c>
      <c r="R539" s="2" t="s">
        <v>76</v>
      </c>
      <c r="S539" s="2" t="s">
        <v>59</v>
      </c>
      <c r="T539" s="9" t="s">
        <v>1706</v>
      </c>
      <c r="U539" s="10" t="s">
        <v>52</v>
      </c>
      <c r="V539" s="2" t="s">
        <v>53</v>
      </c>
      <c r="W539" s="2">
        <v>6</v>
      </c>
      <c r="X539" s="2" t="s">
        <v>44</v>
      </c>
      <c r="Y539" s="2">
        <v>4</v>
      </c>
      <c r="Z539" s="2" t="s">
        <v>37</v>
      </c>
    </row>
    <row r="540" spans="1:26" x14ac:dyDescent="0.35">
      <c r="A540" s="2" t="s">
        <v>1029</v>
      </c>
      <c r="B540" s="3">
        <v>45952</v>
      </c>
      <c r="C540" s="2" t="s">
        <v>305</v>
      </c>
      <c r="D540" s="2" t="s">
        <v>28</v>
      </c>
      <c r="E540" s="2" t="s">
        <v>41</v>
      </c>
      <c r="F540" s="2">
        <v>47</v>
      </c>
      <c r="G540" s="2" t="s">
        <v>69</v>
      </c>
      <c r="H540" s="2" t="s">
        <v>31</v>
      </c>
      <c r="I540" s="2" t="s">
        <v>69</v>
      </c>
      <c r="J540" s="2" t="s">
        <v>138</v>
      </c>
      <c r="K540" s="2">
        <v>3</v>
      </c>
      <c r="L540" s="2">
        <v>40702</v>
      </c>
      <c r="M540" s="2">
        <v>20</v>
      </c>
      <c r="N540" s="2">
        <v>24421.200000000001</v>
      </c>
      <c r="O540" s="2">
        <v>17583.259999999998</v>
      </c>
      <c r="P540" s="2">
        <v>193</v>
      </c>
      <c r="Q540" s="2">
        <v>115461.06</v>
      </c>
      <c r="R540" s="2" t="s">
        <v>76</v>
      </c>
      <c r="S540" s="2" t="s">
        <v>59</v>
      </c>
      <c r="T540" s="9" t="s">
        <v>1708</v>
      </c>
      <c r="U540" s="10" t="s">
        <v>52</v>
      </c>
      <c r="V540" s="2" t="s">
        <v>77</v>
      </c>
      <c r="W540" s="2">
        <v>5</v>
      </c>
      <c r="X540" s="2" t="s">
        <v>36</v>
      </c>
      <c r="Y540" s="2">
        <v>2</v>
      </c>
      <c r="Z540" s="2" t="s">
        <v>37</v>
      </c>
    </row>
    <row r="541" spans="1:26" x14ac:dyDescent="0.35">
      <c r="A541" s="2" t="s">
        <v>1030</v>
      </c>
      <c r="B541" s="3">
        <v>45908</v>
      </c>
      <c r="C541" s="2" t="s">
        <v>46</v>
      </c>
      <c r="D541" s="2" t="s">
        <v>73</v>
      </c>
      <c r="E541" s="2" t="s">
        <v>29</v>
      </c>
      <c r="F541" s="2">
        <v>58</v>
      </c>
      <c r="G541" s="2" t="s">
        <v>122</v>
      </c>
      <c r="H541" s="2" t="s">
        <v>31</v>
      </c>
      <c r="I541" s="2" t="s">
        <v>122</v>
      </c>
      <c r="J541" s="2" t="s">
        <v>138</v>
      </c>
      <c r="K541" s="2">
        <v>2</v>
      </c>
      <c r="L541" s="2">
        <v>4559</v>
      </c>
      <c r="M541" s="2">
        <v>0</v>
      </c>
      <c r="N541" s="2">
        <v>0</v>
      </c>
      <c r="O541" s="2">
        <v>1641.24</v>
      </c>
      <c r="P541" s="2">
        <v>387</v>
      </c>
      <c r="Q541" s="2">
        <v>11146.24</v>
      </c>
      <c r="R541" s="2" t="s">
        <v>33</v>
      </c>
      <c r="S541" s="2" t="s">
        <v>59</v>
      </c>
      <c r="T541" s="9" t="s">
        <v>1706</v>
      </c>
      <c r="U541" s="10" t="s">
        <v>52</v>
      </c>
      <c r="V541" s="2" t="s">
        <v>53</v>
      </c>
      <c r="W541" s="2">
        <v>6</v>
      </c>
      <c r="X541" s="2" t="s">
        <v>44</v>
      </c>
      <c r="Y541" s="2">
        <v>1</v>
      </c>
      <c r="Z541" s="2" t="s">
        <v>44</v>
      </c>
    </row>
    <row r="542" spans="1:26" x14ac:dyDescent="0.35">
      <c r="A542" s="2" t="s">
        <v>1031</v>
      </c>
      <c r="B542" s="3">
        <v>46101</v>
      </c>
      <c r="C542" s="2" t="s">
        <v>1032</v>
      </c>
      <c r="D542" s="2" t="s">
        <v>28</v>
      </c>
      <c r="E542" s="2" t="s">
        <v>41</v>
      </c>
      <c r="F542" s="2">
        <v>34</v>
      </c>
      <c r="G542" s="2" t="s">
        <v>69</v>
      </c>
      <c r="H542" s="2" t="s">
        <v>31</v>
      </c>
      <c r="I542" s="2" t="s">
        <v>69</v>
      </c>
      <c r="J542" s="2" t="s">
        <v>32</v>
      </c>
      <c r="K542" s="2">
        <v>5</v>
      </c>
      <c r="L542" s="2">
        <v>2350</v>
      </c>
      <c r="M542" s="2">
        <v>10</v>
      </c>
      <c r="N542" s="2">
        <v>1175</v>
      </c>
      <c r="O542" s="2">
        <v>1903.5</v>
      </c>
      <c r="P542" s="2">
        <v>454</v>
      </c>
      <c r="Q542" s="2">
        <v>12932.5</v>
      </c>
      <c r="R542" s="2" t="s">
        <v>33</v>
      </c>
      <c r="S542" s="2" t="s">
        <v>59</v>
      </c>
      <c r="T542" s="9" t="s">
        <v>1705</v>
      </c>
      <c r="U542" s="10" t="s">
        <v>1702</v>
      </c>
      <c r="V542" s="2" t="s">
        <v>53</v>
      </c>
      <c r="W542" s="2">
        <v>2</v>
      </c>
      <c r="X542" s="2" t="s">
        <v>36</v>
      </c>
      <c r="Y542" s="2">
        <v>3</v>
      </c>
      <c r="Z542" s="2" t="s">
        <v>54</v>
      </c>
    </row>
    <row r="543" spans="1:26" x14ac:dyDescent="0.35">
      <c r="A543" s="2" t="s">
        <v>1033</v>
      </c>
      <c r="B543" s="3">
        <v>45985</v>
      </c>
      <c r="C543" s="2" t="s">
        <v>1011</v>
      </c>
      <c r="D543" s="2" t="s">
        <v>99</v>
      </c>
      <c r="E543" s="2" t="s">
        <v>29</v>
      </c>
      <c r="F543" s="2">
        <v>19</v>
      </c>
      <c r="G543" s="2" t="s">
        <v>69</v>
      </c>
      <c r="H543" s="2" t="s">
        <v>31</v>
      </c>
      <c r="I543" s="2" t="s">
        <v>69</v>
      </c>
      <c r="J543" s="2" t="s">
        <v>65</v>
      </c>
      <c r="K543" s="2">
        <v>2</v>
      </c>
      <c r="L543" s="2">
        <v>25923</v>
      </c>
      <c r="M543" s="2">
        <v>0</v>
      </c>
      <c r="N543" s="2">
        <v>0</v>
      </c>
      <c r="O543" s="2">
        <v>9332.2800000000007</v>
      </c>
      <c r="P543" s="2">
        <v>274</v>
      </c>
      <c r="Q543" s="2">
        <v>61452.28</v>
      </c>
      <c r="R543" s="2" t="s">
        <v>33</v>
      </c>
      <c r="S543" s="2" t="s">
        <v>34</v>
      </c>
      <c r="T543" s="9" t="s">
        <v>1704</v>
      </c>
      <c r="U543" s="10" t="s">
        <v>52</v>
      </c>
      <c r="V543" s="2" t="s">
        <v>35</v>
      </c>
      <c r="W543" s="2">
        <v>6</v>
      </c>
      <c r="X543" s="2" t="s">
        <v>44</v>
      </c>
      <c r="Y543" s="2">
        <v>3</v>
      </c>
      <c r="Z543" s="2" t="s">
        <v>37</v>
      </c>
    </row>
    <row r="544" spans="1:26" x14ac:dyDescent="0.35">
      <c r="A544" s="2" t="s">
        <v>1034</v>
      </c>
      <c r="B544" s="3">
        <v>45863</v>
      </c>
      <c r="C544" s="2" t="s">
        <v>1035</v>
      </c>
      <c r="D544" s="2" t="s">
        <v>68</v>
      </c>
      <c r="E544" s="2" t="s">
        <v>29</v>
      </c>
      <c r="F544" s="2">
        <v>41</v>
      </c>
      <c r="G544" s="2" t="s">
        <v>48</v>
      </c>
      <c r="H544" s="2" t="s">
        <v>49</v>
      </c>
      <c r="I544" s="2" t="s">
        <v>48</v>
      </c>
      <c r="J544" s="2" t="s">
        <v>190</v>
      </c>
      <c r="K544" s="2">
        <v>5</v>
      </c>
      <c r="L544" s="2">
        <v>27464</v>
      </c>
      <c r="M544" s="2">
        <v>20</v>
      </c>
      <c r="N544" s="2">
        <v>27464</v>
      </c>
      <c r="O544" s="2">
        <v>19774.080000000002</v>
      </c>
      <c r="P544" s="2">
        <v>74</v>
      </c>
      <c r="Q544" s="2">
        <v>129704.08</v>
      </c>
      <c r="R544" s="2" t="s">
        <v>43</v>
      </c>
      <c r="S544" s="2" t="s">
        <v>59</v>
      </c>
      <c r="T544" s="9" t="s">
        <v>1703</v>
      </c>
      <c r="U544" s="10" t="s">
        <v>1701</v>
      </c>
      <c r="V544" s="2" t="s">
        <v>35</v>
      </c>
      <c r="W544" s="2">
        <v>8</v>
      </c>
      <c r="X544" s="2" t="s">
        <v>44</v>
      </c>
      <c r="Y544" s="2">
        <v>5</v>
      </c>
      <c r="Z544" s="2" t="s">
        <v>44</v>
      </c>
    </row>
    <row r="545" spans="1:26" x14ac:dyDescent="0.35">
      <c r="A545" s="2" t="s">
        <v>1036</v>
      </c>
      <c r="B545" s="3">
        <v>45882</v>
      </c>
      <c r="C545" s="2" t="s">
        <v>1037</v>
      </c>
      <c r="D545" s="2" t="s">
        <v>62</v>
      </c>
      <c r="E545" s="2" t="s">
        <v>29</v>
      </c>
      <c r="F545" s="2">
        <v>39</v>
      </c>
      <c r="G545" s="2" t="s">
        <v>48</v>
      </c>
      <c r="H545" s="2" t="s">
        <v>49</v>
      </c>
      <c r="I545" s="2" t="s">
        <v>48</v>
      </c>
      <c r="J545" s="2" t="s">
        <v>138</v>
      </c>
      <c r="K545" s="2">
        <v>3</v>
      </c>
      <c r="L545" s="2">
        <v>17597</v>
      </c>
      <c r="M545" s="2">
        <v>5</v>
      </c>
      <c r="N545" s="2">
        <v>2639.55</v>
      </c>
      <c r="O545" s="2">
        <v>9027.26</v>
      </c>
      <c r="P545" s="2">
        <v>297</v>
      </c>
      <c r="Q545" s="2">
        <v>59475.71</v>
      </c>
      <c r="R545" s="2" t="s">
        <v>76</v>
      </c>
      <c r="S545" s="2" t="s">
        <v>59</v>
      </c>
      <c r="T545" s="9" t="s">
        <v>1708</v>
      </c>
      <c r="U545" s="10" t="s">
        <v>52</v>
      </c>
      <c r="V545" s="2" t="s">
        <v>77</v>
      </c>
      <c r="W545" s="2">
        <v>5</v>
      </c>
      <c r="X545" s="2" t="s">
        <v>44</v>
      </c>
      <c r="Y545" s="2">
        <v>1</v>
      </c>
      <c r="Z545" s="2" t="s">
        <v>54</v>
      </c>
    </row>
    <row r="546" spans="1:26" x14ac:dyDescent="0.35">
      <c r="A546" s="2" t="s">
        <v>1038</v>
      </c>
      <c r="B546" s="3">
        <v>46096</v>
      </c>
      <c r="C546" s="2" t="s">
        <v>996</v>
      </c>
      <c r="D546" s="2" t="s">
        <v>40</v>
      </c>
      <c r="E546" s="2" t="s">
        <v>41</v>
      </c>
      <c r="F546" s="2">
        <v>44</v>
      </c>
      <c r="G546" s="2" t="s">
        <v>30</v>
      </c>
      <c r="H546" s="2" t="s">
        <v>31</v>
      </c>
      <c r="I546" s="2" t="s">
        <v>30</v>
      </c>
      <c r="J546" s="2" t="s">
        <v>100</v>
      </c>
      <c r="K546" s="2">
        <v>5</v>
      </c>
      <c r="L546" s="2">
        <v>4399</v>
      </c>
      <c r="M546" s="2">
        <v>0</v>
      </c>
      <c r="N546" s="2">
        <v>0</v>
      </c>
      <c r="O546" s="2">
        <v>3959.1</v>
      </c>
      <c r="P546" s="2">
        <v>41</v>
      </c>
      <c r="Q546" s="2">
        <v>25995.1</v>
      </c>
      <c r="R546" s="2" t="s">
        <v>33</v>
      </c>
      <c r="S546" s="2" t="s">
        <v>59</v>
      </c>
      <c r="T546" s="9" t="s">
        <v>1709</v>
      </c>
      <c r="U546" s="10" t="s">
        <v>52</v>
      </c>
      <c r="V546" s="2" t="s">
        <v>53</v>
      </c>
      <c r="W546" s="2">
        <v>3</v>
      </c>
      <c r="X546" s="2" t="s">
        <v>44</v>
      </c>
      <c r="Y546" s="2">
        <v>3</v>
      </c>
      <c r="Z546" s="2" t="s">
        <v>37</v>
      </c>
    </row>
    <row r="547" spans="1:26" x14ac:dyDescent="0.35">
      <c r="A547" s="2" t="s">
        <v>1039</v>
      </c>
      <c r="B547" s="3">
        <v>46043</v>
      </c>
      <c r="C547" s="2" t="s">
        <v>456</v>
      </c>
      <c r="D547" s="2" t="s">
        <v>73</v>
      </c>
      <c r="E547" s="2" t="s">
        <v>29</v>
      </c>
      <c r="F547" s="2">
        <v>46</v>
      </c>
      <c r="G547" s="2" t="s">
        <v>30</v>
      </c>
      <c r="H547" s="2" t="s">
        <v>31</v>
      </c>
      <c r="I547" s="2" t="s">
        <v>30</v>
      </c>
      <c r="J547" s="2" t="s">
        <v>58</v>
      </c>
      <c r="K547" s="2">
        <v>4</v>
      </c>
      <c r="L547" s="2">
        <v>16338</v>
      </c>
      <c r="M547" s="2">
        <v>5</v>
      </c>
      <c r="N547" s="2">
        <v>3267.6</v>
      </c>
      <c r="O547" s="2">
        <v>11175.19</v>
      </c>
      <c r="P547" s="2">
        <v>104</v>
      </c>
      <c r="Q547" s="2">
        <v>73363.59</v>
      </c>
      <c r="R547" s="2" t="s">
        <v>33</v>
      </c>
      <c r="S547" s="2" t="s">
        <v>34</v>
      </c>
      <c r="T547" s="9" t="s">
        <v>1708</v>
      </c>
      <c r="U547" s="10" t="s">
        <v>52</v>
      </c>
      <c r="V547" s="2" t="s">
        <v>77</v>
      </c>
      <c r="W547" s="2">
        <v>9</v>
      </c>
      <c r="X547" s="2" t="s">
        <v>44</v>
      </c>
      <c r="Y547" s="2">
        <v>5</v>
      </c>
      <c r="Z547" s="2" t="s">
        <v>54</v>
      </c>
    </row>
    <row r="548" spans="1:26" x14ac:dyDescent="0.35">
      <c r="A548" s="2" t="s">
        <v>1040</v>
      </c>
      <c r="B548" s="3">
        <v>45989</v>
      </c>
      <c r="C548" s="2" t="s">
        <v>700</v>
      </c>
      <c r="D548" s="2" t="s">
        <v>57</v>
      </c>
      <c r="E548" s="2" t="s">
        <v>41</v>
      </c>
      <c r="F548" s="2">
        <v>23</v>
      </c>
      <c r="G548" s="2" t="s">
        <v>127</v>
      </c>
      <c r="H548" s="2" t="s">
        <v>31</v>
      </c>
      <c r="I548" s="2" t="s">
        <v>127</v>
      </c>
      <c r="J548" s="2" t="s">
        <v>58</v>
      </c>
      <c r="K548" s="2">
        <v>5</v>
      </c>
      <c r="L548" s="2">
        <v>41403</v>
      </c>
      <c r="M548" s="2">
        <v>5</v>
      </c>
      <c r="N548" s="2">
        <v>10350.75</v>
      </c>
      <c r="O548" s="2">
        <v>35399.56</v>
      </c>
      <c r="P548" s="2">
        <v>376</v>
      </c>
      <c r="Q548" s="2">
        <v>232439.82</v>
      </c>
      <c r="R548" s="2" t="s">
        <v>76</v>
      </c>
      <c r="S548" s="2" t="s">
        <v>34</v>
      </c>
      <c r="T548" s="9" t="s">
        <v>1706</v>
      </c>
      <c r="U548" s="10" t="s">
        <v>52</v>
      </c>
      <c r="V548" s="2" t="s">
        <v>53</v>
      </c>
      <c r="W548" s="2">
        <v>4</v>
      </c>
      <c r="X548" s="2" t="s">
        <v>44</v>
      </c>
      <c r="Y548" s="2">
        <v>5</v>
      </c>
      <c r="Z548" s="2" t="s">
        <v>82</v>
      </c>
    </row>
    <row r="549" spans="1:26" x14ac:dyDescent="0.35">
      <c r="A549" s="2" t="s">
        <v>1041</v>
      </c>
      <c r="B549" s="3">
        <v>45961</v>
      </c>
      <c r="C549" s="2" t="s">
        <v>1042</v>
      </c>
      <c r="D549" s="2" t="s">
        <v>40</v>
      </c>
      <c r="E549" s="2" t="s">
        <v>29</v>
      </c>
      <c r="F549" s="2">
        <v>29</v>
      </c>
      <c r="G549" s="2" t="s">
        <v>122</v>
      </c>
      <c r="H549" s="2" t="s">
        <v>31</v>
      </c>
      <c r="I549" s="2" t="s">
        <v>122</v>
      </c>
      <c r="J549" s="2" t="s">
        <v>50</v>
      </c>
      <c r="K549" s="2">
        <v>2</v>
      </c>
      <c r="L549" s="2">
        <v>19158</v>
      </c>
      <c r="M549" s="2">
        <v>5</v>
      </c>
      <c r="N549" s="2">
        <v>1915.8</v>
      </c>
      <c r="O549" s="2">
        <v>6552.04</v>
      </c>
      <c r="P549" s="2">
        <v>419</v>
      </c>
      <c r="Q549" s="2">
        <v>43371.24</v>
      </c>
      <c r="R549" s="2" t="s">
        <v>43</v>
      </c>
      <c r="S549" s="2" t="s">
        <v>59</v>
      </c>
      <c r="T549" s="9" t="s">
        <v>1707</v>
      </c>
      <c r="U549" s="10" t="s">
        <v>1712</v>
      </c>
      <c r="V549" s="2" t="s">
        <v>53</v>
      </c>
      <c r="W549" s="2">
        <v>4</v>
      </c>
      <c r="X549" s="2" t="s">
        <v>44</v>
      </c>
      <c r="Y549" s="2">
        <v>2</v>
      </c>
      <c r="Z549" s="2" t="s">
        <v>54</v>
      </c>
    </row>
    <row r="550" spans="1:26" x14ac:dyDescent="0.35">
      <c r="A550" s="2" t="s">
        <v>1043</v>
      </c>
      <c r="B550" s="3">
        <v>45809</v>
      </c>
      <c r="C550" s="2" t="s">
        <v>1044</v>
      </c>
      <c r="D550" s="2" t="s">
        <v>96</v>
      </c>
      <c r="E550" s="2" t="s">
        <v>41</v>
      </c>
      <c r="F550" s="2">
        <v>19</v>
      </c>
      <c r="G550" s="2" t="s">
        <v>69</v>
      </c>
      <c r="H550" s="2" t="s">
        <v>31</v>
      </c>
      <c r="I550" s="2" t="s">
        <v>69</v>
      </c>
      <c r="J550" s="2" t="s">
        <v>50</v>
      </c>
      <c r="K550" s="2">
        <v>4</v>
      </c>
      <c r="L550" s="2">
        <v>9541</v>
      </c>
      <c r="M550" s="2">
        <v>20</v>
      </c>
      <c r="N550" s="2">
        <v>7632.8</v>
      </c>
      <c r="O550" s="2">
        <v>5495.62</v>
      </c>
      <c r="P550" s="2">
        <v>462</v>
      </c>
      <c r="Q550" s="2">
        <v>36488.82</v>
      </c>
      <c r="R550" s="2" t="s">
        <v>43</v>
      </c>
      <c r="S550" s="2" t="s">
        <v>34</v>
      </c>
      <c r="T550" s="9" t="s">
        <v>1703</v>
      </c>
      <c r="U550" s="10" t="s">
        <v>1701</v>
      </c>
      <c r="V550" s="2" t="s">
        <v>35</v>
      </c>
      <c r="W550" s="2">
        <v>10</v>
      </c>
      <c r="X550" s="2" t="s">
        <v>44</v>
      </c>
      <c r="Y550" s="2">
        <v>3</v>
      </c>
      <c r="Z550" s="2" t="s">
        <v>54</v>
      </c>
    </row>
    <row r="551" spans="1:26" x14ac:dyDescent="0.35">
      <c r="A551" s="2" t="s">
        <v>1045</v>
      </c>
      <c r="B551" s="3">
        <v>46113</v>
      </c>
      <c r="C551" s="2" t="s">
        <v>230</v>
      </c>
      <c r="D551" s="2" t="s">
        <v>28</v>
      </c>
      <c r="E551" s="2" t="s">
        <v>41</v>
      </c>
      <c r="F551" s="2">
        <v>23</v>
      </c>
      <c r="G551" s="2" t="s">
        <v>81</v>
      </c>
      <c r="H551" s="2" t="s">
        <v>31</v>
      </c>
      <c r="I551" s="2" t="s">
        <v>81</v>
      </c>
      <c r="J551" s="2" t="s">
        <v>190</v>
      </c>
      <c r="K551" s="2">
        <v>2</v>
      </c>
      <c r="L551" s="2">
        <v>37411</v>
      </c>
      <c r="M551" s="2">
        <v>15</v>
      </c>
      <c r="N551" s="2">
        <v>11223.3</v>
      </c>
      <c r="O551" s="2">
        <v>11447.77</v>
      </c>
      <c r="P551" s="2">
        <v>407</v>
      </c>
      <c r="Q551" s="2">
        <v>75453.47</v>
      </c>
      <c r="R551" s="2" t="s">
        <v>33</v>
      </c>
      <c r="S551" s="2" t="s">
        <v>34</v>
      </c>
      <c r="T551" s="9" t="s">
        <v>1710</v>
      </c>
      <c r="U551" s="10" t="s">
        <v>1711</v>
      </c>
      <c r="V551" s="2" t="s">
        <v>53</v>
      </c>
      <c r="W551" s="2">
        <v>1</v>
      </c>
      <c r="X551" s="2" t="s">
        <v>36</v>
      </c>
      <c r="Y551" s="2">
        <v>3</v>
      </c>
      <c r="Z551" s="2" t="s">
        <v>37</v>
      </c>
    </row>
    <row r="552" spans="1:26" x14ac:dyDescent="0.35">
      <c r="A552" s="2" t="s">
        <v>1046</v>
      </c>
      <c r="B552" s="3">
        <v>45885</v>
      </c>
      <c r="C552" s="2" t="s">
        <v>1047</v>
      </c>
      <c r="D552" s="2" t="s">
        <v>73</v>
      </c>
      <c r="E552" s="2" t="s">
        <v>41</v>
      </c>
      <c r="F552" s="2">
        <v>35</v>
      </c>
      <c r="G552" s="2" t="s">
        <v>127</v>
      </c>
      <c r="H552" s="2" t="s">
        <v>31</v>
      </c>
      <c r="I552" s="2" t="s">
        <v>127</v>
      </c>
      <c r="J552" s="2" t="s">
        <v>113</v>
      </c>
      <c r="K552" s="2">
        <v>3</v>
      </c>
      <c r="L552" s="2">
        <v>20654</v>
      </c>
      <c r="M552" s="2">
        <v>10</v>
      </c>
      <c r="N552" s="2">
        <v>6196.2</v>
      </c>
      <c r="O552" s="2">
        <v>10037.84</v>
      </c>
      <c r="P552" s="2">
        <v>467</v>
      </c>
      <c r="Q552" s="2">
        <v>66270.64</v>
      </c>
      <c r="R552" s="2" t="s">
        <v>43</v>
      </c>
      <c r="S552" s="2" t="s">
        <v>59</v>
      </c>
      <c r="T552" s="9" t="s">
        <v>1708</v>
      </c>
      <c r="U552" s="10" t="s">
        <v>52</v>
      </c>
      <c r="V552" s="2" t="s">
        <v>77</v>
      </c>
      <c r="W552" s="2">
        <v>2</v>
      </c>
      <c r="X552" s="2" t="s">
        <v>44</v>
      </c>
      <c r="Y552" s="2">
        <v>4</v>
      </c>
      <c r="Z552" s="2" t="s">
        <v>82</v>
      </c>
    </row>
    <row r="553" spans="1:26" x14ac:dyDescent="0.35">
      <c r="A553" s="2" t="s">
        <v>1048</v>
      </c>
      <c r="B553" s="3">
        <v>45804</v>
      </c>
      <c r="C553" s="2" t="s">
        <v>1049</v>
      </c>
      <c r="D553" s="2" t="s">
        <v>99</v>
      </c>
      <c r="E553" s="2" t="s">
        <v>41</v>
      </c>
      <c r="F553" s="2">
        <v>55</v>
      </c>
      <c r="G553" s="2" t="s">
        <v>69</v>
      </c>
      <c r="H553" s="2" t="s">
        <v>31</v>
      </c>
      <c r="I553" s="2" t="s">
        <v>69</v>
      </c>
      <c r="J553" s="2" t="s">
        <v>70</v>
      </c>
      <c r="K553" s="2">
        <v>1</v>
      </c>
      <c r="L553" s="2">
        <v>20050</v>
      </c>
      <c r="M553" s="2">
        <v>5</v>
      </c>
      <c r="N553" s="2">
        <v>1002.5</v>
      </c>
      <c r="O553" s="2">
        <v>3428.55</v>
      </c>
      <c r="P553" s="2">
        <v>205</v>
      </c>
      <c r="Q553" s="2">
        <v>22681.05</v>
      </c>
      <c r="R553" s="2" t="s">
        <v>51</v>
      </c>
      <c r="S553" s="2" t="s">
        <v>34</v>
      </c>
      <c r="T553" s="9" t="s">
        <v>1707</v>
      </c>
      <c r="U553" s="10" t="s">
        <v>1712</v>
      </c>
      <c r="V553" s="2" t="s">
        <v>53</v>
      </c>
      <c r="W553" s="2">
        <v>5</v>
      </c>
      <c r="X553" s="2" t="s">
        <v>44</v>
      </c>
      <c r="Y553" s="2">
        <v>2</v>
      </c>
      <c r="Z553" s="2" t="s">
        <v>82</v>
      </c>
    </row>
    <row r="554" spans="1:26" x14ac:dyDescent="0.35">
      <c r="A554" s="2" t="s">
        <v>1050</v>
      </c>
      <c r="B554" s="3">
        <v>45813</v>
      </c>
      <c r="C554" s="2" t="s">
        <v>598</v>
      </c>
      <c r="D554" s="2" t="s">
        <v>68</v>
      </c>
      <c r="E554" s="2" t="s">
        <v>41</v>
      </c>
      <c r="F554" s="2">
        <v>60</v>
      </c>
      <c r="G554" s="2" t="s">
        <v>81</v>
      </c>
      <c r="H554" s="2" t="s">
        <v>31</v>
      </c>
      <c r="I554" s="2" t="s">
        <v>81</v>
      </c>
      <c r="J554" s="2" t="s">
        <v>70</v>
      </c>
      <c r="K554" s="2">
        <v>5</v>
      </c>
      <c r="L554" s="2">
        <v>26702</v>
      </c>
      <c r="M554" s="2">
        <v>0</v>
      </c>
      <c r="N554" s="2">
        <v>0</v>
      </c>
      <c r="O554" s="2">
        <v>24031.8</v>
      </c>
      <c r="P554" s="2">
        <v>215</v>
      </c>
      <c r="Q554" s="2">
        <v>157756.79999999999</v>
      </c>
      <c r="R554" s="2" t="s">
        <v>51</v>
      </c>
      <c r="S554" s="2" t="s">
        <v>59</v>
      </c>
      <c r="T554" s="9" t="s">
        <v>1703</v>
      </c>
      <c r="U554" s="10" t="s">
        <v>1701</v>
      </c>
      <c r="V554" s="2" t="s">
        <v>35</v>
      </c>
      <c r="W554" s="2">
        <v>4</v>
      </c>
      <c r="X554" s="2" t="s">
        <v>44</v>
      </c>
      <c r="Y554" s="2">
        <v>4</v>
      </c>
      <c r="Z554" s="2" t="s">
        <v>44</v>
      </c>
    </row>
    <row r="555" spans="1:26" x14ac:dyDescent="0.35">
      <c r="A555" s="2" t="s">
        <v>1051</v>
      </c>
      <c r="B555" s="3">
        <v>45829</v>
      </c>
      <c r="C555" s="2" t="s">
        <v>1052</v>
      </c>
      <c r="D555" s="2" t="s">
        <v>80</v>
      </c>
      <c r="E555" s="2" t="s">
        <v>41</v>
      </c>
      <c r="F555" s="2">
        <v>38</v>
      </c>
      <c r="G555" s="2" t="s">
        <v>81</v>
      </c>
      <c r="H555" s="2" t="s">
        <v>31</v>
      </c>
      <c r="I555" s="2" t="s">
        <v>81</v>
      </c>
      <c r="J555" s="2" t="s">
        <v>50</v>
      </c>
      <c r="K555" s="2">
        <v>1</v>
      </c>
      <c r="L555" s="2">
        <v>49429</v>
      </c>
      <c r="M555" s="2">
        <v>0</v>
      </c>
      <c r="N555" s="2">
        <v>0</v>
      </c>
      <c r="O555" s="2">
        <v>8897.2199999999993</v>
      </c>
      <c r="P555" s="2">
        <v>491</v>
      </c>
      <c r="Q555" s="2">
        <v>58817.22</v>
      </c>
      <c r="R555" s="2" t="s">
        <v>51</v>
      </c>
      <c r="S555" s="2" t="s">
        <v>59</v>
      </c>
      <c r="T555" s="9" t="s">
        <v>1706</v>
      </c>
      <c r="U555" s="10" t="s">
        <v>52</v>
      </c>
      <c r="V555" s="2" t="s">
        <v>53</v>
      </c>
      <c r="W555" s="2">
        <v>5</v>
      </c>
      <c r="X555" s="2" t="s">
        <v>44</v>
      </c>
      <c r="Y555" s="2">
        <v>2</v>
      </c>
      <c r="Z555" s="2" t="s">
        <v>54</v>
      </c>
    </row>
    <row r="556" spans="1:26" x14ac:dyDescent="0.35">
      <c r="A556" s="2" t="s">
        <v>1053</v>
      </c>
      <c r="B556" s="3">
        <v>46106</v>
      </c>
      <c r="C556" s="2" t="s">
        <v>1054</v>
      </c>
      <c r="D556" s="2" t="s">
        <v>96</v>
      </c>
      <c r="E556" s="2" t="s">
        <v>29</v>
      </c>
      <c r="F556" s="2">
        <v>20</v>
      </c>
      <c r="G556" s="2" t="s">
        <v>42</v>
      </c>
      <c r="H556" s="2" t="s">
        <v>31</v>
      </c>
      <c r="I556" s="2" t="s">
        <v>42</v>
      </c>
      <c r="J556" s="2" t="s">
        <v>113</v>
      </c>
      <c r="K556" s="2">
        <v>5</v>
      </c>
      <c r="L556" s="2">
        <v>5569</v>
      </c>
      <c r="M556" s="2">
        <v>10</v>
      </c>
      <c r="N556" s="2">
        <v>2784.5</v>
      </c>
      <c r="O556" s="2">
        <v>4510.8900000000003</v>
      </c>
      <c r="P556" s="2">
        <v>202</v>
      </c>
      <c r="Q556" s="2">
        <v>29773.39</v>
      </c>
      <c r="R556" s="2" t="s">
        <v>51</v>
      </c>
      <c r="S556" s="2" t="s">
        <v>59</v>
      </c>
      <c r="T556" s="9" t="s">
        <v>1706</v>
      </c>
      <c r="U556" s="10" t="s">
        <v>52</v>
      </c>
      <c r="V556" s="2" t="s">
        <v>53</v>
      </c>
      <c r="W556" s="2">
        <v>1</v>
      </c>
      <c r="X556" s="2" t="s">
        <v>44</v>
      </c>
      <c r="Y556" s="2">
        <v>3</v>
      </c>
      <c r="Z556" s="2" t="s">
        <v>37</v>
      </c>
    </row>
    <row r="557" spans="1:26" x14ac:dyDescent="0.35">
      <c r="A557" s="2" t="s">
        <v>1055</v>
      </c>
      <c r="B557" s="3">
        <v>46009</v>
      </c>
      <c r="C557" s="2" t="s">
        <v>1056</v>
      </c>
      <c r="D557" s="2" t="s">
        <v>40</v>
      </c>
      <c r="E557" s="2" t="s">
        <v>29</v>
      </c>
      <c r="F557" s="2">
        <v>19</v>
      </c>
      <c r="G557" s="2" t="s">
        <v>42</v>
      </c>
      <c r="H557" s="2" t="s">
        <v>31</v>
      </c>
      <c r="I557" s="2" t="s">
        <v>42</v>
      </c>
      <c r="J557" s="2" t="s">
        <v>100</v>
      </c>
      <c r="K557" s="2">
        <v>1</v>
      </c>
      <c r="L557" s="2">
        <v>4090</v>
      </c>
      <c r="M557" s="2">
        <v>0</v>
      </c>
      <c r="N557" s="2">
        <v>0</v>
      </c>
      <c r="O557" s="2">
        <v>736.2</v>
      </c>
      <c r="P557" s="2">
        <v>158</v>
      </c>
      <c r="Q557" s="2">
        <v>4984.2</v>
      </c>
      <c r="R557" s="2" t="s">
        <v>43</v>
      </c>
      <c r="S557" s="2" t="s">
        <v>34</v>
      </c>
      <c r="T557" s="9" t="s">
        <v>1707</v>
      </c>
      <c r="U557" s="10" t="s">
        <v>1712</v>
      </c>
      <c r="V557" s="2" t="s">
        <v>53</v>
      </c>
      <c r="W557" s="2">
        <v>1</v>
      </c>
      <c r="X557" s="2" t="s">
        <v>36</v>
      </c>
      <c r="Y557" s="2">
        <v>2</v>
      </c>
      <c r="Z557" s="2" t="s">
        <v>82</v>
      </c>
    </row>
    <row r="558" spans="1:26" x14ac:dyDescent="0.35">
      <c r="A558" s="2" t="s">
        <v>1057</v>
      </c>
      <c r="B558" s="3">
        <v>46099</v>
      </c>
      <c r="C558" s="2" t="s">
        <v>1058</v>
      </c>
      <c r="D558" s="2" t="s">
        <v>62</v>
      </c>
      <c r="E558" s="2" t="s">
        <v>29</v>
      </c>
      <c r="F558" s="2">
        <v>41</v>
      </c>
      <c r="G558" s="2" t="s">
        <v>88</v>
      </c>
      <c r="H558" s="2" t="s">
        <v>49</v>
      </c>
      <c r="I558" s="2" t="s">
        <v>88</v>
      </c>
      <c r="J558" s="2" t="s">
        <v>58</v>
      </c>
      <c r="K558" s="2">
        <v>2</v>
      </c>
      <c r="L558" s="2">
        <v>36676</v>
      </c>
      <c r="M558" s="2">
        <v>10</v>
      </c>
      <c r="N558" s="2">
        <v>7335.2</v>
      </c>
      <c r="O558" s="2">
        <v>11883.02</v>
      </c>
      <c r="P558" s="2">
        <v>71</v>
      </c>
      <c r="Q558" s="2">
        <v>77970.820000000007</v>
      </c>
      <c r="R558" s="2" t="s">
        <v>43</v>
      </c>
      <c r="S558" s="2" t="s">
        <v>34</v>
      </c>
      <c r="T558" s="9" t="s">
        <v>1705</v>
      </c>
      <c r="U558" s="10" t="s">
        <v>1702</v>
      </c>
      <c r="V558" s="2" t="s">
        <v>53</v>
      </c>
      <c r="W558" s="2">
        <v>2</v>
      </c>
      <c r="X558" s="2" t="s">
        <v>44</v>
      </c>
      <c r="Y558" s="2">
        <v>4</v>
      </c>
      <c r="Z558" s="2" t="s">
        <v>82</v>
      </c>
    </row>
    <row r="559" spans="1:26" x14ac:dyDescent="0.35">
      <c r="A559" s="2" t="s">
        <v>1059</v>
      </c>
      <c r="B559" s="3">
        <v>45901</v>
      </c>
      <c r="C559" s="2" t="s">
        <v>902</v>
      </c>
      <c r="D559" s="2" t="s">
        <v>62</v>
      </c>
      <c r="E559" s="2" t="s">
        <v>29</v>
      </c>
      <c r="F559" s="2">
        <v>36</v>
      </c>
      <c r="G559" s="2" t="s">
        <v>81</v>
      </c>
      <c r="H559" s="2" t="s">
        <v>31</v>
      </c>
      <c r="I559" s="2" t="s">
        <v>81</v>
      </c>
      <c r="J559" s="2" t="s">
        <v>190</v>
      </c>
      <c r="K559" s="2">
        <v>3</v>
      </c>
      <c r="L559" s="2">
        <v>7820</v>
      </c>
      <c r="M559" s="2">
        <v>5</v>
      </c>
      <c r="N559" s="2">
        <v>1173</v>
      </c>
      <c r="O559" s="2">
        <v>4011.66</v>
      </c>
      <c r="P559" s="2">
        <v>161</v>
      </c>
      <c r="Q559" s="2">
        <v>26459.66</v>
      </c>
      <c r="R559" s="2" t="s">
        <v>33</v>
      </c>
      <c r="S559" s="2" t="s">
        <v>59</v>
      </c>
      <c r="T559" s="9" t="s">
        <v>1705</v>
      </c>
      <c r="U559" s="10" t="s">
        <v>1702</v>
      </c>
      <c r="V559" s="2" t="s">
        <v>53</v>
      </c>
      <c r="W559" s="2">
        <v>7</v>
      </c>
      <c r="X559" s="2" t="s">
        <v>36</v>
      </c>
      <c r="Y559" s="2">
        <v>5</v>
      </c>
      <c r="Z559" s="2" t="s">
        <v>44</v>
      </c>
    </row>
    <row r="560" spans="1:26" x14ac:dyDescent="0.35">
      <c r="A560" s="2" t="s">
        <v>1060</v>
      </c>
      <c r="B560" s="3">
        <v>45778</v>
      </c>
      <c r="C560" s="2" t="s">
        <v>663</v>
      </c>
      <c r="D560" s="2" t="s">
        <v>57</v>
      </c>
      <c r="E560" s="2" t="s">
        <v>41</v>
      </c>
      <c r="F560" s="2">
        <v>55</v>
      </c>
      <c r="G560" s="2" t="s">
        <v>88</v>
      </c>
      <c r="H560" s="2" t="s">
        <v>49</v>
      </c>
      <c r="I560" s="2" t="s">
        <v>88</v>
      </c>
      <c r="J560" s="2" t="s">
        <v>50</v>
      </c>
      <c r="K560" s="2">
        <v>2</v>
      </c>
      <c r="L560" s="2">
        <v>13342</v>
      </c>
      <c r="M560" s="2">
        <v>0</v>
      </c>
      <c r="N560" s="2">
        <v>0</v>
      </c>
      <c r="O560" s="2">
        <v>4803.12</v>
      </c>
      <c r="P560" s="2">
        <v>174</v>
      </c>
      <c r="Q560" s="2">
        <v>31661.119999999999</v>
      </c>
      <c r="R560" s="2" t="s">
        <v>43</v>
      </c>
      <c r="S560" s="2" t="s">
        <v>34</v>
      </c>
      <c r="T560" s="9" t="s">
        <v>1708</v>
      </c>
      <c r="U560" s="10" t="s">
        <v>52</v>
      </c>
      <c r="V560" s="2" t="s">
        <v>77</v>
      </c>
      <c r="W560" s="2">
        <v>4</v>
      </c>
      <c r="X560" s="2" t="s">
        <v>36</v>
      </c>
      <c r="Y560" s="2">
        <v>5</v>
      </c>
      <c r="Z560" s="2" t="s">
        <v>54</v>
      </c>
    </row>
    <row r="561" spans="1:26" x14ac:dyDescent="0.35">
      <c r="A561" s="2" t="s">
        <v>1061</v>
      </c>
      <c r="B561" s="3">
        <v>46075</v>
      </c>
      <c r="C561" s="2" t="s">
        <v>620</v>
      </c>
      <c r="D561" s="2" t="s">
        <v>28</v>
      </c>
      <c r="E561" s="2" t="s">
        <v>41</v>
      </c>
      <c r="F561" s="2">
        <v>60</v>
      </c>
      <c r="G561" s="2" t="s">
        <v>88</v>
      </c>
      <c r="H561" s="2" t="s">
        <v>49</v>
      </c>
      <c r="I561" s="2" t="s">
        <v>88</v>
      </c>
      <c r="J561" s="2" t="s">
        <v>32</v>
      </c>
      <c r="K561" s="2">
        <v>1</v>
      </c>
      <c r="L561" s="2">
        <v>22384</v>
      </c>
      <c r="M561" s="2">
        <v>0</v>
      </c>
      <c r="N561" s="2">
        <v>0</v>
      </c>
      <c r="O561" s="2">
        <v>4029.12</v>
      </c>
      <c r="P561" s="2">
        <v>175</v>
      </c>
      <c r="Q561" s="2">
        <v>26588.12</v>
      </c>
      <c r="R561" s="2" t="s">
        <v>33</v>
      </c>
      <c r="S561" s="2" t="s">
        <v>59</v>
      </c>
      <c r="T561" s="9" t="s">
        <v>1710</v>
      </c>
      <c r="U561" s="10" t="s">
        <v>1711</v>
      </c>
      <c r="V561" s="2" t="s">
        <v>53</v>
      </c>
      <c r="W561" s="2">
        <v>2</v>
      </c>
      <c r="X561" s="2" t="s">
        <v>44</v>
      </c>
      <c r="Y561" s="2">
        <v>2</v>
      </c>
      <c r="Z561" s="2" t="s">
        <v>44</v>
      </c>
    </row>
    <row r="562" spans="1:26" x14ac:dyDescent="0.35">
      <c r="A562" s="2" t="s">
        <v>1062</v>
      </c>
      <c r="B562" s="3">
        <v>45937</v>
      </c>
      <c r="C562" s="2" t="s">
        <v>1063</v>
      </c>
      <c r="D562" s="2" t="s">
        <v>62</v>
      </c>
      <c r="E562" s="2" t="s">
        <v>41</v>
      </c>
      <c r="F562" s="2">
        <v>45</v>
      </c>
      <c r="G562" s="2" t="s">
        <v>42</v>
      </c>
      <c r="H562" s="2" t="s">
        <v>31</v>
      </c>
      <c r="I562" s="2" t="s">
        <v>42</v>
      </c>
      <c r="J562" s="2" t="s">
        <v>190</v>
      </c>
      <c r="K562" s="2">
        <v>2</v>
      </c>
      <c r="L562" s="2">
        <v>22350</v>
      </c>
      <c r="M562" s="2">
        <v>0</v>
      </c>
      <c r="N562" s="2">
        <v>0</v>
      </c>
      <c r="O562" s="2">
        <v>8046</v>
      </c>
      <c r="P562" s="2">
        <v>119</v>
      </c>
      <c r="Q562" s="2">
        <v>52865</v>
      </c>
      <c r="R562" s="2" t="s">
        <v>51</v>
      </c>
      <c r="S562" s="2" t="s">
        <v>34</v>
      </c>
      <c r="T562" s="9" t="s">
        <v>1707</v>
      </c>
      <c r="U562" s="10" t="s">
        <v>1712</v>
      </c>
      <c r="V562" s="2" t="s">
        <v>53</v>
      </c>
      <c r="W562" s="2">
        <v>9</v>
      </c>
      <c r="X562" s="2" t="s">
        <v>44</v>
      </c>
      <c r="Y562" s="2">
        <v>3</v>
      </c>
      <c r="Z562" s="2" t="s">
        <v>54</v>
      </c>
    </row>
    <row r="563" spans="1:26" x14ac:dyDescent="0.35">
      <c r="A563" s="2" t="s">
        <v>1064</v>
      </c>
      <c r="B563" s="3">
        <v>45860</v>
      </c>
      <c r="C563" s="2" t="s">
        <v>144</v>
      </c>
      <c r="D563" s="2" t="s">
        <v>47</v>
      </c>
      <c r="E563" s="2" t="s">
        <v>41</v>
      </c>
      <c r="F563" s="2">
        <v>36</v>
      </c>
      <c r="G563" s="2" t="s">
        <v>42</v>
      </c>
      <c r="H563" s="2" t="s">
        <v>31</v>
      </c>
      <c r="I563" s="2" t="s">
        <v>42</v>
      </c>
      <c r="J563" s="2" t="s">
        <v>58</v>
      </c>
      <c r="K563" s="2">
        <v>1</v>
      </c>
      <c r="L563" s="2">
        <v>30336</v>
      </c>
      <c r="M563" s="2">
        <v>5</v>
      </c>
      <c r="N563" s="2">
        <v>1516.8</v>
      </c>
      <c r="O563" s="2">
        <v>5187.46</v>
      </c>
      <c r="P563" s="2">
        <v>83</v>
      </c>
      <c r="Q563" s="2">
        <v>34089.660000000003</v>
      </c>
      <c r="R563" s="2" t="s">
        <v>33</v>
      </c>
      <c r="S563" s="2" t="s">
        <v>34</v>
      </c>
      <c r="T563" s="9" t="s">
        <v>1710</v>
      </c>
      <c r="U563" s="10" t="s">
        <v>1711</v>
      </c>
      <c r="V563" s="2" t="s">
        <v>53</v>
      </c>
      <c r="W563" s="2">
        <v>9</v>
      </c>
      <c r="X563" s="2" t="s">
        <v>36</v>
      </c>
      <c r="Y563" s="2">
        <v>4</v>
      </c>
      <c r="Z563" s="2" t="s">
        <v>37</v>
      </c>
    </row>
    <row r="564" spans="1:26" x14ac:dyDescent="0.35">
      <c r="A564" s="2" t="s">
        <v>1065</v>
      </c>
      <c r="B564" s="3">
        <v>45872</v>
      </c>
      <c r="C564" s="2" t="s">
        <v>1066</v>
      </c>
      <c r="D564" s="2" t="s">
        <v>47</v>
      </c>
      <c r="E564" s="2" t="s">
        <v>29</v>
      </c>
      <c r="F564" s="2">
        <v>47</v>
      </c>
      <c r="G564" s="2" t="s">
        <v>85</v>
      </c>
      <c r="H564" s="2" t="s">
        <v>31</v>
      </c>
      <c r="I564" s="2" t="s">
        <v>85</v>
      </c>
      <c r="J564" s="2" t="s">
        <v>70</v>
      </c>
      <c r="K564" s="2">
        <v>5</v>
      </c>
      <c r="L564" s="2">
        <v>14793</v>
      </c>
      <c r="M564" s="2">
        <v>10</v>
      </c>
      <c r="N564" s="2">
        <v>7396.5</v>
      </c>
      <c r="O564" s="2">
        <v>11982.33</v>
      </c>
      <c r="P564" s="2">
        <v>384</v>
      </c>
      <c r="Q564" s="2">
        <v>78934.83</v>
      </c>
      <c r="R564" s="2" t="s">
        <v>76</v>
      </c>
      <c r="S564" s="2" t="s">
        <v>34</v>
      </c>
      <c r="T564" s="9" t="s">
        <v>1710</v>
      </c>
      <c r="U564" s="10" t="s">
        <v>1711</v>
      </c>
      <c r="V564" s="2" t="s">
        <v>53</v>
      </c>
      <c r="W564" s="2">
        <v>10</v>
      </c>
      <c r="X564" s="2" t="s">
        <v>44</v>
      </c>
      <c r="Y564" s="2">
        <v>3</v>
      </c>
      <c r="Z564" s="2" t="s">
        <v>82</v>
      </c>
    </row>
    <row r="565" spans="1:26" x14ac:dyDescent="0.35">
      <c r="A565" s="2" t="s">
        <v>1067</v>
      </c>
      <c r="B565" s="3">
        <v>45791</v>
      </c>
      <c r="C565" s="2" t="s">
        <v>1068</v>
      </c>
      <c r="D565" s="2" t="s">
        <v>40</v>
      </c>
      <c r="E565" s="2" t="s">
        <v>29</v>
      </c>
      <c r="F565" s="2">
        <v>33</v>
      </c>
      <c r="G565" s="2" t="s">
        <v>69</v>
      </c>
      <c r="H565" s="2" t="s">
        <v>31</v>
      </c>
      <c r="I565" s="2" t="s">
        <v>69</v>
      </c>
      <c r="J565" s="2" t="s">
        <v>100</v>
      </c>
      <c r="K565" s="2">
        <v>3</v>
      </c>
      <c r="L565" s="2">
        <v>38101</v>
      </c>
      <c r="M565" s="2">
        <v>10</v>
      </c>
      <c r="N565" s="2">
        <v>11430.3</v>
      </c>
      <c r="O565" s="2">
        <v>18517.09</v>
      </c>
      <c r="P565" s="2">
        <v>123</v>
      </c>
      <c r="Q565" s="2">
        <v>121512.79</v>
      </c>
      <c r="R565" s="2" t="s">
        <v>76</v>
      </c>
      <c r="S565" s="2" t="s">
        <v>59</v>
      </c>
      <c r="T565" s="9" t="s">
        <v>1709</v>
      </c>
      <c r="U565" s="10" t="s">
        <v>52</v>
      </c>
      <c r="V565" s="2" t="s">
        <v>53</v>
      </c>
      <c r="W565" s="2">
        <v>4</v>
      </c>
      <c r="X565" s="2" t="s">
        <v>36</v>
      </c>
      <c r="Y565" s="2">
        <v>1</v>
      </c>
      <c r="Z565" s="2" t="s">
        <v>82</v>
      </c>
    </row>
    <row r="566" spans="1:26" x14ac:dyDescent="0.35">
      <c r="A566" s="2" t="s">
        <v>1069</v>
      </c>
      <c r="B566" s="3">
        <v>45951</v>
      </c>
      <c r="C566" s="2" t="s">
        <v>189</v>
      </c>
      <c r="D566" s="2" t="s">
        <v>80</v>
      </c>
      <c r="E566" s="2" t="s">
        <v>29</v>
      </c>
      <c r="F566" s="2">
        <v>27</v>
      </c>
      <c r="G566" s="2" t="s">
        <v>63</v>
      </c>
      <c r="H566" s="2" t="s">
        <v>64</v>
      </c>
      <c r="I566" s="2" t="s">
        <v>63</v>
      </c>
      <c r="J566" s="2" t="s">
        <v>58</v>
      </c>
      <c r="K566" s="2">
        <v>2</v>
      </c>
      <c r="L566" s="2">
        <v>20386</v>
      </c>
      <c r="M566" s="2">
        <v>20</v>
      </c>
      <c r="N566" s="2">
        <v>8154.4</v>
      </c>
      <c r="O566" s="2">
        <v>5871.17</v>
      </c>
      <c r="P566" s="2">
        <v>48</v>
      </c>
      <c r="Q566" s="2">
        <v>38536.769999999997</v>
      </c>
      <c r="R566" s="2" t="s">
        <v>76</v>
      </c>
      <c r="S566" s="2" t="s">
        <v>59</v>
      </c>
      <c r="T566" s="9" t="s">
        <v>1704</v>
      </c>
      <c r="U566" s="10" t="s">
        <v>52</v>
      </c>
      <c r="V566" s="2" t="s">
        <v>35</v>
      </c>
      <c r="W566" s="2">
        <v>10</v>
      </c>
      <c r="X566" s="2" t="s">
        <v>36</v>
      </c>
      <c r="Y566" s="2">
        <v>1</v>
      </c>
      <c r="Z566" s="2" t="s">
        <v>82</v>
      </c>
    </row>
    <row r="567" spans="1:26" x14ac:dyDescent="0.35">
      <c r="A567" s="2" t="s">
        <v>1070</v>
      </c>
      <c r="B567" s="3">
        <v>46066</v>
      </c>
      <c r="C567" s="2" t="s">
        <v>255</v>
      </c>
      <c r="D567" s="2" t="s">
        <v>68</v>
      </c>
      <c r="E567" s="2" t="s">
        <v>29</v>
      </c>
      <c r="F567" s="2">
        <v>28</v>
      </c>
      <c r="G567" s="2" t="s">
        <v>81</v>
      </c>
      <c r="H567" s="2" t="s">
        <v>31</v>
      </c>
      <c r="I567" s="2" t="s">
        <v>81</v>
      </c>
      <c r="J567" s="2" t="s">
        <v>32</v>
      </c>
      <c r="K567" s="2">
        <v>2</v>
      </c>
      <c r="L567" s="2">
        <v>12947</v>
      </c>
      <c r="M567" s="2">
        <v>10</v>
      </c>
      <c r="N567" s="2">
        <v>2589.4</v>
      </c>
      <c r="O567" s="2">
        <v>4194.83</v>
      </c>
      <c r="P567" s="2">
        <v>401</v>
      </c>
      <c r="Q567" s="2">
        <v>27900.43</v>
      </c>
      <c r="R567" s="2" t="s">
        <v>51</v>
      </c>
      <c r="S567" s="2" t="s">
        <v>34</v>
      </c>
      <c r="T567" s="9" t="s">
        <v>1704</v>
      </c>
      <c r="U567" s="10" t="s">
        <v>52</v>
      </c>
      <c r="V567" s="2" t="s">
        <v>35</v>
      </c>
      <c r="W567" s="2">
        <v>1</v>
      </c>
      <c r="X567" s="2" t="s">
        <v>44</v>
      </c>
      <c r="Y567" s="2">
        <v>1</v>
      </c>
      <c r="Z567" s="2" t="s">
        <v>54</v>
      </c>
    </row>
    <row r="568" spans="1:26" x14ac:dyDescent="0.35">
      <c r="A568" s="2" t="s">
        <v>1071</v>
      </c>
      <c r="B568" s="3">
        <v>45993</v>
      </c>
      <c r="C568" s="2" t="s">
        <v>1072</v>
      </c>
      <c r="D568" s="2" t="s">
        <v>28</v>
      </c>
      <c r="E568" s="2" t="s">
        <v>41</v>
      </c>
      <c r="F568" s="2">
        <v>29</v>
      </c>
      <c r="G568" s="2" t="s">
        <v>63</v>
      </c>
      <c r="H568" s="2" t="s">
        <v>64</v>
      </c>
      <c r="I568" s="2" t="s">
        <v>63</v>
      </c>
      <c r="J568" s="2" t="s">
        <v>113</v>
      </c>
      <c r="K568" s="2">
        <v>1</v>
      </c>
      <c r="L568" s="2">
        <v>45669</v>
      </c>
      <c r="M568" s="2">
        <v>20</v>
      </c>
      <c r="N568" s="2">
        <v>9133.7999999999993</v>
      </c>
      <c r="O568" s="2">
        <v>6576.34</v>
      </c>
      <c r="P568" s="2">
        <v>84</v>
      </c>
      <c r="Q568" s="2">
        <v>43195.54</v>
      </c>
      <c r="R568" s="2" t="s">
        <v>76</v>
      </c>
      <c r="S568" s="2" t="s">
        <v>34</v>
      </c>
      <c r="T568" s="9" t="s">
        <v>1710</v>
      </c>
      <c r="U568" s="10" t="s">
        <v>1711</v>
      </c>
      <c r="V568" s="2" t="s">
        <v>53</v>
      </c>
      <c r="W568" s="2">
        <v>9</v>
      </c>
      <c r="X568" s="2" t="s">
        <v>44</v>
      </c>
      <c r="Y568" s="2">
        <v>1</v>
      </c>
      <c r="Z568" s="2" t="s">
        <v>54</v>
      </c>
    </row>
    <row r="569" spans="1:26" x14ac:dyDescent="0.35">
      <c r="A569" s="2" t="s">
        <v>1073</v>
      </c>
      <c r="B569" s="3">
        <v>45923</v>
      </c>
      <c r="C569" s="2" t="s">
        <v>1074</v>
      </c>
      <c r="D569" s="2" t="s">
        <v>62</v>
      </c>
      <c r="E569" s="2" t="s">
        <v>29</v>
      </c>
      <c r="F569" s="2">
        <v>27</v>
      </c>
      <c r="G569" s="2" t="s">
        <v>42</v>
      </c>
      <c r="H569" s="2" t="s">
        <v>31</v>
      </c>
      <c r="I569" s="2" t="s">
        <v>42</v>
      </c>
      <c r="J569" s="2" t="s">
        <v>138</v>
      </c>
      <c r="K569" s="2">
        <v>5</v>
      </c>
      <c r="L569" s="2">
        <v>32363</v>
      </c>
      <c r="M569" s="2">
        <v>15</v>
      </c>
      <c r="N569" s="2">
        <v>24272.25</v>
      </c>
      <c r="O569" s="2">
        <v>24757.69</v>
      </c>
      <c r="P569" s="2">
        <v>55</v>
      </c>
      <c r="Q569" s="2">
        <v>162355.45000000001</v>
      </c>
      <c r="R569" s="2" t="s">
        <v>33</v>
      </c>
      <c r="S569" s="2" t="s">
        <v>59</v>
      </c>
      <c r="T569" s="9" t="s">
        <v>1710</v>
      </c>
      <c r="U569" s="10" t="s">
        <v>1711</v>
      </c>
      <c r="V569" s="2" t="s">
        <v>53</v>
      </c>
      <c r="W569" s="2">
        <v>4</v>
      </c>
      <c r="X569" s="2" t="s">
        <v>44</v>
      </c>
      <c r="Y569" s="2">
        <v>3</v>
      </c>
      <c r="Z569" s="2" t="s">
        <v>37</v>
      </c>
    </row>
    <row r="570" spans="1:26" x14ac:dyDescent="0.35">
      <c r="A570" s="2" t="s">
        <v>1075</v>
      </c>
      <c r="B570" s="3">
        <v>45902</v>
      </c>
      <c r="C570" s="2" t="s">
        <v>1076</v>
      </c>
      <c r="D570" s="2" t="s">
        <v>96</v>
      </c>
      <c r="E570" s="2" t="s">
        <v>29</v>
      </c>
      <c r="F570" s="2">
        <v>18</v>
      </c>
      <c r="G570" s="2" t="s">
        <v>81</v>
      </c>
      <c r="H570" s="2" t="s">
        <v>31</v>
      </c>
      <c r="I570" s="2" t="s">
        <v>81</v>
      </c>
      <c r="J570" s="2" t="s">
        <v>190</v>
      </c>
      <c r="K570" s="2">
        <v>2</v>
      </c>
      <c r="L570" s="2">
        <v>26083</v>
      </c>
      <c r="M570" s="2">
        <v>5</v>
      </c>
      <c r="N570" s="2">
        <v>2608.3000000000002</v>
      </c>
      <c r="O570" s="2">
        <v>8920.39</v>
      </c>
      <c r="P570" s="2">
        <v>148</v>
      </c>
      <c r="Q570" s="2">
        <v>58626.09</v>
      </c>
      <c r="R570" s="2" t="s">
        <v>43</v>
      </c>
      <c r="S570" s="2" t="s">
        <v>34</v>
      </c>
      <c r="T570" s="9" t="s">
        <v>1709</v>
      </c>
      <c r="U570" s="10" t="s">
        <v>52</v>
      </c>
      <c r="V570" s="2" t="s">
        <v>53</v>
      </c>
      <c r="W570" s="2">
        <v>4</v>
      </c>
      <c r="X570" s="2" t="s">
        <v>36</v>
      </c>
      <c r="Y570" s="2">
        <v>2</v>
      </c>
      <c r="Z570" s="2" t="s">
        <v>37</v>
      </c>
    </row>
    <row r="571" spans="1:26" x14ac:dyDescent="0.35">
      <c r="A571" s="2" t="s">
        <v>1077</v>
      </c>
      <c r="B571" s="3">
        <v>46113</v>
      </c>
      <c r="C571" s="2" t="s">
        <v>480</v>
      </c>
      <c r="D571" s="2" t="s">
        <v>40</v>
      </c>
      <c r="E571" s="2" t="s">
        <v>41</v>
      </c>
      <c r="F571" s="2">
        <v>28</v>
      </c>
      <c r="G571" s="2" t="s">
        <v>81</v>
      </c>
      <c r="H571" s="2" t="s">
        <v>31</v>
      </c>
      <c r="I571" s="2" t="s">
        <v>81</v>
      </c>
      <c r="J571" s="2" t="s">
        <v>100</v>
      </c>
      <c r="K571" s="2">
        <v>4</v>
      </c>
      <c r="L571" s="2">
        <v>18529</v>
      </c>
      <c r="M571" s="2">
        <v>20</v>
      </c>
      <c r="N571" s="2">
        <v>14823.2</v>
      </c>
      <c r="O571" s="2">
        <v>10672.7</v>
      </c>
      <c r="P571" s="2">
        <v>326</v>
      </c>
      <c r="Q571" s="2">
        <v>70291.5</v>
      </c>
      <c r="R571" s="2" t="s">
        <v>33</v>
      </c>
      <c r="S571" s="2" t="s">
        <v>59</v>
      </c>
      <c r="T571" s="9" t="s">
        <v>1708</v>
      </c>
      <c r="U571" s="10" t="s">
        <v>52</v>
      </c>
      <c r="V571" s="2" t="s">
        <v>77</v>
      </c>
      <c r="W571" s="2">
        <v>10</v>
      </c>
      <c r="X571" s="2" t="s">
        <v>36</v>
      </c>
      <c r="Y571" s="2">
        <v>4</v>
      </c>
      <c r="Z571" s="2" t="s">
        <v>82</v>
      </c>
    </row>
    <row r="572" spans="1:26" x14ac:dyDescent="0.35">
      <c r="A572" s="2" t="s">
        <v>1078</v>
      </c>
      <c r="B572" s="3">
        <v>46038</v>
      </c>
      <c r="C572" s="2" t="s">
        <v>529</v>
      </c>
      <c r="D572" s="2" t="s">
        <v>68</v>
      </c>
      <c r="E572" s="2" t="s">
        <v>29</v>
      </c>
      <c r="F572" s="2">
        <v>22</v>
      </c>
      <c r="G572" s="2" t="s">
        <v>42</v>
      </c>
      <c r="H572" s="2" t="s">
        <v>31</v>
      </c>
      <c r="I572" s="2" t="s">
        <v>42</v>
      </c>
      <c r="J572" s="2" t="s">
        <v>32</v>
      </c>
      <c r="K572" s="2">
        <v>5</v>
      </c>
      <c r="L572" s="2">
        <v>48092</v>
      </c>
      <c r="M572" s="2">
        <v>0</v>
      </c>
      <c r="N572" s="2">
        <v>0</v>
      </c>
      <c r="O572" s="2">
        <v>43282.8</v>
      </c>
      <c r="P572" s="2">
        <v>210</v>
      </c>
      <c r="Q572" s="2">
        <v>283952.8</v>
      </c>
      <c r="R572" s="2" t="s">
        <v>51</v>
      </c>
      <c r="S572" s="2" t="s">
        <v>34</v>
      </c>
      <c r="T572" s="9" t="s">
        <v>1709</v>
      </c>
      <c r="U572" s="10" t="s">
        <v>52</v>
      </c>
      <c r="V572" s="2" t="s">
        <v>53</v>
      </c>
      <c r="W572" s="2">
        <v>3</v>
      </c>
      <c r="X572" s="2" t="s">
        <v>36</v>
      </c>
      <c r="Y572" s="2">
        <v>1</v>
      </c>
      <c r="Z572" s="2" t="s">
        <v>44</v>
      </c>
    </row>
    <row r="573" spans="1:26" x14ac:dyDescent="0.35">
      <c r="A573" s="2" t="s">
        <v>1079</v>
      </c>
      <c r="B573" s="3">
        <v>45975</v>
      </c>
      <c r="C573" s="2" t="s">
        <v>1006</v>
      </c>
      <c r="D573" s="2" t="s">
        <v>99</v>
      </c>
      <c r="E573" s="2" t="s">
        <v>41</v>
      </c>
      <c r="F573" s="2">
        <v>28</v>
      </c>
      <c r="G573" s="2" t="s">
        <v>48</v>
      </c>
      <c r="H573" s="2" t="s">
        <v>49</v>
      </c>
      <c r="I573" s="2" t="s">
        <v>48</v>
      </c>
      <c r="J573" s="2" t="s">
        <v>91</v>
      </c>
      <c r="K573" s="2">
        <v>1</v>
      </c>
      <c r="L573" s="2">
        <v>46450</v>
      </c>
      <c r="M573" s="2">
        <v>10</v>
      </c>
      <c r="N573" s="2">
        <v>4645</v>
      </c>
      <c r="O573" s="2">
        <v>7524.9</v>
      </c>
      <c r="P573" s="2">
        <v>11</v>
      </c>
      <c r="Q573" s="2">
        <v>49340.9</v>
      </c>
      <c r="R573" s="2" t="s">
        <v>51</v>
      </c>
      <c r="S573" s="2" t="s">
        <v>34</v>
      </c>
      <c r="T573" s="9" t="s">
        <v>1708</v>
      </c>
      <c r="U573" s="10" t="s">
        <v>52</v>
      </c>
      <c r="V573" s="2" t="s">
        <v>77</v>
      </c>
      <c r="W573" s="2">
        <v>8</v>
      </c>
      <c r="X573" s="2" t="s">
        <v>36</v>
      </c>
      <c r="Y573" s="2">
        <v>5</v>
      </c>
      <c r="Z573" s="2" t="s">
        <v>37</v>
      </c>
    </row>
    <row r="574" spans="1:26" x14ac:dyDescent="0.35">
      <c r="A574" s="2" t="s">
        <v>1080</v>
      </c>
      <c r="B574" s="3">
        <v>46041</v>
      </c>
      <c r="C574" s="2" t="s">
        <v>512</v>
      </c>
      <c r="D574" s="2" t="s">
        <v>96</v>
      </c>
      <c r="E574" s="2" t="s">
        <v>41</v>
      </c>
      <c r="F574" s="2">
        <v>19</v>
      </c>
      <c r="G574" s="2" t="s">
        <v>42</v>
      </c>
      <c r="H574" s="2" t="s">
        <v>31</v>
      </c>
      <c r="I574" s="2" t="s">
        <v>42</v>
      </c>
      <c r="J574" s="2" t="s">
        <v>50</v>
      </c>
      <c r="K574" s="2">
        <v>2</v>
      </c>
      <c r="L574" s="2">
        <v>7461</v>
      </c>
      <c r="M574" s="2">
        <v>5</v>
      </c>
      <c r="N574" s="2">
        <v>746.1</v>
      </c>
      <c r="O574" s="2">
        <v>2551.66</v>
      </c>
      <c r="P574" s="2">
        <v>462</v>
      </c>
      <c r="Q574" s="2">
        <v>17189.560000000001</v>
      </c>
      <c r="R574" s="2" t="s">
        <v>51</v>
      </c>
      <c r="S574" s="2" t="s">
        <v>59</v>
      </c>
      <c r="T574" s="9" t="s">
        <v>1708</v>
      </c>
      <c r="U574" s="10" t="s">
        <v>52</v>
      </c>
      <c r="V574" s="2" t="s">
        <v>77</v>
      </c>
      <c r="W574" s="2">
        <v>4</v>
      </c>
      <c r="X574" s="2" t="s">
        <v>44</v>
      </c>
      <c r="Y574" s="2">
        <v>5</v>
      </c>
      <c r="Z574" s="2" t="s">
        <v>82</v>
      </c>
    </row>
    <row r="575" spans="1:26" x14ac:dyDescent="0.35">
      <c r="A575" s="2" t="s">
        <v>1081</v>
      </c>
      <c r="B575" s="3">
        <v>45764</v>
      </c>
      <c r="C575" s="2" t="s">
        <v>246</v>
      </c>
      <c r="D575" s="2" t="s">
        <v>80</v>
      </c>
      <c r="E575" s="2" t="s">
        <v>29</v>
      </c>
      <c r="F575" s="2">
        <v>26</v>
      </c>
      <c r="G575" s="2" t="s">
        <v>85</v>
      </c>
      <c r="H575" s="2" t="s">
        <v>31</v>
      </c>
      <c r="I575" s="2" t="s">
        <v>85</v>
      </c>
      <c r="J575" s="2" t="s">
        <v>190</v>
      </c>
      <c r="K575" s="2">
        <v>4</v>
      </c>
      <c r="L575" s="2">
        <v>34693</v>
      </c>
      <c r="M575" s="2">
        <v>20</v>
      </c>
      <c r="N575" s="2">
        <v>27754.400000000001</v>
      </c>
      <c r="O575" s="2">
        <v>19983.169999999998</v>
      </c>
      <c r="P575" s="2">
        <v>92</v>
      </c>
      <c r="Q575" s="2">
        <v>131092.76999999999</v>
      </c>
      <c r="R575" s="2" t="s">
        <v>76</v>
      </c>
      <c r="S575" s="2" t="s">
        <v>34</v>
      </c>
      <c r="T575" s="9" t="s">
        <v>1703</v>
      </c>
      <c r="U575" s="10" t="s">
        <v>1701</v>
      </c>
      <c r="V575" s="2" t="s">
        <v>35</v>
      </c>
      <c r="W575" s="2">
        <v>6</v>
      </c>
      <c r="X575" s="2" t="s">
        <v>44</v>
      </c>
      <c r="Y575" s="2">
        <v>3</v>
      </c>
      <c r="Z575" s="2" t="s">
        <v>82</v>
      </c>
    </row>
    <row r="576" spans="1:26" x14ac:dyDescent="0.35">
      <c r="A576" s="2" t="s">
        <v>1082</v>
      </c>
      <c r="B576" s="3">
        <v>45875</v>
      </c>
      <c r="C576" s="2" t="s">
        <v>303</v>
      </c>
      <c r="D576" s="2" t="s">
        <v>47</v>
      </c>
      <c r="E576" s="2" t="s">
        <v>41</v>
      </c>
      <c r="F576" s="2">
        <v>29</v>
      </c>
      <c r="G576" s="2" t="s">
        <v>81</v>
      </c>
      <c r="H576" s="2" t="s">
        <v>31</v>
      </c>
      <c r="I576" s="2" t="s">
        <v>81</v>
      </c>
      <c r="J576" s="2" t="s">
        <v>100</v>
      </c>
      <c r="K576" s="2">
        <v>1</v>
      </c>
      <c r="L576" s="2">
        <v>32825</v>
      </c>
      <c r="M576" s="2">
        <v>10</v>
      </c>
      <c r="N576" s="2">
        <v>3282.5</v>
      </c>
      <c r="O576" s="2">
        <v>5317.65</v>
      </c>
      <c r="P576" s="2">
        <v>116</v>
      </c>
      <c r="Q576" s="2">
        <v>34976.15</v>
      </c>
      <c r="R576" s="2" t="s">
        <v>43</v>
      </c>
      <c r="S576" s="2" t="s">
        <v>59</v>
      </c>
      <c r="T576" s="9" t="s">
        <v>1710</v>
      </c>
      <c r="U576" s="10" t="s">
        <v>1711</v>
      </c>
      <c r="V576" s="2" t="s">
        <v>53</v>
      </c>
      <c r="W576" s="2">
        <v>7</v>
      </c>
      <c r="X576" s="2" t="s">
        <v>44</v>
      </c>
      <c r="Y576" s="2">
        <v>4</v>
      </c>
      <c r="Z576" s="2" t="s">
        <v>37</v>
      </c>
    </row>
    <row r="577" spans="1:26" x14ac:dyDescent="0.35">
      <c r="A577" s="2" t="s">
        <v>1083</v>
      </c>
      <c r="B577" s="3">
        <v>45786</v>
      </c>
      <c r="C577" s="2" t="s">
        <v>797</v>
      </c>
      <c r="D577" s="2" t="s">
        <v>40</v>
      </c>
      <c r="E577" s="2" t="s">
        <v>29</v>
      </c>
      <c r="F577" s="2">
        <v>33</v>
      </c>
      <c r="G577" s="2" t="s">
        <v>42</v>
      </c>
      <c r="H577" s="2" t="s">
        <v>31</v>
      </c>
      <c r="I577" s="2" t="s">
        <v>42</v>
      </c>
      <c r="J577" s="2" t="s">
        <v>100</v>
      </c>
      <c r="K577" s="2">
        <v>3</v>
      </c>
      <c r="L577" s="2">
        <v>10600</v>
      </c>
      <c r="M577" s="2">
        <v>20</v>
      </c>
      <c r="N577" s="2">
        <v>6360</v>
      </c>
      <c r="O577" s="2">
        <v>4579.2</v>
      </c>
      <c r="P577" s="2">
        <v>129</v>
      </c>
      <c r="Q577" s="2">
        <v>30148.2</v>
      </c>
      <c r="R577" s="2" t="s">
        <v>76</v>
      </c>
      <c r="S577" s="2" t="s">
        <v>34</v>
      </c>
      <c r="T577" s="9" t="s">
        <v>1705</v>
      </c>
      <c r="U577" s="10" t="s">
        <v>1702</v>
      </c>
      <c r="V577" s="2" t="s">
        <v>53</v>
      </c>
      <c r="W577" s="2">
        <v>10</v>
      </c>
      <c r="X577" s="2" t="s">
        <v>44</v>
      </c>
      <c r="Y577" s="2">
        <v>2</v>
      </c>
      <c r="Z577" s="2" t="s">
        <v>82</v>
      </c>
    </row>
    <row r="578" spans="1:26" x14ac:dyDescent="0.35">
      <c r="A578" s="2" t="s">
        <v>1084</v>
      </c>
      <c r="B578" s="3">
        <v>46008</v>
      </c>
      <c r="C578" s="2" t="s">
        <v>148</v>
      </c>
      <c r="D578" s="2" t="s">
        <v>57</v>
      </c>
      <c r="E578" s="2" t="s">
        <v>29</v>
      </c>
      <c r="F578" s="2">
        <v>50</v>
      </c>
      <c r="G578" s="2" t="s">
        <v>63</v>
      </c>
      <c r="H578" s="2" t="s">
        <v>64</v>
      </c>
      <c r="I578" s="2" t="s">
        <v>63</v>
      </c>
      <c r="J578" s="2" t="s">
        <v>50</v>
      </c>
      <c r="K578" s="2">
        <v>3</v>
      </c>
      <c r="L578" s="2">
        <v>36848</v>
      </c>
      <c r="M578" s="2">
        <v>5</v>
      </c>
      <c r="N578" s="2">
        <v>5527.2</v>
      </c>
      <c r="O578" s="2">
        <v>18903.02</v>
      </c>
      <c r="P578" s="2">
        <v>368</v>
      </c>
      <c r="Q578" s="2">
        <v>124287.82</v>
      </c>
      <c r="R578" s="2" t="s">
        <v>43</v>
      </c>
      <c r="S578" s="2" t="s">
        <v>59</v>
      </c>
      <c r="T578" s="9" t="s">
        <v>1705</v>
      </c>
      <c r="U578" s="10" t="s">
        <v>1702</v>
      </c>
      <c r="V578" s="2" t="s">
        <v>53</v>
      </c>
      <c r="W578" s="2">
        <v>3</v>
      </c>
      <c r="X578" s="2" t="s">
        <v>36</v>
      </c>
      <c r="Y578" s="2">
        <v>1</v>
      </c>
      <c r="Z578" s="2" t="s">
        <v>54</v>
      </c>
    </row>
    <row r="579" spans="1:26" x14ac:dyDescent="0.35">
      <c r="A579" s="2" t="s">
        <v>1085</v>
      </c>
      <c r="B579" s="3">
        <v>45936</v>
      </c>
      <c r="C579" s="2" t="s">
        <v>1086</v>
      </c>
      <c r="D579" s="2" t="s">
        <v>73</v>
      </c>
      <c r="E579" s="2" t="s">
        <v>41</v>
      </c>
      <c r="F579" s="2">
        <v>32</v>
      </c>
      <c r="G579" s="2" t="s">
        <v>63</v>
      </c>
      <c r="H579" s="2" t="s">
        <v>64</v>
      </c>
      <c r="I579" s="2" t="s">
        <v>63</v>
      </c>
      <c r="J579" s="2" t="s">
        <v>100</v>
      </c>
      <c r="K579" s="2">
        <v>3</v>
      </c>
      <c r="L579" s="2">
        <v>35709</v>
      </c>
      <c r="M579" s="2">
        <v>0</v>
      </c>
      <c r="N579" s="2">
        <v>0</v>
      </c>
      <c r="O579" s="2">
        <v>19282.86</v>
      </c>
      <c r="P579" s="2">
        <v>36</v>
      </c>
      <c r="Q579" s="2">
        <v>126445.86</v>
      </c>
      <c r="R579" s="2" t="s">
        <v>33</v>
      </c>
      <c r="S579" s="2" t="s">
        <v>34</v>
      </c>
      <c r="T579" s="9" t="s">
        <v>1710</v>
      </c>
      <c r="U579" s="10" t="s">
        <v>1711</v>
      </c>
      <c r="V579" s="2" t="s">
        <v>53</v>
      </c>
      <c r="W579" s="2">
        <v>7</v>
      </c>
      <c r="X579" s="2" t="s">
        <v>36</v>
      </c>
      <c r="Y579" s="2">
        <v>4</v>
      </c>
      <c r="Z579" s="2" t="s">
        <v>82</v>
      </c>
    </row>
    <row r="580" spans="1:26" x14ac:dyDescent="0.35">
      <c r="A580" s="2" t="s">
        <v>1087</v>
      </c>
      <c r="B580" s="3">
        <v>46070</v>
      </c>
      <c r="C580" s="2" t="s">
        <v>702</v>
      </c>
      <c r="D580" s="2" t="s">
        <v>57</v>
      </c>
      <c r="E580" s="2" t="s">
        <v>41</v>
      </c>
      <c r="F580" s="2">
        <v>27</v>
      </c>
      <c r="G580" s="2" t="s">
        <v>81</v>
      </c>
      <c r="H580" s="2" t="s">
        <v>31</v>
      </c>
      <c r="I580" s="2" t="s">
        <v>81</v>
      </c>
      <c r="J580" s="2" t="s">
        <v>113</v>
      </c>
      <c r="K580" s="2">
        <v>4</v>
      </c>
      <c r="L580" s="2">
        <v>20644</v>
      </c>
      <c r="M580" s="2">
        <v>5</v>
      </c>
      <c r="N580" s="2">
        <v>4128.8</v>
      </c>
      <c r="O580" s="2">
        <v>14120.5</v>
      </c>
      <c r="P580" s="2">
        <v>344</v>
      </c>
      <c r="Q580" s="2">
        <v>92911.7</v>
      </c>
      <c r="R580" s="2" t="s">
        <v>76</v>
      </c>
      <c r="S580" s="2" t="s">
        <v>59</v>
      </c>
      <c r="T580" s="9" t="s">
        <v>1706</v>
      </c>
      <c r="U580" s="10" t="s">
        <v>52</v>
      </c>
      <c r="V580" s="2" t="s">
        <v>53</v>
      </c>
      <c r="W580" s="2">
        <v>6</v>
      </c>
      <c r="X580" s="2" t="s">
        <v>36</v>
      </c>
      <c r="Y580" s="2">
        <v>3</v>
      </c>
      <c r="Z580" s="2" t="s">
        <v>82</v>
      </c>
    </row>
    <row r="581" spans="1:26" x14ac:dyDescent="0.35">
      <c r="A581" s="2" t="s">
        <v>1088</v>
      </c>
      <c r="B581" s="3">
        <v>46005</v>
      </c>
      <c r="C581" s="2" t="s">
        <v>1089</v>
      </c>
      <c r="D581" s="2" t="s">
        <v>40</v>
      </c>
      <c r="E581" s="2" t="s">
        <v>41</v>
      </c>
      <c r="F581" s="2">
        <v>40</v>
      </c>
      <c r="G581" s="2" t="s">
        <v>30</v>
      </c>
      <c r="H581" s="2" t="s">
        <v>31</v>
      </c>
      <c r="I581" s="2" t="s">
        <v>30</v>
      </c>
      <c r="J581" s="2" t="s">
        <v>138</v>
      </c>
      <c r="K581" s="2">
        <v>2</v>
      </c>
      <c r="L581" s="2">
        <v>6782</v>
      </c>
      <c r="M581" s="2">
        <v>10</v>
      </c>
      <c r="N581" s="2">
        <v>1356.4</v>
      </c>
      <c r="O581" s="2">
        <v>2197.37</v>
      </c>
      <c r="P581" s="2">
        <v>59</v>
      </c>
      <c r="Q581" s="2">
        <v>14463.97</v>
      </c>
      <c r="R581" s="2" t="s">
        <v>76</v>
      </c>
      <c r="S581" s="2" t="s">
        <v>34</v>
      </c>
      <c r="T581" s="9" t="s">
        <v>1709</v>
      </c>
      <c r="U581" s="10" t="s">
        <v>52</v>
      </c>
      <c r="V581" s="2" t="s">
        <v>53</v>
      </c>
      <c r="W581" s="2">
        <v>2</v>
      </c>
      <c r="X581" s="2" t="s">
        <v>36</v>
      </c>
      <c r="Y581" s="2">
        <v>1</v>
      </c>
      <c r="Z581" s="2" t="s">
        <v>37</v>
      </c>
    </row>
    <row r="582" spans="1:26" x14ac:dyDescent="0.35">
      <c r="A582" s="2" t="s">
        <v>1090</v>
      </c>
      <c r="B582" s="3">
        <v>46105</v>
      </c>
      <c r="C582" s="2" t="s">
        <v>1091</v>
      </c>
      <c r="D582" s="2" t="s">
        <v>40</v>
      </c>
      <c r="E582" s="2" t="s">
        <v>41</v>
      </c>
      <c r="F582" s="2">
        <v>33</v>
      </c>
      <c r="G582" s="2" t="s">
        <v>88</v>
      </c>
      <c r="H582" s="2" t="s">
        <v>49</v>
      </c>
      <c r="I582" s="2" t="s">
        <v>88</v>
      </c>
      <c r="J582" s="2" t="s">
        <v>113</v>
      </c>
      <c r="K582" s="2">
        <v>3</v>
      </c>
      <c r="L582" s="2">
        <v>30995</v>
      </c>
      <c r="M582" s="2">
        <v>5</v>
      </c>
      <c r="N582" s="2">
        <v>4649.25</v>
      </c>
      <c r="O582" s="2">
        <v>15900.43</v>
      </c>
      <c r="P582" s="2">
        <v>207</v>
      </c>
      <c r="Q582" s="2">
        <v>104443.18</v>
      </c>
      <c r="R582" s="2" t="s">
        <v>43</v>
      </c>
      <c r="S582" s="2" t="s">
        <v>59</v>
      </c>
      <c r="T582" s="9" t="s">
        <v>1705</v>
      </c>
      <c r="U582" s="10" t="s">
        <v>1702</v>
      </c>
      <c r="V582" s="2" t="s">
        <v>53</v>
      </c>
      <c r="W582" s="2">
        <v>6</v>
      </c>
      <c r="X582" s="2" t="s">
        <v>36</v>
      </c>
      <c r="Y582" s="2">
        <v>5</v>
      </c>
      <c r="Z582" s="2" t="s">
        <v>82</v>
      </c>
    </row>
    <row r="583" spans="1:26" x14ac:dyDescent="0.35">
      <c r="A583" s="2" t="s">
        <v>1092</v>
      </c>
      <c r="B583" s="3">
        <v>45929</v>
      </c>
      <c r="C583" s="2" t="s">
        <v>1093</v>
      </c>
      <c r="D583" s="2" t="s">
        <v>57</v>
      </c>
      <c r="E583" s="2" t="s">
        <v>41</v>
      </c>
      <c r="F583" s="2">
        <v>19</v>
      </c>
      <c r="G583" s="2" t="s">
        <v>42</v>
      </c>
      <c r="H583" s="2" t="s">
        <v>31</v>
      </c>
      <c r="I583" s="2" t="s">
        <v>42</v>
      </c>
      <c r="J583" s="2" t="s">
        <v>91</v>
      </c>
      <c r="K583" s="2">
        <v>1</v>
      </c>
      <c r="L583" s="2">
        <v>31065</v>
      </c>
      <c r="M583" s="2">
        <v>20</v>
      </c>
      <c r="N583" s="2">
        <v>6213</v>
      </c>
      <c r="O583" s="2">
        <v>4473.3599999999997</v>
      </c>
      <c r="P583" s="2">
        <v>485</v>
      </c>
      <c r="Q583" s="2">
        <v>29810.36</v>
      </c>
      <c r="R583" s="2" t="s">
        <v>43</v>
      </c>
      <c r="S583" s="2" t="s">
        <v>59</v>
      </c>
      <c r="T583" s="9" t="s">
        <v>1706</v>
      </c>
      <c r="U583" s="10" t="s">
        <v>52</v>
      </c>
      <c r="V583" s="2" t="s">
        <v>53</v>
      </c>
      <c r="W583" s="2">
        <v>8</v>
      </c>
      <c r="X583" s="2" t="s">
        <v>44</v>
      </c>
      <c r="Y583" s="2">
        <v>4</v>
      </c>
      <c r="Z583" s="2" t="s">
        <v>37</v>
      </c>
    </row>
    <row r="584" spans="1:26" x14ac:dyDescent="0.35">
      <c r="A584" s="2" t="s">
        <v>1094</v>
      </c>
      <c r="B584" s="3">
        <v>45797</v>
      </c>
      <c r="C584" s="2" t="s">
        <v>614</v>
      </c>
      <c r="D584" s="2" t="s">
        <v>47</v>
      </c>
      <c r="E584" s="2" t="s">
        <v>41</v>
      </c>
      <c r="F584" s="2">
        <v>23</v>
      </c>
      <c r="G584" s="2" t="s">
        <v>48</v>
      </c>
      <c r="H584" s="2" t="s">
        <v>49</v>
      </c>
      <c r="I584" s="2" t="s">
        <v>48</v>
      </c>
      <c r="J584" s="2" t="s">
        <v>100</v>
      </c>
      <c r="K584" s="2">
        <v>4</v>
      </c>
      <c r="L584" s="2">
        <v>25638</v>
      </c>
      <c r="M584" s="2">
        <v>5</v>
      </c>
      <c r="N584" s="2">
        <v>5127.6000000000004</v>
      </c>
      <c r="O584" s="2">
        <v>17536.39</v>
      </c>
      <c r="P584" s="2">
        <v>105</v>
      </c>
      <c r="Q584" s="2">
        <v>115065.79</v>
      </c>
      <c r="R584" s="2" t="s">
        <v>33</v>
      </c>
      <c r="S584" s="2" t="s">
        <v>59</v>
      </c>
      <c r="T584" s="9" t="s">
        <v>1706</v>
      </c>
      <c r="U584" s="10" t="s">
        <v>52</v>
      </c>
      <c r="V584" s="2" t="s">
        <v>53</v>
      </c>
      <c r="W584" s="2">
        <v>6</v>
      </c>
      <c r="X584" s="2" t="s">
        <v>36</v>
      </c>
      <c r="Y584" s="2">
        <v>5</v>
      </c>
      <c r="Z584" s="2" t="s">
        <v>82</v>
      </c>
    </row>
    <row r="585" spans="1:26" x14ac:dyDescent="0.35">
      <c r="A585" s="2" t="s">
        <v>1095</v>
      </c>
      <c r="B585" s="3">
        <v>45758</v>
      </c>
      <c r="C585" s="2" t="s">
        <v>933</v>
      </c>
      <c r="D585" s="2" t="s">
        <v>40</v>
      </c>
      <c r="E585" s="2" t="s">
        <v>41</v>
      </c>
      <c r="F585" s="2">
        <v>44</v>
      </c>
      <c r="G585" s="2" t="s">
        <v>48</v>
      </c>
      <c r="H585" s="2" t="s">
        <v>49</v>
      </c>
      <c r="I585" s="2" t="s">
        <v>48</v>
      </c>
      <c r="J585" s="2" t="s">
        <v>190</v>
      </c>
      <c r="K585" s="2">
        <v>3</v>
      </c>
      <c r="L585" s="2">
        <v>36997</v>
      </c>
      <c r="M585" s="2">
        <v>20</v>
      </c>
      <c r="N585" s="2">
        <v>22198.2</v>
      </c>
      <c r="O585" s="2">
        <v>15982.7</v>
      </c>
      <c r="P585" s="2">
        <v>276</v>
      </c>
      <c r="Q585" s="2">
        <v>105051.5</v>
      </c>
      <c r="R585" s="2" t="s">
        <v>33</v>
      </c>
      <c r="S585" s="2" t="s">
        <v>59</v>
      </c>
      <c r="T585" s="9" t="s">
        <v>1709</v>
      </c>
      <c r="U585" s="10" t="s">
        <v>52</v>
      </c>
      <c r="V585" s="2" t="s">
        <v>53</v>
      </c>
      <c r="W585" s="2">
        <v>7</v>
      </c>
      <c r="X585" s="2" t="s">
        <v>44</v>
      </c>
      <c r="Y585" s="2">
        <v>2</v>
      </c>
      <c r="Z585" s="2" t="s">
        <v>44</v>
      </c>
    </row>
    <row r="586" spans="1:26" x14ac:dyDescent="0.35">
      <c r="A586" s="2" t="s">
        <v>1096</v>
      </c>
      <c r="B586" s="3">
        <v>46066</v>
      </c>
      <c r="C586" s="2" t="s">
        <v>255</v>
      </c>
      <c r="D586" s="2" t="s">
        <v>57</v>
      </c>
      <c r="E586" s="2" t="s">
        <v>29</v>
      </c>
      <c r="F586" s="2">
        <v>57</v>
      </c>
      <c r="G586" s="2" t="s">
        <v>88</v>
      </c>
      <c r="H586" s="2" t="s">
        <v>49</v>
      </c>
      <c r="I586" s="2" t="s">
        <v>88</v>
      </c>
      <c r="J586" s="2" t="s">
        <v>113</v>
      </c>
      <c r="K586" s="2">
        <v>2</v>
      </c>
      <c r="L586" s="2">
        <v>22302</v>
      </c>
      <c r="M586" s="2">
        <v>0</v>
      </c>
      <c r="N586" s="2">
        <v>0</v>
      </c>
      <c r="O586" s="2">
        <v>8028.72</v>
      </c>
      <c r="P586" s="2">
        <v>137</v>
      </c>
      <c r="Q586" s="2">
        <v>52769.72</v>
      </c>
      <c r="R586" s="2" t="s">
        <v>76</v>
      </c>
      <c r="S586" s="2" t="s">
        <v>34</v>
      </c>
      <c r="T586" s="9" t="s">
        <v>1709</v>
      </c>
      <c r="U586" s="10" t="s">
        <v>52</v>
      </c>
      <c r="V586" s="2" t="s">
        <v>53</v>
      </c>
      <c r="W586" s="2">
        <v>9</v>
      </c>
      <c r="X586" s="2" t="s">
        <v>44</v>
      </c>
      <c r="Y586" s="2">
        <v>2</v>
      </c>
      <c r="Z586" s="2" t="s">
        <v>54</v>
      </c>
    </row>
    <row r="587" spans="1:26" x14ac:dyDescent="0.35">
      <c r="A587" s="2" t="s">
        <v>1097</v>
      </c>
      <c r="B587" s="3">
        <v>45887</v>
      </c>
      <c r="C587" s="2" t="s">
        <v>567</v>
      </c>
      <c r="D587" s="2" t="s">
        <v>28</v>
      </c>
      <c r="E587" s="2" t="s">
        <v>29</v>
      </c>
      <c r="F587" s="2">
        <v>54</v>
      </c>
      <c r="G587" s="2" t="s">
        <v>88</v>
      </c>
      <c r="H587" s="2" t="s">
        <v>49</v>
      </c>
      <c r="I587" s="2" t="s">
        <v>88</v>
      </c>
      <c r="J587" s="2" t="s">
        <v>65</v>
      </c>
      <c r="K587" s="2">
        <v>4</v>
      </c>
      <c r="L587" s="2">
        <v>27890</v>
      </c>
      <c r="M587" s="2">
        <v>5</v>
      </c>
      <c r="N587" s="2">
        <v>5578</v>
      </c>
      <c r="O587" s="2">
        <v>19076.759999999998</v>
      </c>
      <c r="P587" s="2">
        <v>263</v>
      </c>
      <c r="Q587" s="2">
        <v>125321.76</v>
      </c>
      <c r="R587" s="2" t="s">
        <v>76</v>
      </c>
      <c r="S587" s="2" t="s">
        <v>59</v>
      </c>
      <c r="T587" s="9" t="s">
        <v>1707</v>
      </c>
      <c r="U587" s="10" t="s">
        <v>1712</v>
      </c>
      <c r="V587" s="2" t="s">
        <v>53</v>
      </c>
      <c r="W587" s="2">
        <v>4</v>
      </c>
      <c r="X587" s="2" t="s">
        <v>36</v>
      </c>
      <c r="Y587" s="2">
        <v>5</v>
      </c>
      <c r="Z587" s="2" t="s">
        <v>82</v>
      </c>
    </row>
    <row r="588" spans="1:26" x14ac:dyDescent="0.35">
      <c r="A588" s="2" t="s">
        <v>1098</v>
      </c>
      <c r="B588" s="3">
        <v>46092</v>
      </c>
      <c r="C588" s="2" t="s">
        <v>1099</v>
      </c>
      <c r="D588" s="2" t="s">
        <v>47</v>
      </c>
      <c r="E588" s="2" t="s">
        <v>41</v>
      </c>
      <c r="F588" s="2">
        <v>43</v>
      </c>
      <c r="G588" s="2" t="s">
        <v>88</v>
      </c>
      <c r="H588" s="2" t="s">
        <v>49</v>
      </c>
      <c r="I588" s="2" t="s">
        <v>88</v>
      </c>
      <c r="J588" s="2" t="s">
        <v>50</v>
      </c>
      <c r="K588" s="2">
        <v>1</v>
      </c>
      <c r="L588" s="2">
        <v>3325</v>
      </c>
      <c r="M588" s="2">
        <v>15</v>
      </c>
      <c r="N588" s="2">
        <v>498.75</v>
      </c>
      <c r="O588" s="2">
        <v>508.72</v>
      </c>
      <c r="P588" s="2">
        <v>182</v>
      </c>
      <c r="Q588" s="2">
        <v>3516.97</v>
      </c>
      <c r="R588" s="2" t="s">
        <v>33</v>
      </c>
      <c r="S588" s="2" t="s">
        <v>59</v>
      </c>
      <c r="T588" s="9" t="s">
        <v>1710</v>
      </c>
      <c r="U588" s="10" t="s">
        <v>1711</v>
      </c>
      <c r="V588" s="2" t="s">
        <v>53</v>
      </c>
      <c r="W588" s="2">
        <v>6</v>
      </c>
      <c r="X588" s="2" t="s">
        <v>44</v>
      </c>
      <c r="Y588" s="2">
        <v>5</v>
      </c>
      <c r="Z588" s="2" t="s">
        <v>44</v>
      </c>
    </row>
    <row r="589" spans="1:26" x14ac:dyDescent="0.35">
      <c r="A589" s="2" t="s">
        <v>1100</v>
      </c>
      <c r="B589" s="3">
        <v>45841</v>
      </c>
      <c r="C589" s="2" t="s">
        <v>618</v>
      </c>
      <c r="D589" s="2" t="s">
        <v>68</v>
      </c>
      <c r="E589" s="2" t="s">
        <v>41</v>
      </c>
      <c r="F589" s="2">
        <v>42</v>
      </c>
      <c r="G589" s="2" t="s">
        <v>42</v>
      </c>
      <c r="H589" s="2" t="s">
        <v>31</v>
      </c>
      <c r="I589" s="2" t="s">
        <v>42</v>
      </c>
      <c r="J589" s="2" t="s">
        <v>190</v>
      </c>
      <c r="K589" s="2">
        <v>1</v>
      </c>
      <c r="L589" s="2">
        <v>46035</v>
      </c>
      <c r="M589" s="2">
        <v>0</v>
      </c>
      <c r="N589" s="2">
        <v>0</v>
      </c>
      <c r="O589" s="2">
        <v>8286.2999999999993</v>
      </c>
      <c r="P589" s="2">
        <v>39</v>
      </c>
      <c r="Q589" s="2">
        <v>54360.3</v>
      </c>
      <c r="R589" s="2" t="s">
        <v>33</v>
      </c>
      <c r="S589" s="2" t="s">
        <v>59</v>
      </c>
      <c r="T589" s="9" t="s">
        <v>1708</v>
      </c>
      <c r="U589" s="10" t="s">
        <v>52</v>
      </c>
      <c r="V589" s="2" t="s">
        <v>77</v>
      </c>
      <c r="W589" s="2">
        <v>2</v>
      </c>
      <c r="X589" s="2" t="s">
        <v>36</v>
      </c>
      <c r="Y589" s="2">
        <v>2</v>
      </c>
      <c r="Z589" s="2" t="s">
        <v>44</v>
      </c>
    </row>
    <row r="590" spans="1:26" x14ac:dyDescent="0.35">
      <c r="A590" s="2" t="s">
        <v>1101</v>
      </c>
      <c r="B590" s="3">
        <v>45905</v>
      </c>
      <c r="C590" s="2" t="s">
        <v>1102</v>
      </c>
      <c r="D590" s="2" t="s">
        <v>80</v>
      </c>
      <c r="E590" s="2" t="s">
        <v>41</v>
      </c>
      <c r="F590" s="2">
        <v>26</v>
      </c>
      <c r="G590" s="2" t="s">
        <v>42</v>
      </c>
      <c r="H590" s="2" t="s">
        <v>31</v>
      </c>
      <c r="I590" s="2" t="s">
        <v>42</v>
      </c>
      <c r="J590" s="2" t="s">
        <v>65</v>
      </c>
      <c r="K590" s="2">
        <v>4</v>
      </c>
      <c r="L590" s="2">
        <v>43793</v>
      </c>
      <c r="M590" s="2">
        <v>0</v>
      </c>
      <c r="N590" s="2">
        <v>0</v>
      </c>
      <c r="O590" s="2">
        <v>31530.959999999999</v>
      </c>
      <c r="P590" s="2">
        <v>187</v>
      </c>
      <c r="Q590" s="2">
        <v>206889.96</v>
      </c>
      <c r="R590" s="2" t="s">
        <v>33</v>
      </c>
      <c r="S590" s="2" t="s">
        <v>59</v>
      </c>
      <c r="T590" s="9" t="s">
        <v>1710</v>
      </c>
      <c r="U590" s="10" t="s">
        <v>1711</v>
      </c>
      <c r="V590" s="2" t="s">
        <v>53</v>
      </c>
      <c r="W590" s="2">
        <v>2</v>
      </c>
      <c r="X590" s="2" t="s">
        <v>36</v>
      </c>
      <c r="Y590" s="2">
        <v>5</v>
      </c>
      <c r="Z590" s="2" t="s">
        <v>44</v>
      </c>
    </row>
    <row r="591" spans="1:26" x14ac:dyDescent="0.35">
      <c r="A591" s="2" t="s">
        <v>1103</v>
      </c>
      <c r="B591" s="3">
        <v>45950</v>
      </c>
      <c r="C591" s="2" t="s">
        <v>301</v>
      </c>
      <c r="D591" s="2" t="s">
        <v>73</v>
      </c>
      <c r="E591" s="2" t="s">
        <v>41</v>
      </c>
      <c r="F591" s="2">
        <v>51</v>
      </c>
      <c r="G591" s="2" t="s">
        <v>48</v>
      </c>
      <c r="H591" s="2" t="s">
        <v>49</v>
      </c>
      <c r="I591" s="2" t="s">
        <v>48</v>
      </c>
      <c r="J591" s="2" t="s">
        <v>70</v>
      </c>
      <c r="K591" s="2">
        <v>1</v>
      </c>
      <c r="L591" s="2">
        <v>36558</v>
      </c>
      <c r="M591" s="2">
        <v>10</v>
      </c>
      <c r="N591" s="2">
        <v>3655.8</v>
      </c>
      <c r="O591" s="2">
        <v>5922.4</v>
      </c>
      <c r="P591" s="2">
        <v>204</v>
      </c>
      <c r="Q591" s="2">
        <v>39028.6</v>
      </c>
      <c r="R591" s="2" t="s">
        <v>33</v>
      </c>
      <c r="S591" s="2" t="s">
        <v>34</v>
      </c>
      <c r="T591" s="9" t="s">
        <v>1710</v>
      </c>
      <c r="U591" s="10" t="s">
        <v>1711</v>
      </c>
      <c r="V591" s="2" t="s">
        <v>53</v>
      </c>
      <c r="W591" s="2">
        <v>10</v>
      </c>
      <c r="X591" s="2" t="s">
        <v>44</v>
      </c>
      <c r="Y591" s="2">
        <v>2</v>
      </c>
      <c r="Z591" s="2" t="s">
        <v>37</v>
      </c>
    </row>
    <row r="592" spans="1:26" x14ac:dyDescent="0.35">
      <c r="A592" s="2" t="s">
        <v>1104</v>
      </c>
      <c r="B592" s="3">
        <v>46039</v>
      </c>
      <c r="C592" s="2" t="s">
        <v>344</v>
      </c>
      <c r="D592" s="2" t="s">
        <v>62</v>
      </c>
      <c r="E592" s="2" t="s">
        <v>29</v>
      </c>
      <c r="F592" s="2">
        <v>22</v>
      </c>
      <c r="G592" s="2" t="s">
        <v>69</v>
      </c>
      <c r="H592" s="2" t="s">
        <v>31</v>
      </c>
      <c r="I592" s="2" t="s">
        <v>69</v>
      </c>
      <c r="J592" s="2" t="s">
        <v>70</v>
      </c>
      <c r="K592" s="2">
        <v>1</v>
      </c>
      <c r="L592" s="2">
        <v>11976</v>
      </c>
      <c r="M592" s="2">
        <v>10</v>
      </c>
      <c r="N592" s="2">
        <v>1197.5999999999999</v>
      </c>
      <c r="O592" s="2">
        <v>1940.11</v>
      </c>
      <c r="P592" s="2">
        <v>188</v>
      </c>
      <c r="Q592" s="2">
        <v>12906.51</v>
      </c>
      <c r="R592" s="2" t="s">
        <v>76</v>
      </c>
      <c r="S592" s="2" t="s">
        <v>59</v>
      </c>
      <c r="T592" s="9" t="s">
        <v>1704</v>
      </c>
      <c r="U592" s="10" t="s">
        <v>52</v>
      </c>
      <c r="V592" s="2" t="s">
        <v>35</v>
      </c>
      <c r="W592" s="2">
        <v>9</v>
      </c>
      <c r="X592" s="2" t="s">
        <v>44</v>
      </c>
      <c r="Y592" s="2">
        <v>3</v>
      </c>
      <c r="Z592" s="2" t="s">
        <v>82</v>
      </c>
    </row>
    <row r="593" spans="1:26" x14ac:dyDescent="0.35">
      <c r="A593" s="2" t="s">
        <v>1105</v>
      </c>
      <c r="B593" s="3">
        <v>45773</v>
      </c>
      <c r="C593" s="2" t="s">
        <v>1106</v>
      </c>
      <c r="D593" s="2" t="s">
        <v>57</v>
      </c>
      <c r="E593" s="2" t="s">
        <v>41</v>
      </c>
      <c r="F593" s="2">
        <v>33</v>
      </c>
      <c r="G593" s="2" t="s">
        <v>69</v>
      </c>
      <c r="H593" s="2" t="s">
        <v>31</v>
      </c>
      <c r="I593" s="2" t="s">
        <v>69</v>
      </c>
      <c r="J593" s="2" t="s">
        <v>65</v>
      </c>
      <c r="K593" s="2">
        <v>2</v>
      </c>
      <c r="L593" s="2">
        <v>30404</v>
      </c>
      <c r="M593" s="2">
        <v>15</v>
      </c>
      <c r="N593" s="2">
        <v>9121.2000000000007</v>
      </c>
      <c r="O593" s="2">
        <v>9303.6200000000008</v>
      </c>
      <c r="P593" s="2">
        <v>243</v>
      </c>
      <c r="Q593" s="2">
        <v>61233.42</v>
      </c>
      <c r="R593" s="2" t="s">
        <v>51</v>
      </c>
      <c r="S593" s="2" t="s">
        <v>59</v>
      </c>
      <c r="T593" s="9" t="s">
        <v>1708</v>
      </c>
      <c r="U593" s="10" t="s">
        <v>52</v>
      </c>
      <c r="V593" s="2" t="s">
        <v>77</v>
      </c>
      <c r="W593" s="2">
        <v>6</v>
      </c>
      <c r="X593" s="2" t="s">
        <v>44</v>
      </c>
      <c r="Y593" s="2">
        <v>2</v>
      </c>
      <c r="Z593" s="2" t="s">
        <v>44</v>
      </c>
    </row>
    <row r="594" spans="1:26" x14ac:dyDescent="0.35">
      <c r="A594" s="2" t="s">
        <v>1107</v>
      </c>
      <c r="B594" s="3">
        <v>46007</v>
      </c>
      <c r="C594" s="2" t="s">
        <v>1054</v>
      </c>
      <c r="D594" s="2" t="s">
        <v>99</v>
      </c>
      <c r="E594" s="2" t="s">
        <v>41</v>
      </c>
      <c r="F594" s="2">
        <v>35</v>
      </c>
      <c r="G594" s="2" t="s">
        <v>122</v>
      </c>
      <c r="H594" s="2" t="s">
        <v>31</v>
      </c>
      <c r="I594" s="2" t="s">
        <v>122</v>
      </c>
      <c r="J594" s="2" t="s">
        <v>58</v>
      </c>
      <c r="K594" s="2">
        <v>5</v>
      </c>
      <c r="L594" s="2">
        <v>19190</v>
      </c>
      <c r="M594" s="2">
        <v>15</v>
      </c>
      <c r="N594" s="2">
        <v>14392.5</v>
      </c>
      <c r="O594" s="2">
        <v>14680.35</v>
      </c>
      <c r="P594" s="2">
        <v>285</v>
      </c>
      <c r="Q594" s="2">
        <v>96522.85</v>
      </c>
      <c r="R594" s="2" t="s">
        <v>51</v>
      </c>
      <c r="S594" s="2" t="s">
        <v>59</v>
      </c>
      <c r="T594" s="9" t="s">
        <v>1708</v>
      </c>
      <c r="U594" s="10" t="s">
        <v>52</v>
      </c>
      <c r="V594" s="2" t="s">
        <v>77</v>
      </c>
      <c r="W594" s="2">
        <v>2</v>
      </c>
      <c r="X594" s="2" t="s">
        <v>44</v>
      </c>
      <c r="Y594" s="2">
        <v>2</v>
      </c>
      <c r="Z594" s="2" t="s">
        <v>54</v>
      </c>
    </row>
    <row r="595" spans="1:26" x14ac:dyDescent="0.35">
      <c r="A595" s="2" t="s">
        <v>1108</v>
      </c>
      <c r="B595" s="3">
        <v>45909</v>
      </c>
      <c r="C595" s="2" t="s">
        <v>811</v>
      </c>
      <c r="D595" s="2" t="s">
        <v>68</v>
      </c>
      <c r="E595" s="2" t="s">
        <v>41</v>
      </c>
      <c r="F595" s="2">
        <v>44</v>
      </c>
      <c r="G595" s="2" t="s">
        <v>81</v>
      </c>
      <c r="H595" s="2" t="s">
        <v>31</v>
      </c>
      <c r="I595" s="2" t="s">
        <v>81</v>
      </c>
      <c r="J595" s="2" t="s">
        <v>138</v>
      </c>
      <c r="K595" s="2">
        <v>2</v>
      </c>
      <c r="L595" s="2">
        <v>13865</v>
      </c>
      <c r="M595" s="2">
        <v>15</v>
      </c>
      <c r="N595" s="2">
        <v>4159.5</v>
      </c>
      <c r="O595" s="2">
        <v>4242.6899999999996</v>
      </c>
      <c r="P595" s="2">
        <v>362</v>
      </c>
      <c r="Q595" s="2">
        <v>28175.19</v>
      </c>
      <c r="R595" s="2" t="s">
        <v>33</v>
      </c>
      <c r="S595" s="2" t="s">
        <v>59</v>
      </c>
      <c r="T595" s="9" t="s">
        <v>1709</v>
      </c>
      <c r="U595" s="10" t="s">
        <v>52</v>
      </c>
      <c r="V595" s="2" t="s">
        <v>53</v>
      </c>
      <c r="W595" s="2">
        <v>4</v>
      </c>
      <c r="X595" s="2" t="s">
        <v>36</v>
      </c>
      <c r="Y595" s="2">
        <v>1</v>
      </c>
      <c r="Z595" s="2" t="s">
        <v>54</v>
      </c>
    </row>
    <row r="596" spans="1:26" x14ac:dyDescent="0.35">
      <c r="A596" s="2" t="s">
        <v>1109</v>
      </c>
      <c r="B596" s="3">
        <v>46058</v>
      </c>
      <c r="C596" s="2" t="s">
        <v>381</v>
      </c>
      <c r="D596" s="2" t="s">
        <v>73</v>
      </c>
      <c r="E596" s="2" t="s">
        <v>41</v>
      </c>
      <c r="F596" s="2">
        <v>20</v>
      </c>
      <c r="G596" s="2" t="s">
        <v>85</v>
      </c>
      <c r="H596" s="2" t="s">
        <v>31</v>
      </c>
      <c r="I596" s="2" t="s">
        <v>85</v>
      </c>
      <c r="J596" s="2" t="s">
        <v>70</v>
      </c>
      <c r="K596" s="2">
        <v>5</v>
      </c>
      <c r="L596" s="2">
        <v>45732</v>
      </c>
      <c r="M596" s="2">
        <v>20</v>
      </c>
      <c r="N596" s="2">
        <v>45732</v>
      </c>
      <c r="O596" s="2">
        <v>32927.040000000001</v>
      </c>
      <c r="P596" s="2">
        <v>346</v>
      </c>
      <c r="Q596" s="2">
        <v>216201.04</v>
      </c>
      <c r="R596" s="2" t="s">
        <v>51</v>
      </c>
      <c r="S596" s="2" t="s">
        <v>34</v>
      </c>
      <c r="T596" s="9" t="s">
        <v>1707</v>
      </c>
      <c r="U596" s="10" t="s">
        <v>1712</v>
      </c>
      <c r="V596" s="2" t="s">
        <v>53</v>
      </c>
      <c r="W596" s="2">
        <v>6</v>
      </c>
      <c r="X596" s="2" t="s">
        <v>36</v>
      </c>
      <c r="Y596" s="2">
        <v>5</v>
      </c>
      <c r="Z596" s="2" t="s">
        <v>54</v>
      </c>
    </row>
    <row r="597" spans="1:26" x14ac:dyDescent="0.35">
      <c r="A597" s="2" t="s">
        <v>1110</v>
      </c>
      <c r="B597" s="3">
        <v>45827</v>
      </c>
      <c r="C597" s="2" t="s">
        <v>1111</v>
      </c>
      <c r="D597" s="2" t="s">
        <v>73</v>
      </c>
      <c r="E597" s="2" t="s">
        <v>29</v>
      </c>
      <c r="F597" s="2">
        <v>37</v>
      </c>
      <c r="G597" s="2" t="s">
        <v>122</v>
      </c>
      <c r="H597" s="2" t="s">
        <v>31</v>
      </c>
      <c r="I597" s="2" t="s">
        <v>122</v>
      </c>
      <c r="J597" s="2" t="s">
        <v>50</v>
      </c>
      <c r="K597" s="2">
        <v>3</v>
      </c>
      <c r="L597" s="2">
        <v>13690</v>
      </c>
      <c r="M597" s="2">
        <v>0</v>
      </c>
      <c r="N597" s="2">
        <v>0</v>
      </c>
      <c r="O597" s="2">
        <v>7392.6</v>
      </c>
      <c r="P597" s="2">
        <v>496</v>
      </c>
      <c r="Q597" s="2">
        <v>48958.6</v>
      </c>
      <c r="R597" s="2" t="s">
        <v>33</v>
      </c>
      <c r="S597" s="2" t="s">
        <v>34</v>
      </c>
      <c r="T597" s="9" t="s">
        <v>1705</v>
      </c>
      <c r="U597" s="10" t="s">
        <v>1702</v>
      </c>
      <c r="V597" s="2" t="s">
        <v>53</v>
      </c>
      <c r="W597" s="2">
        <v>8</v>
      </c>
      <c r="X597" s="2" t="s">
        <v>36</v>
      </c>
      <c r="Y597" s="2">
        <v>4</v>
      </c>
      <c r="Z597" s="2" t="s">
        <v>82</v>
      </c>
    </row>
    <row r="598" spans="1:26" x14ac:dyDescent="0.35">
      <c r="A598" s="2" t="s">
        <v>1112</v>
      </c>
      <c r="B598" s="3">
        <v>46063</v>
      </c>
      <c r="C598" s="2" t="s">
        <v>1113</v>
      </c>
      <c r="D598" s="2" t="s">
        <v>96</v>
      </c>
      <c r="E598" s="2" t="s">
        <v>29</v>
      </c>
      <c r="F598" s="2">
        <v>47</v>
      </c>
      <c r="G598" s="2" t="s">
        <v>85</v>
      </c>
      <c r="H598" s="2" t="s">
        <v>31</v>
      </c>
      <c r="I598" s="2" t="s">
        <v>85</v>
      </c>
      <c r="J598" s="2" t="s">
        <v>138</v>
      </c>
      <c r="K598" s="2">
        <v>5</v>
      </c>
      <c r="L598" s="2">
        <v>35073</v>
      </c>
      <c r="M598" s="2">
        <v>5</v>
      </c>
      <c r="N598" s="2">
        <v>8768.25</v>
      </c>
      <c r="O598" s="2">
        <v>29987.41</v>
      </c>
      <c r="P598" s="2">
        <v>32</v>
      </c>
      <c r="Q598" s="2">
        <v>196616.17</v>
      </c>
      <c r="R598" s="2" t="s">
        <v>76</v>
      </c>
      <c r="S598" s="2" t="s">
        <v>34</v>
      </c>
      <c r="T598" s="9" t="s">
        <v>1704</v>
      </c>
      <c r="U598" s="10" t="s">
        <v>52</v>
      </c>
      <c r="V598" s="2" t="s">
        <v>35</v>
      </c>
      <c r="W598" s="2">
        <v>1</v>
      </c>
      <c r="X598" s="2" t="s">
        <v>44</v>
      </c>
      <c r="Y598" s="2">
        <v>5</v>
      </c>
      <c r="Z598" s="2" t="s">
        <v>37</v>
      </c>
    </row>
    <row r="599" spans="1:26" x14ac:dyDescent="0.35">
      <c r="A599" s="2" t="s">
        <v>1114</v>
      </c>
      <c r="B599" s="3">
        <v>45910</v>
      </c>
      <c r="C599" s="2" t="s">
        <v>969</v>
      </c>
      <c r="D599" s="2" t="s">
        <v>47</v>
      </c>
      <c r="E599" s="2" t="s">
        <v>29</v>
      </c>
      <c r="F599" s="2">
        <v>56</v>
      </c>
      <c r="G599" s="2" t="s">
        <v>85</v>
      </c>
      <c r="H599" s="2" t="s">
        <v>31</v>
      </c>
      <c r="I599" s="2" t="s">
        <v>85</v>
      </c>
      <c r="J599" s="2" t="s">
        <v>91</v>
      </c>
      <c r="K599" s="2">
        <v>2</v>
      </c>
      <c r="L599" s="2">
        <v>24176</v>
      </c>
      <c r="M599" s="2">
        <v>20</v>
      </c>
      <c r="N599" s="2">
        <v>9670.4</v>
      </c>
      <c r="O599" s="2">
        <v>6962.69</v>
      </c>
      <c r="P599" s="2">
        <v>241</v>
      </c>
      <c r="Q599" s="2">
        <v>45885.29</v>
      </c>
      <c r="R599" s="2" t="s">
        <v>33</v>
      </c>
      <c r="S599" s="2" t="s">
        <v>34</v>
      </c>
      <c r="T599" s="9" t="s">
        <v>1708</v>
      </c>
      <c r="U599" s="10" t="s">
        <v>52</v>
      </c>
      <c r="V599" s="2" t="s">
        <v>77</v>
      </c>
      <c r="W599" s="2">
        <v>10</v>
      </c>
      <c r="X599" s="2" t="s">
        <v>44</v>
      </c>
      <c r="Y599" s="2">
        <v>3</v>
      </c>
      <c r="Z599" s="2" t="s">
        <v>82</v>
      </c>
    </row>
    <row r="600" spans="1:26" x14ac:dyDescent="0.35">
      <c r="A600" s="2" t="s">
        <v>1115</v>
      </c>
      <c r="B600" s="3">
        <v>45766</v>
      </c>
      <c r="C600" s="2" t="s">
        <v>1116</v>
      </c>
      <c r="D600" s="2" t="s">
        <v>96</v>
      </c>
      <c r="E600" s="2" t="s">
        <v>29</v>
      </c>
      <c r="F600" s="2">
        <v>28</v>
      </c>
      <c r="G600" s="2" t="s">
        <v>122</v>
      </c>
      <c r="H600" s="2" t="s">
        <v>31</v>
      </c>
      <c r="I600" s="2" t="s">
        <v>122</v>
      </c>
      <c r="J600" s="2" t="s">
        <v>190</v>
      </c>
      <c r="K600" s="2">
        <v>4</v>
      </c>
      <c r="L600" s="2">
        <v>3776</v>
      </c>
      <c r="M600" s="2">
        <v>5</v>
      </c>
      <c r="N600" s="2">
        <v>755.2</v>
      </c>
      <c r="O600" s="2">
        <v>2582.7800000000002</v>
      </c>
      <c r="P600" s="2">
        <v>358</v>
      </c>
      <c r="Q600" s="2">
        <v>17289.580000000002</v>
      </c>
      <c r="R600" s="2" t="s">
        <v>51</v>
      </c>
      <c r="S600" s="2" t="s">
        <v>34</v>
      </c>
      <c r="T600" s="9" t="s">
        <v>1708</v>
      </c>
      <c r="U600" s="10" t="s">
        <v>52</v>
      </c>
      <c r="V600" s="2" t="s">
        <v>77</v>
      </c>
      <c r="W600" s="2">
        <v>1</v>
      </c>
      <c r="X600" s="2" t="s">
        <v>44</v>
      </c>
      <c r="Y600" s="2">
        <v>5</v>
      </c>
      <c r="Z600" s="2" t="s">
        <v>82</v>
      </c>
    </row>
    <row r="601" spans="1:26" x14ac:dyDescent="0.35">
      <c r="A601" s="2" t="s">
        <v>1117</v>
      </c>
      <c r="B601" s="3">
        <v>45892</v>
      </c>
      <c r="C601" s="2" t="s">
        <v>1118</v>
      </c>
      <c r="D601" s="2" t="s">
        <v>68</v>
      </c>
      <c r="E601" s="2" t="s">
        <v>41</v>
      </c>
      <c r="F601" s="2">
        <v>48</v>
      </c>
      <c r="G601" s="2" t="s">
        <v>81</v>
      </c>
      <c r="H601" s="2" t="s">
        <v>31</v>
      </c>
      <c r="I601" s="2" t="s">
        <v>81</v>
      </c>
      <c r="J601" s="2" t="s">
        <v>65</v>
      </c>
      <c r="K601" s="2">
        <v>2</v>
      </c>
      <c r="L601" s="2">
        <v>31074</v>
      </c>
      <c r="M601" s="2">
        <v>20</v>
      </c>
      <c r="N601" s="2">
        <v>12429.6</v>
      </c>
      <c r="O601" s="2">
        <v>8949.31</v>
      </c>
      <c r="P601" s="2">
        <v>343</v>
      </c>
      <c r="Q601" s="2">
        <v>59010.71</v>
      </c>
      <c r="R601" s="2" t="s">
        <v>51</v>
      </c>
      <c r="S601" s="2" t="s">
        <v>59</v>
      </c>
      <c r="T601" s="9" t="s">
        <v>1703</v>
      </c>
      <c r="U601" s="10" t="s">
        <v>1701</v>
      </c>
      <c r="V601" s="2" t="s">
        <v>35</v>
      </c>
      <c r="W601" s="2">
        <v>7</v>
      </c>
      <c r="X601" s="2" t="s">
        <v>44</v>
      </c>
      <c r="Y601" s="2">
        <v>4</v>
      </c>
      <c r="Z601" s="2" t="s">
        <v>37</v>
      </c>
    </row>
    <row r="602" spans="1:26" x14ac:dyDescent="0.35">
      <c r="A602" s="2" t="s">
        <v>1119</v>
      </c>
      <c r="B602" s="3">
        <v>45790</v>
      </c>
      <c r="C602" s="2" t="s">
        <v>1120</v>
      </c>
      <c r="D602" s="2" t="s">
        <v>96</v>
      </c>
      <c r="E602" s="2" t="s">
        <v>41</v>
      </c>
      <c r="F602" s="2">
        <v>55</v>
      </c>
      <c r="G602" s="2" t="s">
        <v>42</v>
      </c>
      <c r="H602" s="2" t="s">
        <v>31</v>
      </c>
      <c r="I602" s="2" t="s">
        <v>42</v>
      </c>
      <c r="J602" s="2" t="s">
        <v>190</v>
      </c>
      <c r="K602" s="2">
        <v>4</v>
      </c>
      <c r="L602" s="2">
        <v>34430</v>
      </c>
      <c r="M602" s="2">
        <v>20</v>
      </c>
      <c r="N602" s="2">
        <v>27544</v>
      </c>
      <c r="O602" s="2">
        <v>19831.68</v>
      </c>
      <c r="P602" s="2">
        <v>63</v>
      </c>
      <c r="Q602" s="2">
        <v>130070.68</v>
      </c>
      <c r="R602" s="2" t="s">
        <v>51</v>
      </c>
      <c r="S602" s="2" t="s">
        <v>59</v>
      </c>
      <c r="T602" s="9" t="s">
        <v>1707</v>
      </c>
      <c r="U602" s="10" t="s">
        <v>1712</v>
      </c>
      <c r="V602" s="2" t="s">
        <v>53</v>
      </c>
      <c r="W602" s="2">
        <v>1</v>
      </c>
      <c r="X602" s="2" t="s">
        <v>44</v>
      </c>
      <c r="Y602" s="2">
        <v>2</v>
      </c>
      <c r="Z602" s="2" t="s">
        <v>54</v>
      </c>
    </row>
    <row r="603" spans="1:26" x14ac:dyDescent="0.35">
      <c r="A603" s="2" t="s">
        <v>1121</v>
      </c>
      <c r="B603" s="3">
        <v>45810</v>
      </c>
      <c r="C603" s="2" t="s">
        <v>335</v>
      </c>
      <c r="D603" s="2" t="s">
        <v>47</v>
      </c>
      <c r="E603" s="2" t="s">
        <v>29</v>
      </c>
      <c r="F603" s="2">
        <v>56</v>
      </c>
      <c r="G603" s="2" t="s">
        <v>127</v>
      </c>
      <c r="H603" s="2" t="s">
        <v>31</v>
      </c>
      <c r="I603" s="2" t="s">
        <v>127</v>
      </c>
      <c r="J603" s="2" t="s">
        <v>70</v>
      </c>
      <c r="K603" s="2">
        <v>2</v>
      </c>
      <c r="L603" s="2">
        <v>39830</v>
      </c>
      <c r="M603" s="2">
        <v>10</v>
      </c>
      <c r="N603" s="2">
        <v>7966</v>
      </c>
      <c r="O603" s="2">
        <v>12904.92</v>
      </c>
      <c r="P603" s="2">
        <v>432</v>
      </c>
      <c r="Q603" s="2">
        <v>85030.92</v>
      </c>
      <c r="R603" s="2" t="s">
        <v>43</v>
      </c>
      <c r="S603" s="2" t="s">
        <v>59</v>
      </c>
      <c r="T603" s="9" t="s">
        <v>1705</v>
      </c>
      <c r="U603" s="10" t="s">
        <v>1702</v>
      </c>
      <c r="V603" s="2" t="s">
        <v>53</v>
      </c>
      <c r="W603" s="2">
        <v>8</v>
      </c>
      <c r="X603" s="2" t="s">
        <v>44</v>
      </c>
      <c r="Y603" s="2">
        <v>2</v>
      </c>
      <c r="Z603" s="2" t="s">
        <v>44</v>
      </c>
    </row>
    <row r="604" spans="1:26" x14ac:dyDescent="0.35">
      <c r="A604" s="2" t="s">
        <v>1122</v>
      </c>
      <c r="B604" s="3">
        <v>45887</v>
      </c>
      <c r="C604" s="2" t="s">
        <v>1123</v>
      </c>
      <c r="D604" s="2" t="s">
        <v>57</v>
      </c>
      <c r="E604" s="2" t="s">
        <v>29</v>
      </c>
      <c r="F604" s="2">
        <v>21</v>
      </c>
      <c r="G604" s="2" t="s">
        <v>127</v>
      </c>
      <c r="H604" s="2" t="s">
        <v>31</v>
      </c>
      <c r="I604" s="2" t="s">
        <v>127</v>
      </c>
      <c r="J604" s="2" t="s">
        <v>58</v>
      </c>
      <c r="K604" s="2">
        <v>2</v>
      </c>
      <c r="L604" s="2">
        <v>41119</v>
      </c>
      <c r="M604" s="2">
        <v>5</v>
      </c>
      <c r="N604" s="2">
        <v>4111.8999999999996</v>
      </c>
      <c r="O604" s="2">
        <v>14062.7</v>
      </c>
      <c r="P604" s="2">
        <v>355</v>
      </c>
      <c r="Q604" s="2">
        <v>92543.8</v>
      </c>
      <c r="R604" s="2" t="s">
        <v>33</v>
      </c>
      <c r="S604" s="2" t="s">
        <v>34</v>
      </c>
      <c r="T604" s="9" t="s">
        <v>1710</v>
      </c>
      <c r="U604" s="10" t="s">
        <v>1711</v>
      </c>
      <c r="V604" s="2" t="s">
        <v>53</v>
      </c>
      <c r="W604" s="2">
        <v>7</v>
      </c>
      <c r="X604" s="2" t="s">
        <v>44</v>
      </c>
      <c r="Y604" s="2">
        <v>3</v>
      </c>
      <c r="Z604" s="2" t="s">
        <v>37</v>
      </c>
    </row>
    <row r="605" spans="1:26" x14ac:dyDescent="0.35">
      <c r="A605" s="2" t="s">
        <v>1124</v>
      </c>
      <c r="B605" s="3">
        <v>46057</v>
      </c>
      <c r="C605" s="2" t="s">
        <v>731</v>
      </c>
      <c r="D605" s="2" t="s">
        <v>73</v>
      </c>
      <c r="E605" s="2" t="s">
        <v>41</v>
      </c>
      <c r="F605" s="2">
        <v>27</v>
      </c>
      <c r="G605" s="2" t="s">
        <v>81</v>
      </c>
      <c r="H605" s="2" t="s">
        <v>31</v>
      </c>
      <c r="I605" s="2" t="s">
        <v>81</v>
      </c>
      <c r="J605" s="2" t="s">
        <v>100</v>
      </c>
      <c r="K605" s="2">
        <v>2</v>
      </c>
      <c r="L605" s="2">
        <v>35061</v>
      </c>
      <c r="M605" s="2">
        <v>5</v>
      </c>
      <c r="N605" s="2">
        <v>3506.1</v>
      </c>
      <c r="O605" s="2">
        <v>11990.86</v>
      </c>
      <c r="P605" s="2">
        <v>303</v>
      </c>
      <c r="Q605" s="2">
        <v>78909.759999999995</v>
      </c>
      <c r="R605" s="2" t="s">
        <v>51</v>
      </c>
      <c r="S605" s="2" t="s">
        <v>34</v>
      </c>
      <c r="T605" s="9" t="s">
        <v>1705</v>
      </c>
      <c r="U605" s="10" t="s">
        <v>1702</v>
      </c>
      <c r="V605" s="2" t="s">
        <v>53</v>
      </c>
      <c r="W605" s="2">
        <v>6</v>
      </c>
      <c r="X605" s="2" t="s">
        <v>36</v>
      </c>
      <c r="Y605" s="2">
        <v>1</v>
      </c>
      <c r="Z605" s="2" t="s">
        <v>82</v>
      </c>
    </row>
    <row r="606" spans="1:26" x14ac:dyDescent="0.35">
      <c r="A606" s="2" t="s">
        <v>1125</v>
      </c>
      <c r="B606" s="3">
        <v>45967</v>
      </c>
      <c r="C606" s="2" t="s">
        <v>1126</v>
      </c>
      <c r="D606" s="2" t="s">
        <v>80</v>
      </c>
      <c r="E606" s="2" t="s">
        <v>41</v>
      </c>
      <c r="F606" s="2">
        <v>25</v>
      </c>
      <c r="G606" s="2" t="s">
        <v>30</v>
      </c>
      <c r="H606" s="2" t="s">
        <v>31</v>
      </c>
      <c r="I606" s="2" t="s">
        <v>30</v>
      </c>
      <c r="J606" s="2" t="s">
        <v>58</v>
      </c>
      <c r="K606" s="2">
        <v>5</v>
      </c>
      <c r="L606" s="2">
        <v>13176</v>
      </c>
      <c r="M606" s="2">
        <v>20</v>
      </c>
      <c r="N606" s="2">
        <v>13176</v>
      </c>
      <c r="O606" s="2">
        <v>9486.7199999999993</v>
      </c>
      <c r="P606" s="2">
        <v>109</v>
      </c>
      <c r="Q606" s="2">
        <v>62299.72</v>
      </c>
      <c r="R606" s="2" t="s">
        <v>43</v>
      </c>
      <c r="S606" s="2" t="s">
        <v>59</v>
      </c>
      <c r="T606" s="9" t="s">
        <v>1704</v>
      </c>
      <c r="U606" s="10" t="s">
        <v>52</v>
      </c>
      <c r="V606" s="2" t="s">
        <v>35</v>
      </c>
      <c r="W606" s="2">
        <v>1</v>
      </c>
      <c r="X606" s="2" t="s">
        <v>44</v>
      </c>
      <c r="Y606" s="2">
        <v>4</v>
      </c>
      <c r="Z606" s="2" t="s">
        <v>54</v>
      </c>
    </row>
    <row r="607" spans="1:26" x14ac:dyDescent="0.35">
      <c r="A607" s="2" t="s">
        <v>1127</v>
      </c>
      <c r="B607" s="3">
        <v>45865</v>
      </c>
      <c r="C607" s="2" t="s">
        <v>1128</v>
      </c>
      <c r="D607" s="2" t="s">
        <v>80</v>
      </c>
      <c r="E607" s="2" t="s">
        <v>41</v>
      </c>
      <c r="F607" s="2">
        <v>42</v>
      </c>
      <c r="G607" s="2" t="s">
        <v>88</v>
      </c>
      <c r="H607" s="2" t="s">
        <v>49</v>
      </c>
      <c r="I607" s="2" t="s">
        <v>88</v>
      </c>
      <c r="J607" s="2" t="s">
        <v>58</v>
      </c>
      <c r="K607" s="2">
        <v>5</v>
      </c>
      <c r="L607" s="2">
        <v>38288</v>
      </c>
      <c r="M607" s="2">
        <v>10</v>
      </c>
      <c r="N607" s="2">
        <v>19144</v>
      </c>
      <c r="O607" s="2">
        <v>31013.279999999999</v>
      </c>
      <c r="P607" s="2">
        <v>33</v>
      </c>
      <c r="Q607" s="2">
        <v>203342.28</v>
      </c>
      <c r="R607" s="2" t="s">
        <v>33</v>
      </c>
      <c r="S607" s="2" t="s">
        <v>59</v>
      </c>
      <c r="T607" s="9" t="s">
        <v>1705</v>
      </c>
      <c r="U607" s="10" t="s">
        <v>1702</v>
      </c>
      <c r="V607" s="2" t="s">
        <v>53</v>
      </c>
      <c r="W607" s="2">
        <v>2</v>
      </c>
      <c r="X607" s="2" t="s">
        <v>44</v>
      </c>
      <c r="Y607" s="2">
        <v>2</v>
      </c>
      <c r="Z607" s="2" t="s">
        <v>82</v>
      </c>
    </row>
    <row r="608" spans="1:26" x14ac:dyDescent="0.35">
      <c r="A608" s="2" t="s">
        <v>1129</v>
      </c>
      <c r="B608" s="3">
        <v>45829</v>
      </c>
      <c r="C608" s="2" t="s">
        <v>684</v>
      </c>
      <c r="D608" s="2" t="s">
        <v>73</v>
      </c>
      <c r="E608" s="2" t="s">
        <v>29</v>
      </c>
      <c r="F608" s="2">
        <v>23</v>
      </c>
      <c r="G608" s="2" t="s">
        <v>48</v>
      </c>
      <c r="H608" s="2" t="s">
        <v>49</v>
      </c>
      <c r="I608" s="2" t="s">
        <v>48</v>
      </c>
      <c r="J608" s="2" t="s">
        <v>32</v>
      </c>
      <c r="K608" s="2">
        <v>5</v>
      </c>
      <c r="L608" s="2">
        <v>34595</v>
      </c>
      <c r="M608" s="2">
        <v>0</v>
      </c>
      <c r="N608" s="2">
        <v>0</v>
      </c>
      <c r="O608" s="2">
        <v>31135.5</v>
      </c>
      <c r="P608" s="2">
        <v>278</v>
      </c>
      <c r="Q608" s="2">
        <v>204388.5</v>
      </c>
      <c r="R608" s="2" t="s">
        <v>43</v>
      </c>
      <c r="S608" s="2" t="s">
        <v>34</v>
      </c>
      <c r="T608" s="9" t="s">
        <v>1705</v>
      </c>
      <c r="U608" s="10" t="s">
        <v>1702</v>
      </c>
      <c r="V608" s="2" t="s">
        <v>53</v>
      </c>
      <c r="W608" s="2">
        <v>7</v>
      </c>
      <c r="X608" s="2" t="s">
        <v>44</v>
      </c>
      <c r="Y608" s="2">
        <v>4</v>
      </c>
      <c r="Z608" s="2" t="s">
        <v>54</v>
      </c>
    </row>
    <row r="609" spans="1:26" x14ac:dyDescent="0.35">
      <c r="A609" s="2" t="s">
        <v>1130</v>
      </c>
      <c r="B609" s="3">
        <v>45972</v>
      </c>
      <c r="C609" s="2" t="s">
        <v>482</v>
      </c>
      <c r="D609" s="2" t="s">
        <v>62</v>
      </c>
      <c r="E609" s="2" t="s">
        <v>41</v>
      </c>
      <c r="F609" s="2">
        <v>45</v>
      </c>
      <c r="G609" s="2" t="s">
        <v>85</v>
      </c>
      <c r="H609" s="2" t="s">
        <v>31</v>
      </c>
      <c r="I609" s="2" t="s">
        <v>85</v>
      </c>
      <c r="J609" s="2" t="s">
        <v>190</v>
      </c>
      <c r="K609" s="2">
        <v>4</v>
      </c>
      <c r="L609" s="2">
        <v>14803</v>
      </c>
      <c r="M609" s="2">
        <v>5</v>
      </c>
      <c r="N609" s="2">
        <v>2960.6</v>
      </c>
      <c r="O609" s="2">
        <v>10125.25</v>
      </c>
      <c r="P609" s="2">
        <v>444</v>
      </c>
      <c r="Q609" s="2">
        <v>66820.649999999994</v>
      </c>
      <c r="R609" s="2" t="s">
        <v>76</v>
      </c>
      <c r="S609" s="2" t="s">
        <v>34</v>
      </c>
      <c r="T609" s="9" t="s">
        <v>1709</v>
      </c>
      <c r="U609" s="10" t="s">
        <v>52</v>
      </c>
      <c r="V609" s="2" t="s">
        <v>53</v>
      </c>
      <c r="W609" s="2">
        <v>1</v>
      </c>
      <c r="X609" s="2" t="s">
        <v>36</v>
      </c>
      <c r="Y609" s="2">
        <v>4</v>
      </c>
      <c r="Z609" s="2" t="s">
        <v>37</v>
      </c>
    </row>
    <row r="610" spans="1:26" x14ac:dyDescent="0.35">
      <c r="A610" s="2" t="s">
        <v>1131</v>
      </c>
      <c r="B610" s="3">
        <v>46095</v>
      </c>
      <c r="C610" s="2" t="s">
        <v>1006</v>
      </c>
      <c r="D610" s="2" t="s">
        <v>80</v>
      </c>
      <c r="E610" s="2" t="s">
        <v>41</v>
      </c>
      <c r="F610" s="2">
        <v>23</v>
      </c>
      <c r="G610" s="2" t="s">
        <v>88</v>
      </c>
      <c r="H610" s="2" t="s">
        <v>49</v>
      </c>
      <c r="I610" s="2" t="s">
        <v>88</v>
      </c>
      <c r="J610" s="2" t="s">
        <v>190</v>
      </c>
      <c r="K610" s="2">
        <v>4</v>
      </c>
      <c r="L610" s="2">
        <v>46728</v>
      </c>
      <c r="M610" s="2">
        <v>20</v>
      </c>
      <c r="N610" s="2">
        <v>37382.400000000001</v>
      </c>
      <c r="O610" s="2">
        <v>26915.33</v>
      </c>
      <c r="P610" s="2">
        <v>488</v>
      </c>
      <c r="Q610" s="2">
        <v>176932.93</v>
      </c>
      <c r="R610" s="2" t="s">
        <v>33</v>
      </c>
      <c r="S610" s="2" t="s">
        <v>59</v>
      </c>
      <c r="T610" s="9" t="s">
        <v>1704</v>
      </c>
      <c r="U610" s="10" t="s">
        <v>52</v>
      </c>
      <c r="V610" s="2" t="s">
        <v>35</v>
      </c>
      <c r="W610" s="2">
        <v>6</v>
      </c>
      <c r="X610" s="2" t="s">
        <v>36</v>
      </c>
      <c r="Y610" s="2">
        <v>3</v>
      </c>
      <c r="Z610" s="2" t="s">
        <v>82</v>
      </c>
    </row>
    <row r="611" spans="1:26" x14ac:dyDescent="0.35">
      <c r="A611" s="2" t="s">
        <v>1132</v>
      </c>
      <c r="B611" s="3">
        <v>46063</v>
      </c>
      <c r="C611" s="2" t="s">
        <v>1076</v>
      </c>
      <c r="D611" s="2" t="s">
        <v>73</v>
      </c>
      <c r="E611" s="2" t="s">
        <v>41</v>
      </c>
      <c r="F611" s="2">
        <v>56</v>
      </c>
      <c r="G611" s="2" t="s">
        <v>48</v>
      </c>
      <c r="H611" s="2" t="s">
        <v>49</v>
      </c>
      <c r="I611" s="2" t="s">
        <v>48</v>
      </c>
      <c r="J611" s="2" t="s">
        <v>70</v>
      </c>
      <c r="K611" s="2">
        <v>1</v>
      </c>
      <c r="L611" s="2">
        <v>27870</v>
      </c>
      <c r="M611" s="2">
        <v>10</v>
      </c>
      <c r="N611" s="2">
        <v>2787</v>
      </c>
      <c r="O611" s="2">
        <v>4514.9399999999996</v>
      </c>
      <c r="P611" s="2">
        <v>498</v>
      </c>
      <c r="Q611" s="2">
        <v>30095.94</v>
      </c>
      <c r="R611" s="2" t="s">
        <v>33</v>
      </c>
      <c r="S611" s="2" t="s">
        <v>59</v>
      </c>
      <c r="T611" s="9" t="s">
        <v>1710</v>
      </c>
      <c r="U611" s="10" t="s">
        <v>1711</v>
      </c>
      <c r="V611" s="2" t="s">
        <v>53</v>
      </c>
      <c r="W611" s="2">
        <v>8</v>
      </c>
      <c r="X611" s="2" t="s">
        <v>44</v>
      </c>
      <c r="Y611" s="2">
        <v>5</v>
      </c>
      <c r="Z611" s="2" t="s">
        <v>44</v>
      </c>
    </row>
    <row r="612" spans="1:26" x14ac:dyDescent="0.35">
      <c r="A612" s="2" t="s">
        <v>1133</v>
      </c>
      <c r="B612" s="3">
        <v>45954</v>
      </c>
      <c r="C612" s="2" t="s">
        <v>992</v>
      </c>
      <c r="D612" s="2" t="s">
        <v>99</v>
      </c>
      <c r="E612" s="2" t="s">
        <v>41</v>
      </c>
      <c r="F612" s="2">
        <v>45</v>
      </c>
      <c r="G612" s="2" t="s">
        <v>48</v>
      </c>
      <c r="H612" s="2" t="s">
        <v>49</v>
      </c>
      <c r="I612" s="2" t="s">
        <v>48</v>
      </c>
      <c r="J612" s="2" t="s">
        <v>138</v>
      </c>
      <c r="K612" s="2">
        <v>2</v>
      </c>
      <c r="L612" s="2">
        <v>19119</v>
      </c>
      <c r="M612" s="2">
        <v>20</v>
      </c>
      <c r="N612" s="2">
        <v>7647.6</v>
      </c>
      <c r="O612" s="2">
        <v>5506.27</v>
      </c>
      <c r="P612" s="2">
        <v>309</v>
      </c>
      <c r="Q612" s="2">
        <v>36405.67</v>
      </c>
      <c r="R612" s="2" t="s">
        <v>33</v>
      </c>
      <c r="S612" s="2" t="s">
        <v>59</v>
      </c>
      <c r="T612" s="9" t="s">
        <v>1707</v>
      </c>
      <c r="U612" s="10" t="s">
        <v>1712</v>
      </c>
      <c r="V612" s="2" t="s">
        <v>53</v>
      </c>
      <c r="W612" s="2">
        <v>5</v>
      </c>
      <c r="X612" s="2" t="s">
        <v>36</v>
      </c>
      <c r="Y612" s="2">
        <v>3</v>
      </c>
      <c r="Z612" s="2" t="s">
        <v>82</v>
      </c>
    </row>
    <row r="613" spans="1:26" x14ac:dyDescent="0.35">
      <c r="A613" s="2" t="s">
        <v>1134</v>
      </c>
      <c r="B613" s="3">
        <v>45931</v>
      </c>
      <c r="C613" s="2" t="s">
        <v>1135</v>
      </c>
      <c r="D613" s="2" t="s">
        <v>28</v>
      </c>
      <c r="E613" s="2" t="s">
        <v>29</v>
      </c>
      <c r="F613" s="2">
        <v>30</v>
      </c>
      <c r="G613" s="2" t="s">
        <v>88</v>
      </c>
      <c r="H613" s="2" t="s">
        <v>49</v>
      </c>
      <c r="I613" s="2" t="s">
        <v>88</v>
      </c>
      <c r="J613" s="2" t="s">
        <v>100</v>
      </c>
      <c r="K613" s="2">
        <v>5</v>
      </c>
      <c r="L613" s="2">
        <v>17738</v>
      </c>
      <c r="M613" s="2">
        <v>20</v>
      </c>
      <c r="N613" s="2">
        <v>17738</v>
      </c>
      <c r="O613" s="2">
        <v>12771.36</v>
      </c>
      <c r="P613" s="2">
        <v>196</v>
      </c>
      <c r="Q613" s="2">
        <v>83919.360000000001</v>
      </c>
      <c r="R613" s="2" t="s">
        <v>76</v>
      </c>
      <c r="S613" s="2" t="s">
        <v>34</v>
      </c>
      <c r="T613" s="9" t="s">
        <v>1704</v>
      </c>
      <c r="U613" s="10" t="s">
        <v>52</v>
      </c>
      <c r="V613" s="2" t="s">
        <v>35</v>
      </c>
      <c r="W613" s="2">
        <v>10</v>
      </c>
      <c r="X613" s="2" t="s">
        <v>36</v>
      </c>
      <c r="Y613" s="2">
        <v>2</v>
      </c>
      <c r="Z613" s="2" t="s">
        <v>54</v>
      </c>
    </row>
    <row r="614" spans="1:26" x14ac:dyDescent="0.35">
      <c r="A614" s="2" t="s">
        <v>1136</v>
      </c>
      <c r="B614" s="3">
        <v>45884</v>
      </c>
      <c r="C614" s="2" t="s">
        <v>1137</v>
      </c>
      <c r="D614" s="2" t="s">
        <v>96</v>
      </c>
      <c r="E614" s="2" t="s">
        <v>29</v>
      </c>
      <c r="F614" s="2">
        <v>60</v>
      </c>
      <c r="G614" s="2" t="s">
        <v>48</v>
      </c>
      <c r="H614" s="2" t="s">
        <v>49</v>
      </c>
      <c r="I614" s="2" t="s">
        <v>48</v>
      </c>
      <c r="J614" s="2" t="s">
        <v>138</v>
      </c>
      <c r="K614" s="2">
        <v>5</v>
      </c>
      <c r="L614" s="2">
        <v>43569</v>
      </c>
      <c r="M614" s="2">
        <v>20</v>
      </c>
      <c r="N614" s="2">
        <v>43569</v>
      </c>
      <c r="O614" s="2">
        <v>31369.68</v>
      </c>
      <c r="P614" s="2">
        <v>221</v>
      </c>
      <c r="Q614" s="2">
        <v>205866.68</v>
      </c>
      <c r="R614" s="2" t="s">
        <v>51</v>
      </c>
      <c r="S614" s="2" t="s">
        <v>59</v>
      </c>
      <c r="T614" s="9" t="s">
        <v>1707</v>
      </c>
      <c r="U614" s="10" t="s">
        <v>1712</v>
      </c>
      <c r="V614" s="2" t="s">
        <v>53</v>
      </c>
      <c r="W614" s="2">
        <v>10</v>
      </c>
      <c r="X614" s="2" t="s">
        <v>44</v>
      </c>
      <c r="Y614" s="2">
        <v>2</v>
      </c>
      <c r="Z614" s="2" t="s">
        <v>44</v>
      </c>
    </row>
    <row r="615" spans="1:26" x14ac:dyDescent="0.35">
      <c r="A615" s="2" t="s">
        <v>1138</v>
      </c>
      <c r="B615" s="3">
        <v>45906</v>
      </c>
      <c r="C615" s="2" t="s">
        <v>470</v>
      </c>
      <c r="D615" s="2" t="s">
        <v>96</v>
      </c>
      <c r="E615" s="2" t="s">
        <v>41</v>
      </c>
      <c r="F615" s="2">
        <v>35</v>
      </c>
      <c r="G615" s="2" t="s">
        <v>48</v>
      </c>
      <c r="H615" s="2" t="s">
        <v>49</v>
      </c>
      <c r="I615" s="2" t="s">
        <v>48</v>
      </c>
      <c r="J615" s="2" t="s">
        <v>113</v>
      </c>
      <c r="K615" s="2">
        <v>1</v>
      </c>
      <c r="L615" s="2">
        <v>30905</v>
      </c>
      <c r="M615" s="2">
        <v>15</v>
      </c>
      <c r="N615" s="2">
        <v>4635.75</v>
      </c>
      <c r="O615" s="2">
        <v>4728.47</v>
      </c>
      <c r="P615" s="2">
        <v>324</v>
      </c>
      <c r="Q615" s="2">
        <v>31321.72</v>
      </c>
      <c r="R615" s="2" t="s">
        <v>43</v>
      </c>
      <c r="S615" s="2" t="s">
        <v>59</v>
      </c>
      <c r="T615" s="9" t="s">
        <v>1704</v>
      </c>
      <c r="U615" s="10" t="s">
        <v>52</v>
      </c>
      <c r="V615" s="2" t="s">
        <v>35</v>
      </c>
      <c r="W615" s="2">
        <v>10</v>
      </c>
      <c r="X615" s="2" t="s">
        <v>44</v>
      </c>
      <c r="Y615" s="2">
        <v>1</v>
      </c>
      <c r="Z615" s="2" t="s">
        <v>54</v>
      </c>
    </row>
    <row r="616" spans="1:26" x14ac:dyDescent="0.35">
      <c r="A616" s="2" t="s">
        <v>1139</v>
      </c>
      <c r="B616" s="3">
        <v>45937</v>
      </c>
      <c r="C616" s="2" t="s">
        <v>929</v>
      </c>
      <c r="D616" s="2" t="s">
        <v>99</v>
      </c>
      <c r="E616" s="2" t="s">
        <v>29</v>
      </c>
      <c r="F616" s="2">
        <v>58</v>
      </c>
      <c r="G616" s="2" t="s">
        <v>127</v>
      </c>
      <c r="H616" s="2" t="s">
        <v>31</v>
      </c>
      <c r="I616" s="2" t="s">
        <v>127</v>
      </c>
      <c r="J616" s="2" t="s">
        <v>100</v>
      </c>
      <c r="K616" s="2">
        <v>4</v>
      </c>
      <c r="L616" s="2">
        <v>41766</v>
      </c>
      <c r="M616" s="2">
        <v>0</v>
      </c>
      <c r="N616" s="2">
        <v>0</v>
      </c>
      <c r="O616" s="2">
        <v>30071.52</v>
      </c>
      <c r="P616" s="2">
        <v>436</v>
      </c>
      <c r="Q616" s="2">
        <v>197571.52</v>
      </c>
      <c r="R616" s="2" t="s">
        <v>43</v>
      </c>
      <c r="S616" s="2" t="s">
        <v>59</v>
      </c>
      <c r="T616" s="9" t="s">
        <v>1710</v>
      </c>
      <c r="U616" s="10" t="s">
        <v>1711</v>
      </c>
      <c r="V616" s="2" t="s">
        <v>53</v>
      </c>
      <c r="W616" s="2">
        <v>2</v>
      </c>
      <c r="X616" s="2" t="s">
        <v>44</v>
      </c>
      <c r="Y616" s="2">
        <v>2</v>
      </c>
      <c r="Z616" s="2" t="s">
        <v>54</v>
      </c>
    </row>
    <row r="617" spans="1:26" x14ac:dyDescent="0.35">
      <c r="A617" s="2" t="s">
        <v>1140</v>
      </c>
      <c r="B617" s="3">
        <v>45886</v>
      </c>
      <c r="C617" s="2" t="s">
        <v>1141</v>
      </c>
      <c r="D617" s="2" t="s">
        <v>57</v>
      </c>
      <c r="E617" s="2" t="s">
        <v>41</v>
      </c>
      <c r="F617" s="2">
        <v>42</v>
      </c>
      <c r="G617" s="2" t="s">
        <v>69</v>
      </c>
      <c r="H617" s="2" t="s">
        <v>31</v>
      </c>
      <c r="I617" s="2" t="s">
        <v>69</v>
      </c>
      <c r="J617" s="2" t="s">
        <v>113</v>
      </c>
      <c r="K617" s="2">
        <v>2</v>
      </c>
      <c r="L617" s="2">
        <v>21383</v>
      </c>
      <c r="M617" s="2">
        <v>20</v>
      </c>
      <c r="N617" s="2">
        <v>8553.2000000000007</v>
      </c>
      <c r="O617" s="2">
        <v>6158.3</v>
      </c>
      <c r="P617" s="2">
        <v>235</v>
      </c>
      <c r="Q617" s="2">
        <v>40606.1</v>
      </c>
      <c r="R617" s="2" t="s">
        <v>43</v>
      </c>
      <c r="S617" s="2" t="s">
        <v>34</v>
      </c>
      <c r="T617" s="9" t="s">
        <v>1709</v>
      </c>
      <c r="U617" s="10" t="s">
        <v>52</v>
      </c>
      <c r="V617" s="2" t="s">
        <v>53</v>
      </c>
      <c r="W617" s="2">
        <v>2</v>
      </c>
      <c r="X617" s="2" t="s">
        <v>44</v>
      </c>
      <c r="Y617" s="2">
        <v>4</v>
      </c>
      <c r="Z617" s="2" t="s">
        <v>44</v>
      </c>
    </row>
    <row r="618" spans="1:26" x14ac:dyDescent="0.35">
      <c r="A618" s="2" t="s">
        <v>1142</v>
      </c>
      <c r="B618" s="3">
        <v>46083</v>
      </c>
      <c r="C618" s="2" t="s">
        <v>414</v>
      </c>
      <c r="D618" s="2" t="s">
        <v>62</v>
      </c>
      <c r="E618" s="2" t="s">
        <v>29</v>
      </c>
      <c r="F618" s="2">
        <v>42</v>
      </c>
      <c r="G618" s="2" t="s">
        <v>127</v>
      </c>
      <c r="H618" s="2" t="s">
        <v>31</v>
      </c>
      <c r="I618" s="2" t="s">
        <v>127</v>
      </c>
      <c r="J618" s="2" t="s">
        <v>70</v>
      </c>
      <c r="K618" s="2">
        <v>3</v>
      </c>
      <c r="L618" s="2">
        <v>6996</v>
      </c>
      <c r="M618" s="2">
        <v>0</v>
      </c>
      <c r="N618" s="2">
        <v>0</v>
      </c>
      <c r="O618" s="2">
        <v>3777.84</v>
      </c>
      <c r="P618" s="2">
        <v>327</v>
      </c>
      <c r="Q618" s="2">
        <v>25092.84</v>
      </c>
      <c r="R618" s="2" t="s">
        <v>33</v>
      </c>
      <c r="S618" s="2" t="s">
        <v>34</v>
      </c>
      <c r="T618" s="9" t="s">
        <v>1705</v>
      </c>
      <c r="U618" s="10" t="s">
        <v>1702</v>
      </c>
      <c r="V618" s="2" t="s">
        <v>53</v>
      </c>
      <c r="W618" s="2">
        <v>6</v>
      </c>
      <c r="X618" s="2" t="s">
        <v>36</v>
      </c>
      <c r="Y618" s="2">
        <v>2</v>
      </c>
      <c r="Z618" s="2" t="s">
        <v>54</v>
      </c>
    </row>
    <row r="619" spans="1:26" x14ac:dyDescent="0.35">
      <c r="A619" s="2" t="s">
        <v>1143</v>
      </c>
      <c r="B619" s="3">
        <v>46042</v>
      </c>
      <c r="C619" s="2" t="s">
        <v>1144</v>
      </c>
      <c r="D619" s="2" t="s">
        <v>68</v>
      </c>
      <c r="E619" s="2" t="s">
        <v>41</v>
      </c>
      <c r="F619" s="2">
        <v>50</v>
      </c>
      <c r="G619" s="2" t="s">
        <v>63</v>
      </c>
      <c r="H619" s="2" t="s">
        <v>64</v>
      </c>
      <c r="I619" s="2" t="s">
        <v>63</v>
      </c>
      <c r="J619" s="2" t="s">
        <v>100</v>
      </c>
      <c r="K619" s="2">
        <v>4</v>
      </c>
      <c r="L619" s="2">
        <v>47815</v>
      </c>
      <c r="M619" s="2">
        <v>10</v>
      </c>
      <c r="N619" s="2">
        <v>19126</v>
      </c>
      <c r="O619" s="2">
        <v>30984.12</v>
      </c>
      <c r="P619" s="2">
        <v>23</v>
      </c>
      <c r="Q619" s="2">
        <v>203141.12</v>
      </c>
      <c r="R619" s="2" t="s">
        <v>76</v>
      </c>
      <c r="S619" s="2" t="s">
        <v>34</v>
      </c>
      <c r="T619" s="9" t="s">
        <v>1704</v>
      </c>
      <c r="U619" s="10" t="s">
        <v>52</v>
      </c>
      <c r="V619" s="2" t="s">
        <v>35</v>
      </c>
      <c r="W619" s="2">
        <v>2</v>
      </c>
      <c r="X619" s="2" t="s">
        <v>44</v>
      </c>
      <c r="Y619" s="2">
        <v>4</v>
      </c>
      <c r="Z619" s="2" t="s">
        <v>37</v>
      </c>
    </row>
    <row r="620" spans="1:26" x14ac:dyDescent="0.35">
      <c r="A620" s="2" t="s">
        <v>1145</v>
      </c>
      <c r="B620" s="3">
        <v>46099</v>
      </c>
      <c r="C620" s="2" t="s">
        <v>272</v>
      </c>
      <c r="D620" s="2" t="s">
        <v>40</v>
      </c>
      <c r="E620" s="2" t="s">
        <v>41</v>
      </c>
      <c r="F620" s="2">
        <v>37</v>
      </c>
      <c r="G620" s="2" t="s">
        <v>127</v>
      </c>
      <c r="H620" s="2" t="s">
        <v>31</v>
      </c>
      <c r="I620" s="2" t="s">
        <v>127</v>
      </c>
      <c r="J620" s="2" t="s">
        <v>32</v>
      </c>
      <c r="K620" s="2">
        <v>4</v>
      </c>
      <c r="L620" s="2">
        <v>16140</v>
      </c>
      <c r="M620" s="2">
        <v>20</v>
      </c>
      <c r="N620" s="2">
        <v>12912</v>
      </c>
      <c r="O620" s="2">
        <v>9296.64</v>
      </c>
      <c r="P620" s="2">
        <v>365</v>
      </c>
      <c r="Q620" s="2">
        <v>61309.64</v>
      </c>
      <c r="R620" s="2" t="s">
        <v>33</v>
      </c>
      <c r="S620" s="2" t="s">
        <v>34</v>
      </c>
      <c r="T620" s="9" t="s">
        <v>1703</v>
      </c>
      <c r="U620" s="10" t="s">
        <v>1701</v>
      </c>
      <c r="V620" s="2" t="s">
        <v>35</v>
      </c>
      <c r="W620" s="2">
        <v>4</v>
      </c>
      <c r="X620" s="2" t="s">
        <v>44</v>
      </c>
      <c r="Y620" s="2">
        <v>1</v>
      </c>
      <c r="Z620" s="2" t="s">
        <v>82</v>
      </c>
    </row>
    <row r="621" spans="1:26" x14ac:dyDescent="0.35">
      <c r="A621" s="2" t="s">
        <v>1146</v>
      </c>
      <c r="B621" s="3">
        <v>46021</v>
      </c>
      <c r="C621" s="2" t="s">
        <v>819</v>
      </c>
      <c r="D621" s="2" t="s">
        <v>68</v>
      </c>
      <c r="E621" s="2" t="s">
        <v>41</v>
      </c>
      <c r="F621" s="2">
        <v>43</v>
      </c>
      <c r="G621" s="2" t="s">
        <v>42</v>
      </c>
      <c r="H621" s="2" t="s">
        <v>31</v>
      </c>
      <c r="I621" s="2" t="s">
        <v>42</v>
      </c>
      <c r="J621" s="2" t="s">
        <v>100</v>
      </c>
      <c r="K621" s="2">
        <v>2</v>
      </c>
      <c r="L621" s="2">
        <v>1150</v>
      </c>
      <c r="M621" s="2">
        <v>20</v>
      </c>
      <c r="N621" s="2">
        <v>460</v>
      </c>
      <c r="O621" s="2">
        <v>331.2</v>
      </c>
      <c r="P621" s="2">
        <v>394</v>
      </c>
      <c r="Q621" s="2">
        <v>2565.1999999999998</v>
      </c>
      <c r="R621" s="2" t="s">
        <v>76</v>
      </c>
      <c r="S621" s="2" t="s">
        <v>59</v>
      </c>
      <c r="T621" s="9" t="s">
        <v>1707</v>
      </c>
      <c r="U621" s="10" t="s">
        <v>1712</v>
      </c>
      <c r="V621" s="2" t="s">
        <v>53</v>
      </c>
      <c r="W621" s="2">
        <v>9</v>
      </c>
      <c r="X621" s="2" t="s">
        <v>36</v>
      </c>
      <c r="Y621" s="2">
        <v>2</v>
      </c>
      <c r="Z621" s="2" t="s">
        <v>54</v>
      </c>
    </row>
    <row r="622" spans="1:26" x14ac:dyDescent="0.35">
      <c r="A622" s="2" t="s">
        <v>1147</v>
      </c>
      <c r="B622" s="3">
        <v>45921</v>
      </c>
      <c r="C622" s="2" t="s">
        <v>1148</v>
      </c>
      <c r="D622" s="2" t="s">
        <v>62</v>
      </c>
      <c r="E622" s="2" t="s">
        <v>29</v>
      </c>
      <c r="F622" s="2">
        <v>35</v>
      </c>
      <c r="G622" s="2" t="s">
        <v>81</v>
      </c>
      <c r="H622" s="2" t="s">
        <v>31</v>
      </c>
      <c r="I622" s="2" t="s">
        <v>81</v>
      </c>
      <c r="J622" s="2" t="s">
        <v>190</v>
      </c>
      <c r="K622" s="2">
        <v>5</v>
      </c>
      <c r="L622" s="2">
        <v>4559</v>
      </c>
      <c r="M622" s="2">
        <v>20</v>
      </c>
      <c r="N622" s="2">
        <v>4559</v>
      </c>
      <c r="O622" s="2">
        <v>3282.48</v>
      </c>
      <c r="P622" s="2">
        <v>202</v>
      </c>
      <c r="Q622" s="2">
        <v>21720.48</v>
      </c>
      <c r="R622" s="2" t="s">
        <v>43</v>
      </c>
      <c r="S622" s="2" t="s">
        <v>34</v>
      </c>
      <c r="T622" s="9" t="s">
        <v>1705</v>
      </c>
      <c r="U622" s="10" t="s">
        <v>1702</v>
      </c>
      <c r="V622" s="2" t="s">
        <v>53</v>
      </c>
      <c r="W622" s="2">
        <v>10</v>
      </c>
      <c r="X622" s="2" t="s">
        <v>36</v>
      </c>
      <c r="Y622" s="2">
        <v>1</v>
      </c>
      <c r="Z622" s="2" t="s">
        <v>82</v>
      </c>
    </row>
    <row r="623" spans="1:26" x14ac:dyDescent="0.35">
      <c r="A623" s="2" t="s">
        <v>1149</v>
      </c>
      <c r="B623" s="3">
        <v>46084</v>
      </c>
      <c r="C623" s="2" t="s">
        <v>218</v>
      </c>
      <c r="D623" s="2" t="s">
        <v>47</v>
      </c>
      <c r="E623" s="2" t="s">
        <v>41</v>
      </c>
      <c r="F623" s="2">
        <v>51</v>
      </c>
      <c r="G623" s="2" t="s">
        <v>42</v>
      </c>
      <c r="H623" s="2" t="s">
        <v>31</v>
      </c>
      <c r="I623" s="2" t="s">
        <v>42</v>
      </c>
      <c r="J623" s="2" t="s">
        <v>65</v>
      </c>
      <c r="K623" s="2">
        <v>5</v>
      </c>
      <c r="L623" s="2">
        <v>40159</v>
      </c>
      <c r="M623" s="2">
        <v>5</v>
      </c>
      <c r="N623" s="2">
        <v>10039.75</v>
      </c>
      <c r="O623" s="2">
        <v>34335.94</v>
      </c>
      <c r="P623" s="2">
        <v>207</v>
      </c>
      <c r="Q623" s="2">
        <v>225298.2</v>
      </c>
      <c r="R623" s="2" t="s">
        <v>33</v>
      </c>
      <c r="S623" s="2" t="s">
        <v>34</v>
      </c>
      <c r="T623" s="9" t="s">
        <v>1705</v>
      </c>
      <c r="U623" s="10" t="s">
        <v>1702</v>
      </c>
      <c r="V623" s="2" t="s">
        <v>53</v>
      </c>
      <c r="W623" s="2">
        <v>8</v>
      </c>
      <c r="X623" s="2" t="s">
        <v>44</v>
      </c>
      <c r="Y623" s="2">
        <v>3</v>
      </c>
      <c r="Z623" s="2" t="s">
        <v>54</v>
      </c>
    </row>
    <row r="624" spans="1:26" x14ac:dyDescent="0.35">
      <c r="A624" s="2" t="s">
        <v>1150</v>
      </c>
      <c r="B624" s="3">
        <v>45935</v>
      </c>
      <c r="C624" s="2" t="s">
        <v>1151</v>
      </c>
      <c r="D624" s="2" t="s">
        <v>28</v>
      </c>
      <c r="E624" s="2" t="s">
        <v>41</v>
      </c>
      <c r="F624" s="2">
        <v>25</v>
      </c>
      <c r="G624" s="2" t="s">
        <v>63</v>
      </c>
      <c r="H624" s="2" t="s">
        <v>64</v>
      </c>
      <c r="I624" s="2" t="s">
        <v>63</v>
      </c>
      <c r="J624" s="2" t="s">
        <v>113</v>
      </c>
      <c r="K624" s="2">
        <v>2</v>
      </c>
      <c r="L624" s="2">
        <v>10985</v>
      </c>
      <c r="M624" s="2">
        <v>5</v>
      </c>
      <c r="N624" s="2">
        <v>1098.5</v>
      </c>
      <c r="O624" s="2">
        <v>3756.87</v>
      </c>
      <c r="P624" s="2">
        <v>120</v>
      </c>
      <c r="Q624" s="2">
        <v>24748.37</v>
      </c>
      <c r="R624" s="2" t="s">
        <v>76</v>
      </c>
      <c r="S624" s="2" t="s">
        <v>59</v>
      </c>
      <c r="T624" s="9" t="s">
        <v>1704</v>
      </c>
      <c r="U624" s="10" t="s">
        <v>52</v>
      </c>
      <c r="V624" s="2" t="s">
        <v>35</v>
      </c>
      <c r="W624" s="2">
        <v>8</v>
      </c>
      <c r="X624" s="2" t="s">
        <v>36</v>
      </c>
      <c r="Y624" s="2">
        <v>4</v>
      </c>
      <c r="Z624" s="2" t="s">
        <v>82</v>
      </c>
    </row>
    <row r="625" spans="1:26" x14ac:dyDescent="0.35">
      <c r="A625" s="2" t="s">
        <v>1152</v>
      </c>
      <c r="B625" s="3">
        <v>45967</v>
      </c>
      <c r="C625" s="2" t="s">
        <v>1153</v>
      </c>
      <c r="D625" s="2" t="s">
        <v>68</v>
      </c>
      <c r="E625" s="2" t="s">
        <v>29</v>
      </c>
      <c r="F625" s="2">
        <v>29</v>
      </c>
      <c r="G625" s="2" t="s">
        <v>81</v>
      </c>
      <c r="H625" s="2" t="s">
        <v>31</v>
      </c>
      <c r="I625" s="2" t="s">
        <v>81</v>
      </c>
      <c r="J625" s="2" t="s">
        <v>190</v>
      </c>
      <c r="K625" s="2">
        <v>1</v>
      </c>
      <c r="L625" s="2">
        <v>36714</v>
      </c>
      <c r="M625" s="2">
        <v>0</v>
      </c>
      <c r="N625" s="2">
        <v>0</v>
      </c>
      <c r="O625" s="2">
        <v>6608.52</v>
      </c>
      <c r="P625" s="2">
        <v>425</v>
      </c>
      <c r="Q625" s="2">
        <v>43747.519999999997</v>
      </c>
      <c r="R625" s="2" t="s">
        <v>51</v>
      </c>
      <c r="S625" s="2" t="s">
        <v>59</v>
      </c>
      <c r="T625" s="9" t="s">
        <v>1705</v>
      </c>
      <c r="U625" s="10" t="s">
        <v>1702</v>
      </c>
      <c r="V625" s="2" t="s">
        <v>53</v>
      </c>
      <c r="W625" s="2">
        <v>2</v>
      </c>
      <c r="X625" s="2" t="s">
        <v>36</v>
      </c>
      <c r="Y625" s="2">
        <v>2</v>
      </c>
      <c r="Z625" s="2" t="s">
        <v>54</v>
      </c>
    </row>
    <row r="626" spans="1:26" x14ac:dyDescent="0.35">
      <c r="A626" s="2" t="s">
        <v>1154</v>
      </c>
      <c r="B626" s="3">
        <v>45767</v>
      </c>
      <c r="C626" s="2" t="s">
        <v>856</v>
      </c>
      <c r="D626" s="2" t="s">
        <v>40</v>
      </c>
      <c r="E626" s="2" t="s">
        <v>29</v>
      </c>
      <c r="F626" s="2">
        <v>37</v>
      </c>
      <c r="G626" s="2" t="s">
        <v>85</v>
      </c>
      <c r="H626" s="2" t="s">
        <v>31</v>
      </c>
      <c r="I626" s="2" t="s">
        <v>85</v>
      </c>
      <c r="J626" s="2" t="s">
        <v>100</v>
      </c>
      <c r="K626" s="2">
        <v>1</v>
      </c>
      <c r="L626" s="2">
        <v>19124</v>
      </c>
      <c r="M626" s="2">
        <v>10</v>
      </c>
      <c r="N626" s="2">
        <v>1912.4</v>
      </c>
      <c r="O626" s="2">
        <v>3098.09</v>
      </c>
      <c r="P626" s="2">
        <v>257</v>
      </c>
      <c r="Q626" s="2">
        <v>20566.689999999999</v>
      </c>
      <c r="R626" s="2" t="s">
        <v>76</v>
      </c>
      <c r="S626" s="2" t="s">
        <v>59</v>
      </c>
      <c r="T626" s="9" t="s">
        <v>1705</v>
      </c>
      <c r="U626" s="10" t="s">
        <v>1702</v>
      </c>
      <c r="V626" s="2" t="s">
        <v>53</v>
      </c>
      <c r="W626" s="2">
        <v>6</v>
      </c>
      <c r="X626" s="2" t="s">
        <v>44</v>
      </c>
      <c r="Y626" s="2">
        <v>4</v>
      </c>
      <c r="Z626" s="2" t="s">
        <v>54</v>
      </c>
    </row>
    <row r="627" spans="1:26" x14ac:dyDescent="0.35">
      <c r="A627" s="2" t="s">
        <v>1155</v>
      </c>
      <c r="B627" s="3">
        <v>45831</v>
      </c>
      <c r="C627" s="2" t="s">
        <v>1156</v>
      </c>
      <c r="D627" s="2" t="s">
        <v>40</v>
      </c>
      <c r="E627" s="2" t="s">
        <v>29</v>
      </c>
      <c r="F627" s="2">
        <v>54</v>
      </c>
      <c r="G627" s="2" t="s">
        <v>127</v>
      </c>
      <c r="H627" s="2" t="s">
        <v>31</v>
      </c>
      <c r="I627" s="2" t="s">
        <v>127</v>
      </c>
      <c r="J627" s="2" t="s">
        <v>100</v>
      </c>
      <c r="K627" s="2">
        <v>1</v>
      </c>
      <c r="L627" s="2">
        <v>23713</v>
      </c>
      <c r="M627" s="2">
        <v>20</v>
      </c>
      <c r="N627" s="2">
        <v>4742.6000000000004</v>
      </c>
      <c r="O627" s="2">
        <v>3414.67</v>
      </c>
      <c r="P627" s="2">
        <v>411</v>
      </c>
      <c r="Q627" s="2">
        <v>22796.07</v>
      </c>
      <c r="R627" s="2" t="s">
        <v>33</v>
      </c>
      <c r="S627" s="2" t="s">
        <v>59</v>
      </c>
      <c r="T627" s="9" t="s">
        <v>1706</v>
      </c>
      <c r="U627" s="10" t="s">
        <v>52</v>
      </c>
      <c r="V627" s="2" t="s">
        <v>53</v>
      </c>
      <c r="W627" s="2">
        <v>10</v>
      </c>
      <c r="X627" s="2" t="s">
        <v>44</v>
      </c>
      <c r="Y627" s="2">
        <v>5</v>
      </c>
      <c r="Z627" s="2" t="s">
        <v>37</v>
      </c>
    </row>
    <row r="628" spans="1:26" x14ac:dyDescent="0.35">
      <c r="A628" s="2" t="s">
        <v>1157</v>
      </c>
      <c r="B628" s="3">
        <v>45922</v>
      </c>
      <c r="C628" s="2" t="s">
        <v>1158</v>
      </c>
      <c r="D628" s="2" t="s">
        <v>28</v>
      </c>
      <c r="E628" s="2" t="s">
        <v>41</v>
      </c>
      <c r="F628" s="2">
        <v>58</v>
      </c>
      <c r="G628" s="2" t="s">
        <v>42</v>
      </c>
      <c r="H628" s="2" t="s">
        <v>31</v>
      </c>
      <c r="I628" s="2" t="s">
        <v>42</v>
      </c>
      <c r="J628" s="2" t="s">
        <v>58</v>
      </c>
      <c r="K628" s="2">
        <v>3</v>
      </c>
      <c r="L628" s="2">
        <v>34710</v>
      </c>
      <c r="M628" s="2">
        <v>20</v>
      </c>
      <c r="N628" s="2">
        <v>20826</v>
      </c>
      <c r="O628" s="2">
        <v>14994.72</v>
      </c>
      <c r="P628" s="2">
        <v>173</v>
      </c>
      <c r="Q628" s="2">
        <v>98471.72</v>
      </c>
      <c r="R628" s="2" t="s">
        <v>43</v>
      </c>
      <c r="S628" s="2" t="s">
        <v>59</v>
      </c>
      <c r="T628" s="9" t="s">
        <v>1706</v>
      </c>
      <c r="U628" s="10" t="s">
        <v>52</v>
      </c>
      <c r="V628" s="2" t="s">
        <v>53</v>
      </c>
      <c r="W628" s="2">
        <v>1</v>
      </c>
      <c r="X628" s="2" t="s">
        <v>44</v>
      </c>
      <c r="Y628" s="2">
        <v>4</v>
      </c>
      <c r="Z628" s="2" t="s">
        <v>82</v>
      </c>
    </row>
    <row r="629" spans="1:26" x14ac:dyDescent="0.35">
      <c r="A629" s="2" t="s">
        <v>1159</v>
      </c>
      <c r="B629" s="3">
        <v>45860</v>
      </c>
      <c r="C629" s="2" t="s">
        <v>1160</v>
      </c>
      <c r="D629" s="2" t="s">
        <v>99</v>
      </c>
      <c r="E629" s="2" t="s">
        <v>41</v>
      </c>
      <c r="F629" s="2">
        <v>51</v>
      </c>
      <c r="G629" s="2" t="s">
        <v>69</v>
      </c>
      <c r="H629" s="2" t="s">
        <v>31</v>
      </c>
      <c r="I629" s="2" t="s">
        <v>69</v>
      </c>
      <c r="J629" s="2" t="s">
        <v>190</v>
      </c>
      <c r="K629" s="2">
        <v>3</v>
      </c>
      <c r="L629" s="2">
        <v>7140</v>
      </c>
      <c r="M629" s="2">
        <v>0</v>
      </c>
      <c r="N629" s="2">
        <v>0</v>
      </c>
      <c r="O629" s="2">
        <v>3855.6</v>
      </c>
      <c r="P629" s="2">
        <v>484</v>
      </c>
      <c r="Q629" s="2">
        <v>25759.599999999999</v>
      </c>
      <c r="R629" s="2" t="s">
        <v>43</v>
      </c>
      <c r="S629" s="2" t="s">
        <v>59</v>
      </c>
      <c r="T629" s="9" t="s">
        <v>1705</v>
      </c>
      <c r="U629" s="10" t="s">
        <v>1702</v>
      </c>
      <c r="V629" s="2" t="s">
        <v>53</v>
      </c>
      <c r="W629" s="2">
        <v>3</v>
      </c>
      <c r="X629" s="2" t="s">
        <v>44</v>
      </c>
      <c r="Y629" s="2">
        <v>3</v>
      </c>
      <c r="Z629" s="2" t="s">
        <v>82</v>
      </c>
    </row>
    <row r="630" spans="1:26" x14ac:dyDescent="0.35">
      <c r="A630" s="2" t="s">
        <v>1161</v>
      </c>
      <c r="B630" s="3">
        <v>45843</v>
      </c>
      <c r="C630" s="2" t="s">
        <v>1162</v>
      </c>
      <c r="D630" s="2" t="s">
        <v>62</v>
      </c>
      <c r="E630" s="2" t="s">
        <v>41</v>
      </c>
      <c r="F630" s="2">
        <v>56</v>
      </c>
      <c r="G630" s="2" t="s">
        <v>69</v>
      </c>
      <c r="H630" s="2" t="s">
        <v>31</v>
      </c>
      <c r="I630" s="2" t="s">
        <v>69</v>
      </c>
      <c r="J630" s="2" t="s">
        <v>91</v>
      </c>
      <c r="K630" s="2">
        <v>2</v>
      </c>
      <c r="L630" s="2">
        <v>28239</v>
      </c>
      <c r="M630" s="2">
        <v>20</v>
      </c>
      <c r="N630" s="2">
        <v>11295.6</v>
      </c>
      <c r="O630" s="2">
        <v>8132.83</v>
      </c>
      <c r="P630" s="2">
        <v>103</v>
      </c>
      <c r="Q630" s="2">
        <v>53418.23</v>
      </c>
      <c r="R630" s="2" t="s">
        <v>51</v>
      </c>
      <c r="S630" s="2" t="s">
        <v>34</v>
      </c>
      <c r="T630" s="9" t="s">
        <v>1709</v>
      </c>
      <c r="U630" s="10" t="s">
        <v>52</v>
      </c>
      <c r="V630" s="2" t="s">
        <v>53</v>
      </c>
      <c r="W630" s="2">
        <v>3</v>
      </c>
      <c r="X630" s="2" t="s">
        <v>44</v>
      </c>
      <c r="Y630" s="2">
        <v>5</v>
      </c>
      <c r="Z630" s="2" t="s">
        <v>44</v>
      </c>
    </row>
    <row r="631" spans="1:26" x14ac:dyDescent="0.35">
      <c r="A631" s="2" t="s">
        <v>1163</v>
      </c>
      <c r="B631" s="3">
        <v>45907</v>
      </c>
      <c r="C631" s="2" t="s">
        <v>1164</v>
      </c>
      <c r="D631" s="2" t="s">
        <v>80</v>
      </c>
      <c r="E631" s="2" t="s">
        <v>29</v>
      </c>
      <c r="F631" s="2">
        <v>49</v>
      </c>
      <c r="G631" s="2" t="s">
        <v>122</v>
      </c>
      <c r="H631" s="2" t="s">
        <v>31</v>
      </c>
      <c r="I631" s="2" t="s">
        <v>122</v>
      </c>
      <c r="J631" s="2" t="s">
        <v>65</v>
      </c>
      <c r="K631" s="2">
        <v>4</v>
      </c>
      <c r="L631" s="2">
        <v>48282</v>
      </c>
      <c r="M631" s="2">
        <v>15</v>
      </c>
      <c r="N631" s="2">
        <v>28969.200000000001</v>
      </c>
      <c r="O631" s="2">
        <v>29548.58</v>
      </c>
      <c r="P631" s="2">
        <v>35</v>
      </c>
      <c r="Q631" s="2">
        <v>193742.38</v>
      </c>
      <c r="R631" s="2" t="s">
        <v>33</v>
      </c>
      <c r="S631" s="2" t="s">
        <v>59</v>
      </c>
      <c r="T631" s="9" t="s">
        <v>1709</v>
      </c>
      <c r="U631" s="10" t="s">
        <v>52</v>
      </c>
      <c r="V631" s="2" t="s">
        <v>53</v>
      </c>
      <c r="W631" s="2">
        <v>7</v>
      </c>
      <c r="X631" s="2" t="s">
        <v>44</v>
      </c>
      <c r="Y631" s="2">
        <v>5</v>
      </c>
      <c r="Z631" s="2" t="s">
        <v>82</v>
      </c>
    </row>
    <row r="632" spans="1:26" x14ac:dyDescent="0.35">
      <c r="A632" s="2" t="s">
        <v>1165</v>
      </c>
      <c r="B632" s="3">
        <v>45879</v>
      </c>
      <c r="C632" s="2" t="s">
        <v>760</v>
      </c>
      <c r="D632" s="2" t="s">
        <v>68</v>
      </c>
      <c r="E632" s="2" t="s">
        <v>29</v>
      </c>
      <c r="F632" s="2">
        <v>26</v>
      </c>
      <c r="G632" s="2" t="s">
        <v>69</v>
      </c>
      <c r="H632" s="2" t="s">
        <v>31</v>
      </c>
      <c r="I632" s="2" t="s">
        <v>69</v>
      </c>
      <c r="J632" s="2" t="s">
        <v>138</v>
      </c>
      <c r="K632" s="2">
        <v>4</v>
      </c>
      <c r="L632" s="2">
        <v>32877</v>
      </c>
      <c r="M632" s="2">
        <v>10</v>
      </c>
      <c r="N632" s="2">
        <v>13150.8</v>
      </c>
      <c r="O632" s="2">
        <v>21304.3</v>
      </c>
      <c r="P632" s="2">
        <v>68</v>
      </c>
      <c r="Q632" s="2">
        <v>139729.5</v>
      </c>
      <c r="R632" s="2" t="s">
        <v>33</v>
      </c>
      <c r="S632" s="2" t="s">
        <v>59</v>
      </c>
      <c r="T632" s="9" t="s">
        <v>1703</v>
      </c>
      <c r="U632" s="10" t="s">
        <v>1701</v>
      </c>
      <c r="V632" s="2" t="s">
        <v>35</v>
      </c>
      <c r="W632" s="2">
        <v>1</v>
      </c>
      <c r="X632" s="2" t="s">
        <v>44</v>
      </c>
      <c r="Y632" s="2">
        <v>3</v>
      </c>
      <c r="Z632" s="2" t="s">
        <v>37</v>
      </c>
    </row>
    <row r="633" spans="1:26" x14ac:dyDescent="0.35">
      <c r="A633" s="2" t="s">
        <v>1166</v>
      </c>
      <c r="B633" s="3">
        <v>46007</v>
      </c>
      <c r="C633" s="2" t="s">
        <v>1167</v>
      </c>
      <c r="D633" s="2" t="s">
        <v>28</v>
      </c>
      <c r="E633" s="2" t="s">
        <v>29</v>
      </c>
      <c r="F633" s="2">
        <v>23</v>
      </c>
      <c r="G633" s="2" t="s">
        <v>48</v>
      </c>
      <c r="H633" s="2" t="s">
        <v>49</v>
      </c>
      <c r="I633" s="2" t="s">
        <v>48</v>
      </c>
      <c r="J633" s="2" t="s">
        <v>190</v>
      </c>
      <c r="K633" s="2">
        <v>5</v>
      </c>
      <c r="L633" s="2">
        <v>6859</v>
      </c>
      <c r="M633" s="2">
        <v>20</v>
      </c>
      <c r="N633" s="2">
        <v>6859</v>
      </c>
      <c r="O633" s="2">
        <v>4938.4799999999996</v>
      </c>
      <c r="P633" s="2">
        <v>489</v>
      </c>
      <c r="Q633" s="2">
        <v>32863.480000000003</v>
      </c>
      <c r="R633" s="2" t="s">
        <v>76</v>
      </c>
      <c r="S633" s="2" t="s">
        <v>34</v>
      </c>
      <c r="T633" s="9" t="s">
        <v>1703</v>
      </c>
      <c r="U633" s="10" t="s">
        <v>1701</v>
      </c>
      <c r="V633" s="2" t="s">
        <v>35</v>
      </c>
      <c r="W633" s="2">
        <v>8</v>
      </c>
      <c r="X633" s="2" t="s">
        <v>36</v>
      </c>
      <c r="Y633" s="2">
        <v>1</v>
      </c>
      <c r="Z633" s="2" t="s">
        <v>37</v>
      </c>
    </row>
    <row r="634" spans="1:26" x14ac:dyDescent="0.35">
      <c r="A634" s="2" t="s">
        <v>1168</v>
      </c>
      <c r="B634" s="3">
        <v>45996</v>
      </c>
      <c r="C634" s="2" t="s">
        <v>1169</v>
      </c>
      <c r="D634" s="2" t="s">
        <v>80</v>
      </c>
      <c r="E634" s="2" t="s">
        <v>29</v>
      </c>
      <c r="F634" s="2">
        <v>56</v>
      </c>
      <c r="G634" s="2" t="s">
        <v>69</v>
      </c>
      <c r="H634" s="2" t="s">
        <v>31</v>
      </c>
      <c r="I634" s="2" t="s">
        <v>69</v>
      </c>
      <c r="J634" s="2" t="s">
        <v>50</v>
      </c>
      <c r="K634" s="2">
        <v>5</v>
      </c>
      <c r="L634" s="2">
        <v>6880</v>
      </c>
      <c r="M634" s="2">
        <v>5</v>
      </c>
      <c r="N634" s="2">
        <v>1720</v>
      </c>
      <c r="O634" s="2">
        <v>5882.4</v>
      </c>
      <c r="P634" s="2">
        <v>355</v>
      </c>
      <c r="Q634" s="2">
        <v>38917.4</v>
      </c>
      <c r="R634" s="2" t="s">
        <v>43</v>
      </c>
      <c r="S634" s="2" t="s">
        <v>59</v>
      </c>
      <c r="T634" s="9" t="s">
        <v>1705</v>
      </c>
      <c r="U634" s="10" t="s">
        <v>1702</v>
      </c>
      <c r="V634" s="2" t="s">
        <v>53</v>
      </c>
      <c r="W634" s="2">
        <v>8</v>
      </c>
      <c r="X634" s="2" t="s">
        <v>44</v>
      </c>
      <c r="Y634" s="2">
        <v>4</v>
      </c>
      <c r="Z634" s="2" t="s">
        <v>37</v>
      </c>
    </row>
    <row r="635" spans="1:26" x14ac:dyDescent="0.35">
      <c r="A635" s="2" t="s">
        <v>1170</v>
      </c>
      <c r="B635" s="3">
        <v>45814</v>
      </c>
      <c r="C635" s="2" t="s">
        <v>1169</v>
      </c>
      <c r="D635" s="2" t="s">
        <v>99</v>
      </c>
      <c r="E635" s="2" t="s">
        <v>41</v>
      </c>
      <c r="F635" s="2">
        <v>29</v>
      </c>
      <c r="G635" s="2" t="s">
        <v>127</v>
      </c>
      <c r="H635" s="2" t="s">
        <v>31</v>
      </c>
      <c r="I635" s="2" t="s">
        <v>127</v>
      </c>
      <c r="J635" s="2" t="s">
        <v>32</v>
      </c>
      <c r="K635" s="2">
        <v>3</v>
      </c>
      <c r="L635" s="2">
        <v>44405</v>
      </c>
      <c r="M635" s="2">
        <v>20</v>
      </c>
      <c r="N635" s="2">
        <v>26643</v>
      </c>
      <c r="O635" s="2">
        <v>19182.96</v>
      </c>
      <c r="P635" s="2">
        <v>188</v>
      </c>
      <c r="Q635" s="2">
        <v>125942.96</v>
      </c>
      <c r="R635" s="2" t="s">
        <v>43</v>
      </c>
      <c r="S635" s="2" t="s">
        <v>34</v>
      </c>
      <c r="T635" s="9" t="s">
        <v>1708</v>
      </c>
      <c r="U635" s="10" t="s">
        <v>52</v>
      </c>
      <c r="V635" s="2" t="s">
        <v>77</v>
      </c>
      <c r="W635" s="2">
        <v>4</v>
      </c>
      <c r="X635" s="2" t="s">
        <v>44</v>
      </c>
      <c r="Y635" s="2">
        <v>3</v>
      </c>
      <c r="Z635" s="2" t="s">
        <v>37</v>
      </c>
    </row>
    <row r="636" spans="1:26" x14ac:dyDescent="0.35">
      <c r="A636" s="2" t="s">
        <v>1171</v>
      </c>
      <c r="B636" s="3">
        <v>45912</v>
      </c>
      <c r="C636" s="2" t="s">
        <v>1172</v>
      </c>
      <c r="D636" s="2" t="s">
        <v>57</v>
      </c>
      <c r="E636" s="2" t="s">
        <v>41</v>
      </c>
      <c r="F636" s="2">
        <v>25</v>
      </c>
      <c r="G636" s="2" t="s">
        <v>88</v>
      </c>
      <c r="H636" s="2" t="s">
        <v>49</v>
      </c>
      <c r="I636" s="2" t="s">
        <v>88</v>
      </c>
      <c r="J636" s="2" t="s">
        <v>58</v>
      </c>
      <c r="K636" s="2">
        <v>5</v>
      </c>
      <c r="L636" s="2">
        <v>36886</v>
      </c>
      <c r="M636" s="2">
        <v>20</v>
      </c>
      <c r="N636" s="2">
        <v>36886</v>
      </c>
      <c r="O636" s="2">
        <v>26557.919999999998</v>
      </c>
      <c r="P636" s="2">
        <v>302</v>
      </c>
      <c r="Q636" s="2">
        <v>174403.92</v>
      </c>
      <c r="R636" s="2" t="s">
        <v>76</v>
      </c>
      <c r="S636" s="2" t="s">
        <v>59</v>
      </c>
      <c r="T636" s="9" t="s">
        <v>1708</v>
      </c>
      <c r="U636" s="10" t="s">
        <v>52</v>
      </c>
      <c r="V636" s="2" t="s">
        <v>77</v>
      </c>
      <c r="W636" s="2">
        <v>2</v>
      </c>
      <c r="X636" s="2" t="s">
        <v>44</v>
      </c>
      <c r="Y636" s="2">
        <v>3</v>
      </c>
      <c r="Z636" s="2" t="s">
        <v>82</v>
      </c>
    </row>
    <row r="637" spans="1:26" x14ac:dyDescent="0.35">
      <c r="A637" s="2" t="s">
        <v>1173</v>
      </c>
      <c r="B637" s="3">
        <v>46081</v>
      </c>
      <c r="C637" s="2" t="s">
        <v>1174</v>
      </c>
      <c r="D637" s="2" t="s">
        <v>73</v>
      </c>
      <c r="E637" s="2" t="s">
        <v>29</v>
      </c>
      <c r="F637" s="2">
        <v>31</v>
      </c>
      <c r="G637" s="2" t="s">
        <v>122</v>
      </c>
      <c r="H637" s="2" t="s">
        <v>31</v>
      </c>
      <c r="I637" s="2" t="s">
        <v>122</v>
      </c>
      <c r="J637" s="2" t="s">
        <v>138</v>
      </c>
      <c r="K637" s="2">
        <v>4</v>
      </c>
      <c r="L637" s="2">
        <v>42144</v>
      </c>
      <c r="M637" s="2">
        <v>0</v>
      </c>
      <c r="N637" s="2">
        <v>0</v>
      </c>
      <c r="O637" s="2">
        <v>30343.68</v>
      </c>
      <c r="P637" s="2">
        <v>24</v>
      </c>
      <c r="Q637" s="2">
        <v>198943.68</v>
      </c>
      <c r="R637" s="2" t="s">
        <v>33</v>
      </c>
      <c r="S637" s="2" t="s">
        <v>34</v>
      </c>
      <c r="T637" s="9" t="s">
        <v>1704</v>
      </c>
      <c r="U637" s="10" t="s">
        <v>52</v>
      </c>
      <c r="V637" s="2" t="s">
        <v>35</v>
      </c>
      <c r="W637" s="2">
        <v>2</v>
      </c>
      <c r="X637" s="2" t="s">
        <v>44</v>
      </c>
      <c r="Y637" s="2">
        <v>1</v>
      </c>
      <c r="Z637" s="2" t="s">
        <v>82</v>
      </c>
    </row>
    <row r="638" spans="1:26" x14ac:dyDescent="0.35">
      <c r="A638" s="2" t="s">
        <v>1175</v>
      </c>
      <c r="B638" s="3">
        <v>45928</v>
      </c>
      <c r="C638" s="2" t="s">
        <v>1176</v>
      </c>
      <c r="D638" s="2" t="s">
        <v>62</v>
      </c>
      <c r="E638" s="2" t="s">
        <v>41</v>
      </c>
      <c r="F638" s="2">
        <v>28</v>
      </c>
      <c r="G638" s="2" t="s">
        <v>127</v>
      </c>
      <c r="H638" s="2" t="s">
        <v>31</v>
      </c>
      <c r="I638" s="2" t="s">
        <v>127</v>
      </c>
      <c r="J638" s="2" t="s">
        <v>50</v>
      </c>
      <c r="K638" s="2">
        <v>4</v>
      </c>
      <c r="L638" s="2">
        <v>48302</v>
      </c>
      <c r="M638" s="2">
        <v>5</v>
      </c>
      <c r="N638" s="2">
        <v>9660.4</v>
      </c>
      <c r="O638" s="2">
        <v>33038.57</v>
      </c>
      <c r="P638" s="2">
        <v>179</v>
      </c>
      <c r="Q638" s="2">
        <v>216765.17</v>
      </c>
      <c r="R638" s="2" t="s">
        <v>43</v>
      </c>
      <c r="S638" s="2" t="s">
        <v>59</v>
      </c>
      <c r="T638" s="9" t="s">
        <v>1710</v>
      </c>
      <c r="U638" s="10" t="s">
        <v>1711</v>
      </c>
      <c r="V638" s="2" t="s">
        <v>53</v>
      </c>
      <c r="W638" s="2">
        <v>2</v>
      </c>
      <c r="X638" s="2" t="s">
        <v>44</v>
      </c>
      <c r="Y638" s="2">
        <v>2</v>
      </c>
      <c r="Z638" s="2" t="s">
        <v>44</v>
      </c>
    </row>
    <row r="639" spans="1:26" x14ac:dyDescent="0.35">
      <c r="A639" s="2" t="s">
        <v>1177</v>
      </c>
      <c r="B639" s="3">
        <v>45899</v>
      </c>
      <c r="C639" s="2" t="s">
        <v>1178</v>
      </c>
      <c r="D639" s="2" t="s">
        <v>62</v>
      </c>
      <c r="E639" s="2" t="s">
        <v>41</v>
      </c>
      <c r="F639" s="2">
        <v>38</v>
      </c>
      <c r="G639" s="2" t="s">
        <v>48</v>
      </c>
      <c r="H639" s="2" t="s">
        <v>49</v>
      </c>
      <c r="I639" s="2" t="s">
        <v>48</v>
      </c>
      <c r="J639" s="2" t="s">
        <v>190</v>
      </c>
      <c r="K639" s="2">
        <v>2</v>
      </c>
      <c r="L639" s="2">
        <v>48941</v>
      </c>
      <c r="M639" s="2">
        <v>20</v>
      </c>
      <c r="N639" s="2">
        <v>19576.400000000001</v>
      </c>
      <c r="O639" s="2">
        <v>14095.01</v>
      </c>
      <c r="P639" s="2">
        <v>140</v>
      </c>
      <c r="Q639" s="2">
        <v>92540.61</v>
      </c>
      <c r="R639" s="2" t="s">
        <v>33</v>
      </c>
      <c r="S639" s="2" t="s">
        <v>34</v>
      </c>
      <c r="T639" s="9" t="s">
        <v>1704</v>
      </c>
      <c r="U639" s="10" t="s">
        <v>52</v>
      </c>
      <c r="V639" s="2" t="s">
        <v>35</v>
      </c>
      <c r="W639" s="2">
        <v>3</v>
      </c>
      <c r="X639" s="2" t="s">
        <v>44</v>
      </c>
      <c r="Y639" s="2">
        <v>1</v>
      </c>
      <c r="Z639" s="2" t="s">
        <v>44</v>
      </c>
    </row>
    <row r="640" spans="1:26" x14ac:dyDescent="0.35">
      <c r="A640" s="2" t="s">
        <v>1179</v>
      </c>
      <c r="B640" s="3">
        <v>45808</v>
      </c>
      <c r="C640" s="2" t="s">
        <v>1180</v>
      </c>
      <c r="D640" s="2" t="s">
        <v>47</v>
      </c>
      <c r="E640" s="2" t="s">
        <v>29</v>
      </c>
      <c r="F640" s="2">
        <v>60</v>
      </c>
      <c r="G640" s="2" t="s">
        <v>42</v>
      </c>
      <c r="H640" s="2" t="s">
        <v>31</v>
      </c>
      <c r="I640" s="2" t="s">
        <v>42</v>
      </c>
      <c r="J640" s="2" t="s">
        <v>190</v>
      </c>
      <c r="K640" s="2">
        <v>3</v>
      </c>
      <c r="L640" s="2">
        <v>2310</v>
      </c>
      <c r="M640" s="2">
        <v>0</v>
      </c>
      <c r="N640" s="2">
        <v>0</v>
      </c>
      <c r="O640" s="2">
        <v>1247.4000000000001</v>
      </c>
      <c r="P640" s="2">
        <v>179</v>
      </c>
      <c r="Q640" s="2">
        <v>8356.4</v>
      </c>
      <c r="R640" s="2" t="s">
        <v>51</v>
      </c>
      <c r="S640" s="2" t="s">
        <v>34</v>
      </c>
      <c r="T640" s="9" t="s">
        <v>1706</v>
      </c>
      <c r="U640" s="10" t="s">
        <v>52</v>
      </c>
      <c r="V640" s="2" t="s">
        <v>53</v>
      </c>
      <c r="W640" s="2">
        <v>8</v>
      </c>
      <c r="X640" s="2" t="s">
        <v>44</v>
      </c>
      <c r="Y640" s="2">
        <v>2</v>
      </c>
      <c r="Z640" s="2" t="s">
        <v>82</v>
      </c>
    </row>
    <row r="641" spans="1:26" x14ac:dyDescent="0.35">
      <c r="A641" s="2" t="s">
        <v>1181</v>
      </c>
      <c r="B641" s="3">
        <v>45947</v>
      </c>
      <c r="C641" s="2" t="s">
        <v>929</v>
      </c>
      <c r="D641" s="2" t="s">
        <v>96</v>
      </c>
      <c r="E641" s="2" t="s">
        <v>29</v>
      </c>
      <c r="F641" s="2">
        <v>51</v>
      </c>
      <c r="G641" s="2" t="s">
        <v>48</v>
      </c>
      <c r="H641" s="2" t="s">
        <v>49</v>
      </c>
      <c r="I641" s="2" t="s">
        <v>48</v>
      </c>
      <c r="J641" s="2" t="s">
        <v>65</v>
      </c>
      <c r="K641" s="2">
        <v>3</v>
      </c>
      <c r="L641" s="2">
        <v>23961</v>
      </c>
      <c r="M641" s="2">
        <v>15</v>
      </c>
      <c r="N641" s="2">
        <v>10782.45</v>
      </c>
      <c r="O641" s="2">
        <v>10998.1</v>
      </c>
      <c r="P641" s="2">
        <v>321</v>
      </c>
      <c r="Q641" s="2">
        <v>72419.649999999994</v>
      </c>
      <c r="R641" s="2" t="s">
        <v>51</v>
      </c>
      <c r="S641" s="2" t="s">
        <v>34</v>
      </c>
      <c r="T641" s="9" t="s">
        <v>1708</v>
      </c>
      <c r="U641" s="10" t="s">
        <v>52</v>
      </c>
      <c r="V641" s="2" t="s">
        <v>77</v>
      </c>
      <c r="W641" s="2">
        <v>5</v>
      </c>
      <c r="X641" s="2" t="s">
        <v>44</v>
      </c>
      <c r="Y641" s="2">
        <v>3</v>
      </c>
      <c r="Z641" s="2" t="s">
        <v>37</v>
      </c>
    </row>
    <row r="642" spans="1:26" x14ac:dyDescent="0.35">
      <c r="A642" s="2" t="s">
        <v>1182</v>
      </c>
      <c r="B642" s="3">
        <v>45798</v>
      </c>
      <c r="C642" s="2" t="s">
        <v>1183</v>
      </c>
      <c r="D642" s="2" t="s">
        <v>40</v>
      </c>
      <c r="E642" s="2" t="s">
        <v>41</v>
      </c>
      <c r="F642" s="2">
        <v>46</v>
      </c>
      <c r="G642" s="2" t="s">
        <v>48</v>
      </c>
      <c r="H642" s="2" t="s">
        <v>49</v>
      </c>
      <c r="I642" s="2" t="s">
        <v>48</v>
      </c>
      <c r="J642" s="2" t="s">
        <v>32</v>
      </c>
      <c r="K642" s="2">
        <v>1</v>
      </c>
      <c r="L642" s="2">
        <v>4128</v>
      </c>
      <c r="M642" s="2">
        <v>15</v>
      </c>
      <c r="N642" s="2">
        <v>619.20000000000005</v>
      </c>
      <c r="O642" s="2">
        <v>631.58000000000004</v>
      </c>
      <c r="P642" s="2">
        <v>70</v>
      </c>
      <c r="Q642" s="2">
        <v>4210.38</v>
      </c>
      <c r="R642" s="2" t="s">
        <v>33</v>
      </c>
      <c r="S642" s="2" t="s">
        <v>34</v>
      </c>
      <c r="T642" s="9" t="s">
        <v>1709</v>
      </c>
      <c r="U642" s="10" t="s">
        <v>52</v>
      </c>
      <c r="V642" s="2" t="s">
        <v>53</v>
      </c>
      <c r="W642" s="2">
        <v>6</v>
      </c>
      <c r="X642" s="2" t="s">
        <v>36</v>
      </c>
      <c r="Y642" s="2">
        <v>4</v>
      </c>
      <c r="Z642" s="2" t="s">
        <v>54</v>
      </c>
    </row>
    <row r="643" spans="1:26" x14ac:dyDescent="0.35">
      <c r="A643" s="2" t="s">
        <v>1184</v>
      </c>
      <c r="B643" s="3">
        <v>45893</v>
      </c>
      <c r="C643" s="2" t="s">
        <v>527</v>
      </c>
      <c r="D643" s="2" t="s">
        <v>99</v>
      </c>
      <c r="E643" s="2" t="s">
        <v>29</v>
      </c>
      <c r="F643" s="2">
        <v>51</v>
      </c>
      <c r="G643" s="2" t="s">
        <v>48</v>
      </c>
      <c r="H643" s="2" t="s">
        <v>49</v>
      </c>
      <c r="I643" s="2" t="s">
        <v>48</v>
      </c>
      <c r="J643" s="2" t="s">
        <v>65</v>
      </c>
      <c r="K643" s="2">
        <v>3</v>
      </c>
      <c r="L643" s="2">
        <v>11238</v>
      </c>
      <c r="M643" s="2">
        <v>10</v>
      </c>
      <c r="N643" s="2">
        <v>3371.4</v>
      </c>
      <c r="O643" s="2">
        <v>5461.67</v>
      </c>
      <c r="P643" s="2">
        <v>201</v>
      </c>
      <c r="Q643" s="2">
        <v>36005.269999999997</v>
      </c>
      <c r="R643" s="2" t="s">
        <v>76</v>
      </c>
      <c r="S643" s="2" t="s">
        <v>59</v>
      </c>
      <c r="T643" s="9" t="s">
        <v>1703</v>
      </c>
      <c r="U643" s="10" t="s">
        <v>1701</v>
      </c>
      <c r="V643" s="2" t="s">
        <v>35</v>
      </c>
      <c r="W643" s="2">
        <v>5</v>
      </c>
      <c r="X643" s="2" t="s">
        <v>36</v>
      </c>
      <c r="Y643" s="2">
        <v>1</v>
      </c>
      <c r="Z643" s="2" t="s">
        <v>54</v>
      </c>
    </row>
    <row r="644" spans="1:26" x14ac:dyDescent="0.35">
      <c r="A644" s="2" t="s">
        <v>1185</v>
      </c>
      <c r="B644" s="3">
        <v>46014</v>
      </c>
      <c r="C644" s="2" t="s">
        <v>232</v>
      </c>
      <c r="D644" s="2" t="s">
        <v>73</v>
      </c>
      <c r="E644" s="2" t="s">
        <v>29</v>
      </c>
      <c r="F644" s="2">
        <v>38</v>
      </c>
      <c r="G644" s="2" t="s">
        <v>30</v>
      </c>
      <c r="H644" s="2" t="s">
        <v>31</v>
      </c>
      <c r="I644" s="2" t="s">
        <v>30</v>
      </c>
      <c r="J644" s="2" t="s">
        <v>65</v>
      </c>
      <c r="K644" s="2">
        <v>2</v>
      </c>
      <c r="L644" s="2">
        <v>46694</v>
      </c>
      <c r="M644" s="2">
        <v>10</v>
      </c>
      <c r="N644" s="2">
        <v>9338.7999999999993</v>
      </c>
      <c r="O644" s="2">
        <v>15128.86</v>
      </c>
      <c r="P644" s="2">
        <v>86</v>
      </c>
      <c r="Q644" s="2">
        <v>99264.06</v>
      </c>
      <c r="R644" s="2" t="s">
        <v>76</v>
      </c>
      <c r="S644" s="2" t="s">
        <v>34</v>
      </c>
      <c r="T644" s="9" t="s">
        <v>1707</v>
      </c>
      <c r="U644" s="10" t="s">
        <v>1712</v>
      </c>
      <c r="V644" s="2" t="s">
        <v>53</v>
      </c>
      <c r="W644" s="2">
        <v>6</v>
      </c>
      <c r="X644" s="2" t="s">
        <v>36</v>
      </c>
      <c r="Y644" s="2">
        <v>4</v>
      </c>
      <c r="Z644" s="2" t="s">
        <v>82</v>
      </c>
    </row>
    <row r="645" spans="1:26" x14ac:dyDescent="0.35">
      <c r="A645" s="2" t="s">
        <v>1186</v>
      </c>
      <c r="B645" s="3">
        <v>46049</v>
      </c>
      <c r="C645" s="2" t="s">
        <v>1187</v>
      </c>
      <c r="D645" s="2" t="s">
        <v>57</v>
      </c>
      <c r="E645" s="2" t="s">
        <v>29</v>
      </c>
      <c r="F645" s="2">
        <v>35</v>
      </c>
      <c r="G645" s="2" t="s">
        <v>85</v>
      </c>
      <c r="H645" s="2" t="s">
        <v>31</v>
      </c>
      <c r="I645" s="2" t="s">
        <v>85</v>
      </c>
      <c r="J645" s="2" t="s">
        <v>58</v>
      </c>
      <c r="K645" s="2">
        <v>5</v>
      </c>
      <c r="L645" s="2">
        <v>34344</v>
      </c>
      <c r="M645" s="2">
        <v>20</v>
      </c>
      <c r="N645" s="2">
        <v>34344</v>
      </c>
      <c r="O645" s="2">
        <v>24727.68</v>
      </c>
      <c r="P645" s="2">
        <v>473</v>
      </c>
      <c r="Q645" s="2">
        <v>162576.68</v>
      </c>
      <c r="R645" s="2" t="s">
        <v>33</v>
      </c>
      <c r="S645" s="2" t="s">
        <v>59</v>
      </c>
      <c r="T645" s="9" t="s">
        <v>1710</v>
      </c>
      <c r="U645" s="10" t="s">
        <v>1711</v>
      </c>
      <c r="V645" s="2" t="s">
        <v>53</v>
      </c>
      <c r="W645" s="2">
        <v>5</v>
      </c>
      <c r="X645" s="2" t="s">
        <v>44</v>
      </c>
      <c r="Y645" s="2">
        <v>5</v>
      </c>
      <c r="Z645" s="2" t="s">
        <v>54</v>
      </c>
    </row>
    <row r="646" spans="1:26" x14ac:dyDescent="0.35">
      <c r="A646" s="2" t="s">
        <v>1188</v>
      </c>
      <c r="B646" s="3">
        <v>46107</v>
      </c>
      <c r="C646" s="2" t="s">
        <v>1189</v>
      </c>
      <c r="D646" s="2" t="s">
        <v>40</v>
      </c>
      <c r="E646" s="2" t="s">
        <v>41</v>
      </c>
      <c r="F646" s="2">
        <v>22</v>
      </c>
      <c r="G646" s="2" t="s">
        <v>122</v>
      </c>
      <c r="H646" s="2" t="s">
        <v>31</v>
      </c>
      <c r="I646" s="2" t="s">
        <v>122</v>
      </c>
      <c r="J646" s="2" t="s">
        <v>70</v>
      </c>
      <c r="K646" s="2">
        <v>2</v>
      </c>
      <c r="L646" s="2">
        <v>36921</v>
      </c>
      <c r="M646" s="2">
        <v>20</v>
      </c>
      <c r="N646" s="2">
        <v>14768.4</v>
      </c>
      <c r="O646" s="2">
        <v>10633.25</v>
      </c>
      <c r="P646" s="2">
        <v>288</v>
      </c>
      <c r="Q646" s="2">
        <v>69994.850000000006</v>
      </c>
      <c r="R646" s="2" t="s">
        <v>51</v>
      </c>
      <c r="S646" s="2" t="s">
        <v>59</v>
      </c>
      <c r="T646" s="9" t="s">
        <v>1705</v>
      </c>
      <c r="U646" s="10" t="s">
        <v>1702</v>
      </c>
      <c r="V646" s="2" t="s">
        <v>53</v>
      </c>
      <c r="W646" s="2">
        <v>7</v>
      </c>
      <c r="X646" s="2" t="s">
        <v>44</v>
      </c>
      <c r="Y646" s="2">
        <v>5</v>
      </c>
      <c r="Z646" s="2" t="s">
        <v>54</v>
      </c>
    </row>
    <row r="647" spans="1:26" x14ac:dyDescent="0.35">
      <c r="A647" s="2" t="s">
        <v>1190</v>
      </c>
      <c r="B647" s="3">
        <v>45830</v>
      </c>
      <c r="C647" s="2" t="s">
        <v>299</v>
      </c>
      <c r="D647" s="2" t="s">
        <v>57</v>
      </c>
      <c r="E647" s="2" t="s">
        <v>29</v>
      </c>
      <c r="F647" s="2">
        <v>34</v>
      </c>
      <c r="G647" s="2" t="s">
        <v>30</v>
      </c>
      <c r="H647" s="2" t="s">
        <v>31</v>
      </c>
      <c r="I647" s="2" t="s">
        <v>30</v>
      </c>
      <c r="J647" s="2" t="s">
        <v>100</v>
      </c>
      <c r="K647" s="2">
        <v>3</v>
      </c>
      <c r="L647" s="2">
        <v>4374</v>
      </c>
      <c r="M647" s="2">
        <v>20</v>
      </c>
      <c r="N647" s="2">
        <v>2624.4</v>
      </c>
      <c r="O647" s="2">
        <v>1889.57</v>
      </c>
      <c r="P647" s="2">
        <v>36</v>
      </c>
      <c r="Q647" s="2">
        <v>12423.17</v>
      </c>
      <c r="R647" s="2" t="s">
        <v>76</v>
      </c>
      <c r="S647" s="2" t="s">
        <v>59</v>
      </c>
      <c r="T647" s="9" t="s">
        <v>1705</v>
      </c>
      <c r="U647" s="10" t="s">
        <v>1702</v>
      </c>
      <c r="V647" s="2" t="s">
        <v>53</v>
      </c>
      <c r="W647" s="2">
        <v>9</v>
      </c>
      <c r="X647" s="2" t="s">
        <v>44</v>
      </c>
      <c r="Y647" s="2">
        <v>1</v>
      </c>
      <c r="Z647" s="2" t="s">
        <v>82</v>
      </c>
    </row>
    <row r="648" spans="1:26" x14ac:dyDescent="0.35">
      <c r="A648" s="2" t="s">
        <v>1191</v>
      </c>
      <c r="B648" s="3">
        <v>45948</v>
      </c>
      <c r="C648" s="2" t="s">
        <v>1141</v>
      </c>
      <c r="D648" s="2" t="s">
        <v>73</v>
      </c>
      <c r="E648" s="2" t="s">
        <v>29</v>
      </c>
      <c r="F648" s="2">
        <v>24</v>
      </c>
      <c r="G648" s="2" t="s">
        <v>69</v>
      </c>
      <c r="H648" s="2" t="s">
        <v>31</v>
      </c>
      <c r="I648" s="2" t="s">
        <v>69</v>
      </c>
      <c r="J648" s="2" t="s">
        <v>91</v>
      </c>
      <c r="K648" s="2">
        <v>5</v>
      </c>
      <c r="L648" s="2">
        <v>31044</v>
      </c>
      <c r="M648" s="2">
        <v>20</v>
      </c>
      <c r="N648" s="2">
        <v>31044</v>
      </c>
      <c r="O648" s="2">
        <v>22351.68</v>
      </c>
      <c r="P648" s="2">
        <v>403</v>
      </c>
      <c r="Q648" s="2">
        <v>146930.68</v>
      </c>
      <c r="R648" s="2" t="s">
        <v>76</v>
      </c>
      <c r="S648" s="2" t="s">
        <v>34</v>
      </c>
      <c r="T648" s="9" t="s">
        <v>1707</v>
      </c>
      <c r="U648" s="10" t="s">
        <v>1712</v>
      </c>
      <c r="V648" s="2" t="s">
        <v>53</v>
      </c>
      <c r="W648" s="2">
        <v>5</v>
      </c>
      <c r="X648" s="2" t="s">
        <v>44</v>
      </c>
      <c r="Y648" s="2">
        <v>2</v>
      </c>
      <c r="Z648" s="2" t="s">
        <v>44</v>
      </c>
    </row>
    <row r="649" spans="1:26" x14ac:dyDescent="0.35">
      <c r="A649" s="2" t="s">
        <v>1192</v>
      </c>
      <c r="B649" s="3">
        <v>45786</v>
      </c>
      <c r="C649" s="2" t="s">
        <v>172</v>
      </c>
      <c r="D649" s="2" t="s">
        <v>99</v>
      </c>
      <c r="E649" s="2" t="s">
        <v>41</v>
      </c>
      <c r="F649" s="2">
        <v>57</v>
      </c>
      <c r="G649" s="2" t="s">
        <v>63</v>
      </c>
      <c r="H649" s="2" t="s">
        <v>64</v>
      </c>
      <c r="I649" s="2" t="s">
        <v>63</v>
      </c>
      <c r="J649" s="2" t="s">
        <v>65</v>
      </c>
      <c r="K649" s="2">
        <v>3</v>
      </c>
      <c r="L649" s="2">
        <v>43444</v>
      </c>
      <c r="M649" s="2">
        <v>0</v>
      </c>
      <c r="N649" s="2">
        <v>0</v>
      </c>
      <c r="O649" s="2">
        <v>23459.759999999998</v>
      </c>
      <c r="P649" s="2">
        <v>238</v>
      </c>
      <c r="Q649" s="2">
        <v>154029.76000000001</v>
      </c>
      <c r="R649" s="2" t="s">
        <v>33</v>
      </c>
      <c r="S649" s="2" t="s">
        <v>34</v>
      </c>
      <c r="T649" s="9" t="s">
        <v>1704</v>
      </c>
      <c r="U649" s="10" t="s">
        <v>52</v>
      </c>
      <c r="V649" s="2" t="s">
        <v>35</v>
      </c>
      <c r="W649" s="2">
        <v>10</v>
      </c>
      <c r="X649" s="2" t="s">
        <v>36</v>
      </c>
      <c r="Y649" s="2">
        <v>4</v>
      </c>
      <c r="Z649" s="2" t="s">
        <v>82</v>
      </c>
    </row>
    <row r="650" spans="1:26" x14ac:dyDescent="0.35">
      <c r="A650" s="2" t="s">
        <v>1193</v>
      </c>
      <c r="B650" s="3">
        <v>46059</v>
      </c>
      <c r="C650" s="2" t="s">
        <v>960</v>
      </c>
      <c r="D650" s="2" t="s">
        <v>62</v>
      </c>
      <c r="E650" s="2" t="s">
        <v>29</v>
      </c>
      <c r="F650" s="2">
        <v>41</v>
      </c>
      <c r="G650" s="2" t="s">
        <v>42</v>
      </c>
      <c r="H650" s="2" t="s">
        <v>31</v>
      </c>
      <c r="I650" s="2" t="s">
        <v>42</v>
      </c>
      <c r="J650" s="2" t="s">
        <v>32</v>
      </c>
      <c r="K650" s="2">
        <v>2</v>
      </c>
      <c r="L650" s="2">
        <v>38898</v>
      </c>
      <c r="M650" s="2">
        <v>10</v>
      </c>
      <c r="N650" s="2">
        <v>7779.6</v>
      </c>
      <c r="O650" s="2">
        <v>12602.95</v>
      </c>
      <c r="P650" s="2">
        <v>277</v>
      </c>
      <c r="Q650" s="2">
        <v>82896.350000000006</v>
      </c>
      <c r="R650" s="2" t="s">
        <v>33</v>
      </c>
      <c r="S650" s="2" t="s">
        <v>34</v>
      </c>
      <c r="T650" s="9" t="s">
        <v>1705</v>
      </c>
      <c r="U650" s="10" t="s">
        <v>1702</v>
      </c>
      <c r="V650" s="2" t="s">
        <v>53</v>
      </c>
      <c r="W650" s="2">
        <v>10</v>
      </c>
      <c r="X650" s="2" t="s">
        <v>36</v>
      </c>
      <c r="Y650" s="2">
        <v>1</v>
      </c>
      <c r="Z650" s="2" t="s">
        <v>82</v>
      </c>
    </row>
    <row r="651" spans="1:26" x14ac:dyDescent="0.35">
      <c r="A651" s="2" t="s">
        <v>1194</v>
      </c>
      <c r="B651" s="3">
        <v>45773</v>
      </c>
      <c r="C651" s="2" t="s">
        <v>1086</v>
      </c>
      <c r="D651" s="2" t="s">
        <v>40</v>
      </c>
      <c r="E651" s="2" t="s">
        <v>41</v>
      </c>
      <c r="F651" s="2">
        <v>51</v>
      </c>
      <c r="G651" s="2" t="s">
        <v>81</v>
      </c>
      <c r="H651" s="2" t="s">
        <v>31</v>
      </c>
      <c r="I651" s="2" t="s">
        <v>81</v>
      </c>
      <c r="J651" s="2" t="s">
        <v>32</v>
      </c>
      <c r="K651" s="2">
        <v>3</v>
      </c>
      <c r="L651" s="2">
        <v>25634</v>
      </c>
      <c r="M651" s="2">
        <v>20</v>
      </c>
      <c r="N651" s="2">
        <v>15380.4</v>
      </c>
      <c r="O651" s="2">
        <v>11073.89</v>
      </c>
      <c r="P651" s="2">
        <v>490</v>
      </c>
      <c r="Q651" s="2">
        <v>73085.490000000005</v>
      </c>
      <c r="R651" s="2" t="s">
        <v>33</v>
      </c>
      <c r="S651" s="2" t="s">
        <v>34</v>
      </c>
      <c r="T651" s="9" t="s">
        <v>1706</v>
      </c>
      <c r="U651" s="10" t="s">
        <v>52</v>
      </c>
      <c r="V651" s="2" t="s">
        <v>53</v>
      </c>
      <c r="W651" s="2">
        <v>10</v>
      </c>
      <c r="X651" s="2" t="s">
        <v>36</v>
      </c>
      <c r="Y651" s="2">
        <v>1</v>
      </c>
      <c r="Z651" s="2" t="s">
        <v>44</v>
      </c>
    </row>
    <row r="652" spans="1:26" x14ac:dyDescent="0.35">
      <c r="A652" s="2" t="s">
        <v>1195</v>
      </c>
      <c r="B652" s="3">
        <v>45872</v>
      </c>
      <c r="C652" s="2" t="s">
        <v>1196</v>
      </c>
      <c r="D652" s="2" t="s">
        <v>96</v>
      </c>
      <c r="E652" s="2" t="s">
        <v>41</v>
      </c>
      <c r="F652" s="2">
        <v>36</v>
      </c>
      <c r="G652" s="2" t="s">
        <v>69</v>
      </c>
      <c r="H652" s="2" t="s">
        <v>31</v>
      </c>
      <c r="I652" s="2" t="s">
        <v>69</v>
      </c>
      <c r="J652" s="2" t="s">
        <v>65</v>
      </c>
      <c r="K652" s="2">
        <v>1</v>
      </c>
      <c r="L652" s="2">
        <v>18070</v>
      </c>
      <c r="M652" s="2">
        <v>5</v>
      </c>
      <c r="N652" s="2">
        <v>903.5</v>
      </c>
      <c r="O652" s="2">
        <v>3089.97</v>
      </c>
      <c r="P652" s="2">
        <v>495</v>
      </c>
      <c r="Q652" s="2">
        <v>20751.47</v>
      </c>
      <c r="R652" s="2" t="s">
        <v>76</v>
      </c>
      <c r="S652" s="2" t="s">
        <v>34</v>
      </c>
      <c r="T652" s="9" t="s">
        <v>1706</v>
      </c>
      <c r="U652" s="10" t="s">
        <v>52</v>
      </c>
      <c r="V652" s="2" t="s">
        <v>53</v>
      </c>
      <c r="W652" s="2">
        <v>6</v>
      </c>
      <c r="X652" s="2" t="s">
        <v>36</v>
      </c>
      <c r="Y652" s="2">
        <v>4</v>
      </c>
      <c r="Z652" s="2" t="s">
        <v>37</v>
      </c>
    </row>
    <row r="653" spans="1:26" x14ac:dyDescent="0.35">
      <c r="A653" s="2" t="s">
        <v>1197</v>
      </c>
      <c r="B653" s="3">
        <v>46090</v>
      </c>
      <c r="C653" s="2" t="s">
        <v>517</v>
      </c>
      <c r="D653" s="2" t="s">
        <v>57</v>
      </c>
      <c r="E653" s="2" t="s">
        <v>41</v>
      </c>
      <c r="F653" s="2">
        <v>56</v>
      </c>
      <c r="G653" s="2" t="s">
        <v>42</v>
      </c>
      <c r="H653" s="2" t="s">
        <v>31</v>
      </c>
      <c r="I653" s="2" t="s">
        <v>42</v>
      </c>
      <c r="J653" s="2" t="s">
        <v>58</v>
      </c>
      <c r="K653" s="2">
        <v>1</v>
      </c>
      <c r="L653" s="2">
        <v>25503</v>
      </c>
      <c r="M653" s="2">
        <v>15</v>
      </c>
      <c r="N653" s="2">
        <v>3825.45</v>
      </c>
      <c r="O653" s="2">
        <v>3901.96</v>
      </c>
      <c r="P653" s="2">
        <v>372</v>
      </c>
      <c r="Q653" s="2">
        <v>25951.51</v>
      </c>
      <c r="R653" s="2" t="s">
        <v>76</v>
      </c>
      <c r="S653" s="2" t="s">
        <v>59</v>
      </c>
      <c r="T653" s="9" t="s">
        <v>1706</v>
      </c>
      <c r="U653" s="10" t="s">
        <v>52</v>
      </c>
      <c r="V653" s="2" t="s">
        <v>53</v>
      </c>
      <c r="W653" s="2">
        <v>1</v>
      </c>
      <c r="X653" s="2" t="s">
        <v>44</v>
      </c>
      <c r="Y653" s="2">
        <v>2</v>
      </c>
      <c r="Z653" s="2" t="s">
        <v>44</v>
      </c>
    </row>
    <row r="654" spans="1:26" x14ac:dyDescent="0.35">
      <c r="A654" s="2" t="s">
        <v>1198</v>
      </c>
      <c r="B654" s="3">
        <v>45838</v>
      </c>
      <c r="C654" s="2" t="s">
        <v>427</v>
      </c>
      <c r="D654" s="2" t="s">
        <v>57</v>
      </c>
      <c r="E654" s="2" t="s">
        <v>29</v>
      </c>
      <c r="F654" s="2">
        <v>48</v>
      </c>
      <c r="G654" s="2" t="s">
        <v>81</v>
      </c>
      <c r="H654" s="2" t="s">
        <v>31</v>
      </c>
      <c r="I654" s="2" t="s">
        <v>81</v>
      </c>
      <c r="J654" s="2" t="s">
        <v>50</v>
      </c>
      <c r="K654" s="2">
        <v>3</v>
      </c>
      <c r="L654" s="2">
        <v>23347</v>
      </c>
      <c r="M654" s="2">
        <v>20</v>
      </c>
      <c r="N654" s="2">
        <v>14008.2</v>
      </c>
      <c r="O654" s="2">
        <v>10085.9</v>
      </c>
      <c r="P654" s="2">
        <v>18</v>
      </c>
      <c r="Q654" s="2">
        <v>66136.7</v>
      </c>
      <c r="R654" s="2" t="s">
        <v>76</v>
      </c>
      <c r="S654" s="2" t="s">
        <v>34</v>
      </c>
      <c r="T654" s="9" t="s">
        <v>1707</v>
      </c>
      <c r="U654" s="10" t="s">
        <v>1712</v>
      </c>
      <c r="V654" s="2" t="s">
        <v>53</v>
      </c>
      <c r="W654" s="2">
        <v>4</v>
      </c>
      <c r="X654" s="2" t="s">
        <v>36</v>
      </c>
      <c r="Y654" s="2">
        <v>2</v>
      </c>
      <c r="Z654" s="2" t="s">
        <v>82</v>
      </c>
    </row>
    <row r="655" spans="1:26" x14ac:dyDescent="0.35">
      <c r="A655" s="2" t="s">
        <v>1199</v>
      </c>
      <c r="B655" s="3">
        <v>45776</v>
      </c>
      <c r="C655" s="2" t="s">
        <v>397</v>
      </c>
      <c r="D655" s="2" t="s">
        <v>68</v>
      </c>
      <c r="E655" s="2" t="s">
        <v>41</v>
      </c>
      <c r="F655" s="2">
        <v>37</v>
      </c>
      <c r="G655" s="2" t="s">
        <v>127</v>
      </c>
      <c r="H655" s="2" t="s">
        <v>31</v>
      </c>
      <c r="I655" s="2" t="s">
        <v>127</v>
      </c>
      <c r="J655" s="2" t="s">
        <v>190</v>
      </c>
      <c r="K655" s="2">
        <v>3</v>
      </c>
      <c r="L655" s="2">
        <v>34998</v>
      </c>
      <c r="M655" s="2">
        <v>0</v>
      </c>
      <c r="N655" s="2">
        <v>0</v>
      </c>
      <c r="O655" s="2">
        <v>18898.919999999998</v>
      </c>
      <c r="P655" s="2">
        <v>218</v>
      </c>
      <c r="Q655" s="2">
        <v>124110.92</v>
      </c>
      <c r="R655" s="2" t="s">
        <v>76</v>
      </c>
      <c r="S655" s="2" t="s">
        <v>34</v>
      </c>
      <c r="T655" s="9" t="s">
        <v>1705</v>
      </c>
      <c r="U655" s="10" t="s">
        <v>1702</v>
      </c>
      <c r="V655" s="2" t="s">
        <v>53</v>
      </c>
      <c r="W655" s="2">
        <v>3</v>
      </c>
      <c r="X655" s="2" t="s">
        <v>44</v>
      </c>
      <c r="Y655" s="2">
        <v>5</v>
      </c>
      <c r="Z655" s="2" t="s">
        <v>44</v>
      </c>
    </row>
    <row r="656" spans="1:26" x14ac:dyDescent="0.35">
      <c r="A656" s="2" t="s">
        <v>1200</v>
      </c>
      <c r="B656" s="3">
        <v>45768</v>
      </c>
      <c r="C656" s="2" t="s">
        <v>414</v>
      </c>
      <c r="D656" s="2" t="s">
        <v>68</v>
      </c>
      <c r="E656" s="2" t="s">
        <v>41</v>
      </c>
      <c r="F656" s="2">
        <v>60</v>
      </c>
      <c r="G656" s="2" t="s">
        <v>88</v>
      </c>
      <c r="H656" s="2" t="s">
        <v>49</v>
      </c>
      <c r="I656" s="2" t="s">
        <v>88</v>
      </c>
      <c r="J656" s="2" t="s">
        <v>100</v>
      </c>
      <c r="K656" s="2">
        <v>2</v>
      </c>
      <c r="L656" s="2">
        <v>20237</v>
      </c>
      <c r="M656" s="2">
        <v>20</v>
      </c>
      <c r="N656" s="2">
        <v>8094.8</v>
      </c>
      <c r="O656" s="2">
        <v>5828.26</v>
      </c>
      <c r="P656" s="2">
        <v>329</v>
      </c>
      <c r="Q656" s="2">
        <v>38536.46</v>
      </c>
      <c r="R656" s="2" t="s">
        <v>51</v>
      </c>
      <c r="S656" s="2" t="s">
        <v>34</v>
      </c>
      <c r="T656" s="9" t="s">
        <v>1707</v>
      </c>
      <c r="U656" s="10" t="s">
        <v>1712</v>
      </c>
      <c r="V656" s="2" t="s">
        <v>53</v>
      </c>
      <c r="W656" s="2">
        <v>3</v>
      </c>
      <c r="X656" s="2" t="s">
        <v>44</v>
      </c>
      <c r="Y656" s="2">
        <v>4</v>
      </c>
      <c r="Z656" s="2" t="s">
        <v>82</v>
      </c>
    </row>
    <row r="657" spans="1:26" x14ac:dyDescent="0.35">
      <c r="A657" s="2" t="s">
        <v>1201</v>
      </c>
      <c r="B657" s="3">
        <v>45933</v>
      </c>
      <c r="C657" s="2" t="s">
        <v>117</v>
      </c>
      <c r="D657" s="2" t="s">
        <v>28</v>
      </c>
      <c r="E657" s="2" t="s">
        <v>29</v>
      </c>
      <c r="F657" s="2">
        <v>30</v>
      </c>
      <c r="G657" s="2" t="s">
        <v>122</v>
      </c>
      <c r="H657" s="2" t="s">
        <v>31</v>
      </c>
      <c r="I657" s="2" t="s">
        <v>122</v>
      </c>
      <c r="J657" s="2" t="s">
        <v>32</v>
      </c>
      <c r="K657" s="2">
        <v>5</v>
      </c>
      <c r="L657" s="2">
        <v>48600</v>
      </c>
      <c r="M657" s="2">
        <v>15</v>
      </c>
      <c r="N657" s="2">
        <v>36450</v>
      </c>
      <c r="O657" s="2">
        <v>37179</v>
      </c>
      <c r="P657" s="2">
        <v>201</v>
      </c>
      <c r="Q657" s="2">
        <v>243930</v>
      </c>
      <c r="R657" s="2" t="s">
        <v>76</v>
      </c>
      <c r="S657" s="2" t="s">
        <v>59</v>
      </c>
      <c r="T657" s="9" t="s">
        <v>1704</v>
      </c>
      <c r="U657" s="10" t="s">
        <v>52</v>
      </c>
      <c r="V657" s="2" t="s">
        <v>35</v>
      </c>
      <c r="W657" s="2">
        <v>8</v>
      </c>
      <c r="X657" s="2" t="s">
        <v>36</v>
      </c>
      <c r="Y657" s="2">
        <v>1</v>
      </c>
      <c r="Z657" s="2" t="s">
        <v>37</v>
      </c>
    </row>
    <row r="658" spans="1:26" x14ac:dyDescent="0.35">
      <c r="A658" s="2" t="s">
        <v>1202</v>
      </c>
      <c r="B658" s="3">
        <v>45941</v>
      </c>
      <c r="C658" s="2" t="s">
        <v>1203</v>
      </c>
      <c r="D658" s="2" t="s">
        <v>80</v>
      </c>
      <c r="E658" s="2" t="s">
        <v>29</v>
      </c>
      <c r="F658" s="2">
        <v>32</v>
      </c>
      <c r="G658" s="2" t="s">
        <v>30</v>
      </c>
      <c r="H658" s="2" t="s">
        <v>31</v>
      </c>
      <c r="I658" s="2" t="s">
        <v>30</v>
      </c>
      <c r="J658" s="2" t="s">
        <v>65</v>
      </c>
      <c r="K658" s="2">
        <v>5</v>
      </c>
      <c r="L658" s="2">
        <v>22607</v>
      </c>
      <c r="M658" s="2">
        <v>15</v>
      </c>
      <c r="N658" s="2">
        <v>16955.25</v>
      </c>
      <c r="O658" s="2">
        <v>17294.349999999999</v>
      </c>
      <c r="P658" s="2">
        <v>90</v>
      </c>
      <c r="Q658" s="2">
        <v>113464.1</v>
      </c>
      <c r="R658" s="2" t="s">
        <v>51</v>
      </c>
      <c r="S658" s="2" t="s">
        <v>34</v>
      </c>
      <c r="T658" s="9" t="s">
        <v>1703</v>
      </c>
      <c r="U658" s="10" t="s">
        <v>1701</v>
      </c>
      <c r="V658" s="2" t="s">
        <v>35</v>
      </c>
      <c r="W658" s="2">
        <v>6</v>
      </c>
      <c r="X658" s="2" t="s">
        <v>36</v>
      </c>
      <c r="Y658" s="2">
        <v>5</v>
      </c>
      <c r="Z658" s="2" t="s">
        <v>82</v>
      </c>
    </row>
    <row r="659" spans="1:26" x14ac:dyDescent="0.35">
      <c r="A659" s="2" t="s">
        <v>1204</v>
      </c>
      <c r="B659" s="3">
        <v>45935</v>
      </c>
      <c r="C659" s="2" t="s">
        <v>1205</v>
      </c>
      <c r="D659" s="2" t="s">
        <v>57</v>
      </c>
      <c r="E659" s="2" t="s">
        <v>41</v>
      </c>
      <c r="F659" s="2">
        <v>19</v>
      </c>
      <c r="G659" s="2" t="s">
        <v>85</v>
      </c>
      <c r="H659" s="2" t="s">
        <v>31</v>
      </c>
      <c r="I659" s="2" t="s">
        <v>85</v>
      </c>
      <c r="J659" s="2" t="s">
        <v>65</v>
      </c>
      <c r="K659" s="2">
        <v>3</v>
      </c>
      <c r="L659" s="2">
        <v>35119</v>
      </c>
      <c r="M659" s="2">
        <v>10</v>
      </c>
      <c r="N659" s="2">
        <v>10535.7</v>
      </c>
      <c r="O659" s="2">
        <v>17067.830000000002</v>
      </c>
      <c r="P659" s="2">
        <v>267</v>
      </c>
      <c r="Q659" s="2">
        <v>112156.13</v>
      </c>
      <c r="R659" s="2" t="s">
        <v>43</v>
      </c>
      <c r="S659" s="2" t="s">
        <v>34</v>
      </c>
      <c r="T659" s="9" t="s">
        <v>1707</v>
      </c>
      <c r="U659" s="10" t="s">
        <v>1712</v>
      </c>
      <c r="V659" s="2" t="s">
        <v>53</v>
      </c>
      <c r="W659" s="2">
        <v>5</v>
      </c>
      <c r="X659" s="2" t="s">
        <v>44</v>
      </c>
      <c r="Y659" s="2">
        <v>2</v>
      </c>
      <c r="Z659" s="2" t="s">
        <v>82</v>
      </c>
    </row>
    <row r="660" spans="1:26" x14ac:dyDescent="0.35">
      <c r="A660" s="2" t="s">
        <v>1206</v>
      </c>
      <c r="B660" s="3">
        <v>46119</v>
      </c>
      <c r="C660" s="2" t="s">
        <v>966</v>
      </c>
      <c r="D660" s="2" t="s">
        <v>28</v>
      </c>
      <c r="E660" s="2" t="s">
        <v>29</v>
      </c>
      <c r="F660" s="2">
        <v>49</v>
      </c>
      <c r="G660" s="2" t="s">
        <v>81</v>
      </c>
      <c r="H660" s="2" t="s">
        <v>31</v>
      </c>
      <c r="I660" s="2" t="s">
        <v>81</v>
      </c>
      <c r="J660" s="2" t="s">
        <v>58</v>
      </c>
      <c r="K660" s="2">
        <v>1</v>
      </c>
      <c r="L660" s="2">
        <v>23303</v>
      </c>
      <c r="M660" s="2">
        <v>10</v>
      </c>
      <c r="N660" s="2">
        <v>2330.3000000000002</v>
      </c>
      <c r="O660" s="2">
        <v>3775.09</v>
      </c>
      <c r="P660" s="2">
        <v>211</v>
      </c>
      <c r="Q660" s="2">
        <v>24958.79</v>
      </c>
      <c r="R660" s="2" t="s">
        <v>51</v>
      </c>
      <c r="S660" s="2" t="s">
        <v>34</v>
      </c>
      <c r="T660" s="9" t="s">
        <v>1710</v>
      </c>
      <c r="U660" s="10" t="s">
        <v>1711</v>
      </c>
      <c r="V660" s="2" t="s">
        <v>53</v>
      </c>
      <c r="W660" s="2">
        <v>10</v>
      </c>
      <c r="X660" s="2" t="s">
        <v>44</v>
      </c>
      <c r="Y660" s="2">
        <v>5</v>
      </c>
      <c r="Z660" s="2" t="s">
        <v>37</v>
      </c>
    </row>
    <row r="661" spans="1:26" x14ac:dyDescent="0.35">
      <c r="A661" s="2" t="s">
        <v>1207</v>
      </c>
      <c r="B661" s="3">
        <v>45839</v>
      </c>
      <c r="C661" s="2" t="s">
        <v>434</v>
      </c>
      <c r="D661" s="2" t="s">
        <v>57</v>
      </c>
      <c r="E661" s="2" t="s">
        <v>41</v>
      </c>
      <c r="F661" s="2">
        <v>47</v>
      </c>
      <c r="G661" s="2" t="s">
        <v>81</v>
      </c>
      <c r="H661" s="2" t="s">
        <v>31</v>
      </c>
      <c r="I661" s="2" t="s">
        <v>81</v>
      </c>
      <c r="J661" s="2" t="s">
        <v>138</v>
      </c>
      <c r="K661" s="2">
        <v>2</v>
      </c>
      <c r="L661" s="2">
        <v>47952</v>
      </c>
      <c r="M661" s="2">
        <v>20</v>
      </c>
      <c r="N661" s="2">
        <v>19180.8</v>
      </c>
      <c r="O661" s="2">
        <v>13810.18</v>
      </c>
      <c r="P661" s="2">
        <v>396</v>
      </c>
      <c r="Q661" s="2">
        <v>90929.38</v>
      </c>
      <c r="R661" s="2" t="s">
        <v>76</v>
      </c>
      <c r="S661" s="2" t="s">
        <v>34</v>
      </c>
      <c r="T661" s="9" t="s">
        <v>1704</v>
      </c>
      <c r="U661" s="10" t="s">
        <v>52</v>
      </c>
      <c r="V661" s="2" t="s">
        <v>35</v>
      </c>
      <c r="W661" s="2">
        <v>6</v>
      </c>
      <c r="X661" s="2" t="s">
        <v>36</v>
      </c>
      <c r="Y661" s="2">
        <v>4</v>
      </c>
      <c r="Z661" s="2" t="s">
        <v>82</v>
      </c>
    </row>
    <row r="662" spans="1:26" x14ac:dyDescent="0.35">
      <c r="A662" s="2" t="s">
        <v>1208</v>
      </c>
      <c r="B662" s="3">
        <v>45945</v>
      </c>
      <c r="C662" s="2" t="s">
        <v>669</v>
      </c>
      <c r="D662" s="2" t="s">
        <v>62</v>
      </c>
      <c r="E662" s="2" t="s">
        <v>41</v>
      </c>
      <c r="F662" s="2">
        <v>56</v>
      </c>
      <c r="G662" s="2" t="s">
        <v>30</v>
      </c>
      <c r="H662" s="2" t="s">
        <v>31</v>
      </c>
      <c r="I662" s="2" t="s">
        <v>30</v>
      </c>
      <c r="J662" s="2" t="s">
        <v>91</v>
      </c>
      <c r="K662" s="2">
        <v>5</v>
      </c>
      <c r="L662" s="2">
        <v>32236</v>
      </c>
      <c r="M662" s="2">
        <v>0</v>
      </c>
      <c r="N662" s="2">
        <v>0</v>
      </c>
      <c r="O662" s="2">
        <v>29012.400000000001</v>
      </c>
      <c r="P662" s="2">
        <v>327</v>
      </c>
      <c r="Q662" s="2">
        <v>190519.4</v>
      </c>
      <c r="R662" s="2" t="s">
        <v>51</v>
      </c>
      <c r="S662" s="2" t="s">
        <v>34</v>
      </c>
      <c r="T662" s="9" t="s">
        <v>1705</v>
      </c>
      <c r="U662" s="10" t="s">
        <v>1702</v>
      </c>
      <c r="V662" s="2" t="s">
        <v>53</v>
      </c>
      <c r="W662" s="2">
        <v>6</v>
      </c>
      <c r="X662" s="2" t="s">
        <v>36</v>
      </c>
      <c r="Y662" s="2">
        <v>4</v>
      </c>
      <c r="Z662" s="2" t="s">
        <v>44</v>
      </c>
    </row>
    <row r="663" spans="1:26" x14ac:dyDescent="0.35">
      <c r="A663" s="2" t="s">
        <v>1209</v>
      </c>
      <c r="B663" s="3">
        <v>45933</v>
      </c>
      <c r="C663" s="2" t="s">
        <v>268</v>
      </c>
      <c r="D663" s="2" t="s">
        <v>73</v>
      </c>
      <c r="E663" s="2" t="s">
        <v>41</v>
      </c>
      <c r="F663" s="2">
        <v>29</v>
      </c>
      <c r="G663" s="2" t="s">
        <v>81</v>
      </c>
      <c r="H663" s="2" t="s">
        <v>31</v>
      </c>
      <c r="I663" s="2" t="s">
        <v>81</v>
      </c>
      <c r="J663" s="2" t="s">
        <v>190</v>
      </c>
      <c r="K663" s="2">
        <v>1</v>
      </c>
      <c r="L663" s="2">
        <v>35972</v>
      </c>
      <c r="M663" s="2">
        <v>5</v>
      </c>
      <c r="N663" s="2">
        <v>1798.6</v>
      </c>
      <c r="O663" s="2">
        <v>6151.21</v>
      </c>
      <c r="P663" s="2">
        <v>96</v>
      </c>
      <c r="Q663" s="2">
        <v>40420.61</v>
      </c>
      <c r="R663" s="2" t="s">
        <v>51</v>
      </c>
      <c r="S663" s="2" t="s">
        <v>34</v>
      </c>
      <c r="T663" s="9" t="s">
        <v>1708</v>
      </c>
      <c r="U663" s="10" t="s">
        <v>52</v>
      </c>
      <c r="V663" s="2" t="s">
        <v>77</v>
      </c>
      <c r="W663" s="2">
        <v>10</v>
      </c>
      <c r="X663" s="2" t="s">
        <v>36</v>
      </c>
      <c r="Y663" s="2">
        <v>4</v>
      </c>
      <c r="Z663" s="2" t="s">
        <v>44</v>
      </c>
    </row>
    <row r="664" spans="1:26" x14ac:dyDescent="0.35">
      <c r="A664" s="2" t="s">
        <v>1210</v>
      </c>
      <c r="B664" s="3">
        <v>46074</v>
      </c>
      <c r="C664" s="2" t="s">
        <v>1211</v>
      </c>
      <c r="D664" s="2" t="s">
        <v>47</v>
      </c>
      <c r="E664" s="2" t="s">
        <v>29</v>
      </c>
      <c r="F664" s="2">
        <v>34</v>
      </c>
      <c r="G664" s="2" t="s">
        <v>122</v>
      </c>
      <c r="H664" s="2" t="s">
        <v>31</v>
      </c>
      <c r="I664" s="2" t="s">
        <v>122</v>
      </c>
      <c r="J664" s="2" t="s">
        <v>32</v>
      </c>
      <c r="K664" s="2">
        <v>3</v>
      </c>
      <c r="L664" s="2">
        <v>43548</v>
      </c>
      <c r="M664" s="2">
        <v>10</v>
      </c>
      <c r="N664" s="2">
        <v>13064.4</v>
      </c>
      <c r="O664" s="2">
        <v>21164.33</v>
      </c>
      <c r="P664" s="2">
        <v>336</v>
      </c>
      <c r="Q664" s="2">
        <v>139079.93</v>
      </c>
      <c r="R664" s="2" t="s">
        <v>51</v>
      </c>
      <c r="S664" s="2" t="s">
        <v>34</v>
      </c>
      <c r="T664" s="9" t="s">
        <v>1706</v>
      </c>
      <c r="U664" s="10" t="s">
        <v>52</v>
      </c>
      <c r="V664" s="2" t="s">
        <v>53</v>
      </c>
      <c r="W664" s="2">
        <v>8</v>
      </c>
      <c r="X664" s="2" t="s">
        <v>36</v>
      </c>
      <c r="Y664" s="2">
        <v>4</v>
      </c>
      <c r="Z664" s="2" t="s">
        <v>44</v>
      </c>
    </row>
    <row r="665" spans="1:26" x14ac:dyDescent="0.35">
      <c r="A665" s="2" t="s">
        <v>1212</v>
      </c>
      <c r="B665" s="3">
        <v>46090</v>
      </c>
      <c r="C665" s="2" t="s">
        <v>1213</v>
      </c>
      <c r="D665" s="2" t="s">
        <v>96</v>
      </c>
      <c r="E665" s="2" t="s">
        <v>29</v>
      </c>
      <c r="F665" s="2">
        <v>54</v>
      </c>
      <c r="G665" s="2" t="s">
        <v>69</v>
      </c>
      <c r="H665" s="2" t="s">
        <v>31</v>
      </c>
      <c r="I665" s="2" t="s">
        <v>69</v>
      </c>
      <c r="J665" s="2" t="s">
        <v>70</v>
      </c>
      <c r="K665" s="2">
        <v>4</v>
      </c>
      <c r="L665" s="2">
        <v>7915</v>
      </c>
      <c r="M665" s="2">
        <v>10</v>
      </c>
      <c r="N665" s="2">
        <v>3166</v>
      </c>
      <c r="O665" s="2">
        <v>5128.92</v>
      </c>
      <c r="P665" s="2">
        <v>361</v>
      </c>
      <c r="Q665" s="2">
        <v>33983.919999999998</v>
      </c>
      <c r="R665" s="2" t="s">
        <v>33</v>
      </c>
      <c r="S665" s="2" t="s">
        <v>34</v>
      </c>
      <c r="T665" s="9" t="s">
        <v>1708</v>
      </c>
      <c r="U665" s="10" t="s">
        <v>52</v>
      </c>
      <c r="V665" s="2" t="s">
        <v>77</v>
      </c>
      <c r="W665" s="2">
        <v>5</v>
      </c>
      <c r="X665" s="2" t="s">
        <v>44</v>
      </c>
      <c r="Y665" s="2">
        <v>1</v>
      </c>
      <c r="Z665" s="2" t="s">
        <v>44</v>
      </c>
    </row>
    <row r="666" spans="1:26" x14ac:dyDescent="0.35">
      <c r="A666" s="2" t="s">
        <v>1214</v>
      </c>
      <c r="B666" s="3">
        <v>45905</v>
      </c>
      <c r="C666" s="2" t="s">
        <v>1215</v>
      </c>
      <c r="D666" s="2" t="s">
        <v>80</v>
      </c>
      <c r="E666" s="2" t="s">
        <v>41</v>
      </c>
      <c r="F666" s="2">
        <v>45</v>
      </c>
      <c r="G666" s="2" t="s">
        <v>127</v>
      </c>
      <c r="H666" s="2" t="s">
        <v>31</v>
      </c>
      <c r="I666" s="2" t="s">
        <v>127</v>
      </c>
      <c r="J666" s="2" t="s">
        <v>91</v>
      </c>
      <c r="K666" s="2">
        <v>3</v>
      </c>
      <c r="L666" s="2">
        <v>3759</v>
      </c>
      <c r="M666" s="2">
        <v>0</v>
      </c>
      <c r="N666" s="2">
        <v>0</v>
      </c>
      <c r="O666" s="2">
        <v>2029.86</v>
      </c>
      <c r="P666" s="2">
        <v>446</v>
      </c>
      <c r="Q666" s="2">
        <v>13752.86</v>
      </c>
      <c r="R666" s="2" t="s">
        <v>43</v>
      </c>
      <c r="S666" s="2" t="s">
        <v>34</v>
      </c>
      <c r="T666" s="9" t="s">
        <v>1707</v>
      </c>
      <c r="U666" s="10" t="s">
        <v>1712</v>
      </c>
      <c r="V666" s="2" t="s">
        <v>53</v>
      </c>
      <c r="W666" s="2">
        <v>4</v>
      </c>
      <c r="X666" s="2" t="s">
        <v>36</v>
      </c>
      <c r="Y666" s="2">
        <v>4</v>
      </c>
      <c r="Z666" s="2" t="s">
        <v>37</v>
      </c>
    </row>
    <row r="667" spans="1:26" x14ac:dyDescent="0.35">
      <c r="A667" s="2" t="s">
        <v>1216</v>
      </c>
      <c r="B667" s="3">
        <v>46101</v>
      </c>
      <c r="C667" s="2" t="s">
        <v>1066</v>
      </c>
      <c r="D667" s="2" t="s">
        <v>40</v>
      </c>
      <c r="E667" s="2" t="s">
        <v>41</v>
      </c>
      <c r="F667" s="2">
        <v>18</v>
      </c>
      <c r="G667" s="2" t="s">
        <v>88</v>
      </c>
      <c r="H667" s="2" t="s">
        <v>49</v>
      </c>
      <c r="I667" s="2" t="s">
        <v>88</v>
      </c>
      <c r="J667" s="2" t="s">
        <v>113</v>
      </c>
      <c r="K667" s="2">
        <v>1</v>
      </c>
      <c r="L667" s="2">
        <v>17726</v>
      </c>
      <c r="M667" s="2">
        <v>10</v>
      </c>
      <c r="N667" s="2">
        <v>1772.6</v>
      </c>
      <c r="O667" s="2">
        <v>2871.61</v>
      </c>
      <c r="P667" s="2">
        <v>165</v>
      </c>
      <c r="Q667" s="2">
        <v>18990.009999999998</v>
      </c>
      <c r="R667" s="2" t="s">
        <v>33</v>
      </c>
      <c r="S667" s="2" t="s">
        <v>34</v>
      </c>
      <c r="T667" s="9" t="s">
        <v>1705</v>
      </c>
      <c r="U667" s="10" t="s">
        <v>1702</v>
      </c>
      <c r="V667" s="2" t="s">
        <v>53</v>
      </c>
      <c r="W667" s="2">
        <v>8</v>
      </c>
      <c r="X667" s="2" t="s">
        <v>44</v>
      </c>
      <c r="Y667" s="2">
        <v>5</v>
      </c>
      <c r="Z667" s="2" t="s">
        <v>44</v>
      </c>
    </row>
    <row r="668" spans="1:26" x14ac:dyDescent="0.35">
      <c r="A668" s="2" t="s">
        <v>1217</v>
      </c>
      <c r="B668" s="3">
        <v>45931</v>
      </c>
      <c r="C668" s="2" t="s">
        <v>1218</v>
      </c>
      <c r="D668" s="2" t="s">
        <v>57</v>
      </c>
      <c r="E668" s="2" t="s">
        <v>29</v>
      </c>
      <c r="F668" s="2">
        <v>56</v>
      </c>
      <c r="G668" s="2" t="s">
        <v>88</v>
      </c>
      <c r="H668" s="2" t="s">
        <v>49</v>
      </c>
      <c r="I668" s="2" t="s">
        <v>88</v>
      </c>
      <c r="J668" s="2" t="s">
        <v>50</v>
      </c>
      <c r="K668" s="2">
        <v>3</v>
      </c>
      <c r="L668" s="2">
        <v>13518</v>
      </c>
      <c r="M668" s="2">
        <v>0</v>
      </c>
      <c r="N668" s="2">
        <v>0</v>
      </c>
      <c r="O668" s="2">
        <v>7299.72</v>
      </c>
      <c r="P668" s="2">
        <v>220</v>
      </c>
      <c r="Q668" s="2">
        <v>48073.72</v>
      </c>
      <c r="R668" s="2" t="s">
        <v>33</v>
      </c>
      <c r="S668" s="2" t="s">
        <v>59</v>
      </c>
      <c r="T668" s="9" t="s">
        <v>1706</v>
      </c>
      <c r="U668" s="10" t="s">
        <v>52</v>
      </c>
      <c r="V668" s="2" t="s">
        <v>53</v>
      </c>
      <c r="W668" s="2">
        <v>9</v>
      </c>
      <c r="X668" s="2" t="s">
        <v>36</v>
      </c>
      <c r="Y668" s="2">
        <v>4</v>
      </c>
      <c r="Z668" s="2" t="s">
        <v>44</v>
      </c>
    </row>
    <row r="669" spans="1:26" x14ac:dyDescent="0.35">
      <c r="A669" s="2" t="s">
        <v>1219</v>
      </c>
      <c r="B669" s="3">
        <v>46109</v>
      </c>
      <c r="C669" s="2" t="s">
        <v>1220</v>
      </c>
      <c r="D669" s="2" t="s">
        <v>80</v>
      </c>
      <c r="E669" s="2" t="s">
        <v>29</v>
      </c>
      <c r="F669" s="2">
        <v>43</v>
      </c>
      <c r="G669" s="2" t="s">
        <v>30</v>
      </c>
      <c r="H669" s="2" t="s">
        <v>31</v>
      </c>
      <c r="I669" s="2" t="s">
        <v>30</v>
      </c>
      <c r="J669" s="2" t="s">
        <v>138</v>
      </c>
      <c r="K669" s="2">
        <v>5</v>
      </c>
      <c r="L669" s="2">
        <v>48662</v>
      </c>
      <c r="M669" s="2">
        <v>0</v>
      </c>
      <c r="N669" s="2">
        <v>0</v>
      </c>
      <c r="O669" s="2">
        <v>43795.8</v>
      </c>
      <c r="P669" s="2">
        <v>270</v>
      </c>
      <c r="Q669" s="2">
        <v>287375.8</v>
      </c>
      <c r="R669" s="2" t="s">
        <v>43</v>
      </c>
      <c r="S669" s="2" t="s">
        <v>59</v>
      </c>
      <c r="T669" s="9" t="s">
        <v>1703</v>
      </c>
      <c r="U669" s="10" t="s">
        <v>1701</v>
      </c>
      <c r="V669" s="2" t="s">
        <v>35</v>
      </c>
      <c r="W669" s="2">
        <v>10</v>
      </c>
      <c r="X669" s="2" t="s">
        <v>36</v>
      </c>
      <c r="Y669" s="2">
        <v>5</v>
      </c>
      <c r="Z669" s="2" t="s">
        <v>37</v>
      </c>
    </row>
    <row r="670" spans="1:26" x14ac:dyDescent="0.35">
      <c r="A670" s="2" t="s">
        <v>1221</v>
      </c>
      <c r="B670" s="3">
        <v>45998</v>
      </c>
      <c r="C670" s="2" t="s">
        <v>840</v>
      </c>
      <c r="D670" s="2" t="s">
        <v>68</v>
      </c>
      <c r="E670" s="2" t="s">
        <v>41</v>
      </c>
      <c r="F670" s="2">
        <v>32</v>
      </c>
      <c r="G670" s="2" t="s">
        <v>42</v>
      </c>
      <c r="H670" s="2" t="s">
        <v>31</v>
      </c>
      <c r="I670" s="2" t="s">
        <v>42</v>
      </c>
      <c r="J670" s="2" t="s">
        <v>100</v>
      </c>
      <c r="K670" s="2">
        <v>4</v>
      </c>
      <c r="L670" s="2">
        <v>48803</v>
      </c>
      <c r="M670" s="2">
        <v>0</v>
      </c>
      <c r="N670" s="2">
        <v>0</v>
      </c>
      <c r="O670" s="2">
        <v>35138.160000000003</v>
      </c>
      <c r="P670" s="2">
        <v>191</v>
      </c>
      <c r="Q670" s="2">
        <v>230541.16</v>
      </c>
      <c r="R670" s="2" t="s">
        <v>76</v>
      </c>
      <c r="S670" s="2" t="s">
        <v>34</v>
      </c>
      <c r="T670" s="9" t="s">
        <v>1703</v>
      </c>
      <c r="U670" s="10" t="s">
        <v>1701</v>
      </c>
      <c r="V670" s="2" t="s">
        <v>35</v>
      </c>
      <c r="W670" s="2">
        <v>2</v>
      </c>
      <c r="X670" s="2" t="s">
        <v>36</v>
      </c>
      <c r="Y670" s="2">
        <v>2</v>
      </c>
      <c r="Z670" s="2" t="s">
        <v>44</v>
      </c>
    </row>
    <row r="671" spans="1:26" x14ac:dyDescent="0.35">
      <c r="A671" s="2" t="s">
        <v>1222</v>
      </c>
      <c r="B671" s="3">
        <v>46072</v>
      </c>
      <c r="C671" s="2" t="s">
        <v>1223</v>
      </c>
      <c r="D671" s="2" t="s">
        <v>57</v>
      </c>
      <c r="E671" s="2" t="s">
        <v>29</v>
      </c>
      <c r="F671" s="2">
        <v>33</v>
      </c>
      <c r="G671" s="2" t="s">
        <v>69</v>
      </c>
      <c r="H671" s="2" t="s">
        <v>31</v>
      </c>
      <c r="I671" s="2" t="s">
        <v>69</v>
      </c>
      <c r="J671" s="2" t="s">
        <v>58</v>
      </c>
      <c r="K671" s="2">
        <v>1</v>
      </c>
      <c r="L671" s="2">
        <v>20388</v>
      </c>
      <c r="M671" s="2">
        <v>0</v>
      </c>
      <c r="N671" s="2">
        <v>0</v>
      </c>
      <c r="O671" s="2">
        <v>3669.84</v>
      </c>
      <c r="P671" s="2">
        <v>118</v>
      </c>
      <c r="Q671" s="2">
        <v>24175.84</v>
      </c>
      <c r="R671" s="2" t="s">
        <v>51</v>
      </c>
      <c r="S671" s="2" t="s">
        <v>34</v>
      </c>
      <c r="T671" s="9" t="s">
        <v>1705</v>
      </c>
      <c r="U671" s="10" t="s">
        <v>1702</v>
      </c>
      <c r="V671" s="2" t="s">
        <v>53</v>
      </c>
      <c r="W671" s="2">
        <v>2</v>
      </c>
      <c r="X671" s="2" t="s">
        <v>44</v>
      </c>
      <c r="Y671" s="2">
        <v>2</v>
      </c>
      <c r="Z671" s="2" t="s">
        <v>82</v>
      </c>
    </row>
    <row r="672" spans="1:26" x14ac:dyDescent="0.35">
      <c r="A672" s="2" t="s">
        <v>1224</v>
      </c>
      <c r="B672" s="3">
        <v>46085</v>
      </c>
      <c r="C672" s="2" t="s">
        <v>702</v>
      </c>
      <c r="D672" s="2" t="s">
        <v>80</v>
      </c>
      <c r="E672" s="2" t="s">
        <v>29</v>
      </c>
      <c r="F672" s="2">
        <v>54</v>
      </c>
      <c r="G672" s="2" t="s">
        <v>48</v>
      </c>
      <c r="H672" s="2" t="s">
        <v>49</v>
      </c>
      <c r="I672" s="2" t="s">
        <v>48</v>
      </c>
      <c r="J672" s="2" t="s">
        <v>65</v>
      </c>
      <c r="K672" s="2">
        <v>1</v>
      </c>
      <c r="L672" s="2">
        <v>38234</v>
      </c>
      <c r="M672" s="2">
        <v>15</v>
      </c>
      <c r="N672" s="2">
        <v>5735.1</v>
      </c>
      <c r="O672" s="2">
        <v>5849.8</v>
      </c>
      <c r="P672" s="2">
        <v>117</v>
      </c>
      <c r="Q672" s="2">
        <v>38465.699999999997</v>
      </c>
      <c r="R672" s="2" t="s">
        <v>33</v>
      </c>
      <c r="S672" s="2" t="s">
        <v>34</v>
      </c>
      <c r="T672" s="9" t="s">
        <v>1704</v>
      </c>
      <c r="U672" s="10" t="s">
        <v>52</v>
      </c>
      <c r="V672" s="2" t="s">
        <v>35</v>
      </c>
      <c r="W672" s="2">
        <v>6</v>
      </c>
      <c r="X672" s="2" t="s">
        <v>44</v>
      </c>
      <c r="Y672" s="2">
        <v>3</v>
      </c>
      <c r="Z672" s="2" t="s">
        <v>54</v>
      </c>
    </row>
    <row r="673" spans="1:26" x14ac:dyDescent="0.35">
      <c r="A673" s="2" t="s">
        <v>1225</v>
      </c>
      <c r="B673" s="3">
        <v>45898</v>
      </c>
      <c r="C673" s="2" t="s">
        <v>1226</v>
      </c>
      <c r="D673" s="2" t="s">
        <v>47</v>
      </c>
      <c r="E673" s="2" t="s">
        <v>41</v>
      </c>
      <c r="F673" s="2">
        <v>26</v>
      </c>
      <c r="G673" s="2" t="s">
        <v>122</v>
      </c>
      <c r="H673" s="2" t="s">
        <v>31</v>
      </c>
      <c r="I673" s="2" t="s">
        <v>122</v>
      </c>
      <c r="J673" s="2" t="s">
        <v>113</v>
      </c>
      <c r="K673" s="2">
        <v>3</v>
      </c>
      <c r="L673" s="2">
        <v>36323</v>
      </c>
      <c r="M673" s="2">
        <v>10</v>
      </c>
      <c r="N673" s="2">
        <v>10896.9</v>
      </c>
      <c r="O673" s="2">
        <v>17652.98</v>
      </c>
      <c r="P673" s="2">
        <v>446</v>
      </c>
      <c r="Q673" s="2">
        <v>116171.08</v>
      </c>
      <c r="R673" s="2" t="s">
        <v>76</v>
      </c>
      <c r="S673" s="2" t="s">
        <v>34</v>
      </c>
      <c r="T673" s="9" t="s">
        <v>1704</v>
      </c>
      <c r="U673" s="10" t="s">
        <v>52</v>
      </c>
      <c r="V673" s="2" t="s">
        <v>35</v>
      </c>
      <c r="W673" s="2">
        <v>3</v>
      </c>
      <c r="X673" s="2" t="s">
        <v>36</v>
      </c>
      <c r="Y673" s="2">
        <v>2</v>
      </c>
      <c r="Z673" s="2" t="s">
        <v>37</v>
      </c>
    </row>
    <row r="674" spans="1:26" x14ac:dyDescent="0.35">
      <c r="A674" s="2" t="s">
        <v>1227</v>
      </c>
      <c r="B674" s="3">
        <v>45789</v>
      </c>
      <c r="C674" s="2" t="s">
        <v>1228</v>
      </c>
      <c r="D674" s="2" t="s">
        <v>99</v>
      </c>
      <c r="E674" s="2" t="s">
        <v>29</v>
      </c>
      <c r="F674" s="2">
        <v>28</v>
      </c>
      <c r="G674" s="2" t="s">
        <v>30</v>
      </c>
      <c r="H674" s="2" t="s">
        <v>31</v>
      </c>
      <c r="I674" s="2" t="s">
        <v>30</v>
      </c>
      <c r="J674" s="2" t="s">
        <v>70</v>
      </c>
      <c r="K674" s="2">
        <v>1</v>
      </c>
      <c r="L674" s="2">
        <v>37469</v>
      </c>
      <c r="M674" s="2">
        <v>10</v>
      </c>
      <c r="N674" s="2">
        <v>3746.9</v>
      </c>
      <c r="O674" s="2">
        <v>6069.98</v>
      </c>
      <c r="P674" s="2">
        <v>343</v>
      </c>
      <c r="Q674" s="2">
        <v>40135.08</v>
      </c>
      <c r="R674" s="2" t="s">
        <v>43</v>
      </c>
      <c r="S674" s="2" t="s">
        <v>59</v>
      </c>
      <c r="T674" s="9" t="s">
        <v>1704</v>
      </c>
      <c r="U674" s="10" t="s">
        <v>52</v>
      </c>
      <c r="V674" s="2" t="s">
        <v>35</v>
      </c>
      <c r="W674" s="2">
        <v>8</v>
      </c>
      <c r="X674" s="2" t="s">
        <v>44</v>
      </c>
      <c r="Y674" s="2">
        <v>3</v>
      </c>
      <c r="Z674" s="2" t="s">
        <v>82</v>
      </c>
    </row>
    <row r="675" spans="1:26" x14ac:dyDescent="0.35">
      <c r="A675" s="2" t="s">
        <v>1229</v>
      </c>
      <c r="B675" s="3">
        <v>45947</v>
      </c>
      <c r="C675" s="2" t="s">
        <v>224</v>
      </c>
      <c r="D675" s="2" t="s">
        <v>73</v>
      </c>
      <c r="E675" s="2" t="s">
        <v>29</v>
      </c>
      <c r="F675" s="2">
        <v>40</v>
      </c>
      <c r="G675" s="2" t="s">
        <v>63</v>
      </c>
      <c r="H675" s="2" t="s">
        <v>64</v>
      </c>
      <c r="I675" s="2" t="s">
        <v>63</v>
      </c>
      <c r="J675" s="2" t="s">
        <v>65</v>
      </c>
      <c r="K675" s="2">
        <v>2</v>
      </c>
      <c r="L675" s="2">
        <v>8036</v>
      </c>
      <c r="M675" s="2">
        <v>15</v>
      </c>
      <c r="N675" s="2">
        <v>2410.8000000000002</v>
      </c>
      <c r="O675" s="2">
        <v>2459.02</v>
      </c>
      <c r="P675" s="2">
        <v>129</v>
      </c>
      <c r="Q675" s="2">
        <v>16249.22</v>
      </c>
      <c r="R675" s="2" t="s">
        <v>33</v>
      </c>
      <c r="S675" s="2" t="s">
        <v>59</v>
      </c>
      <c r="T675" s="9" t="s">
        <v>1707</v>
      </c>
      <c r="U675" s="10" t="s">
        <v>1712</v>
      </c>
      <c r="V675" s="2" t="s">
        <v>53</v>
      </c>
      <c r="W675" s="2">
        <v>8</v>
      </c>
      <c r="X675" s="2" t="s">
        <v>44</v>
      </c>
      <c r="Y675" s="2">
        <v>5</v>
      </c>
      <c r="Z675" s="2" t="s">
        <v>44</v>
      </c>
    </row>
    <row r="676" spans="1:26" x14ac:dyDescent="0.35">
      <c r="A676" s="2" t="s">
        <v>1230</v>
      </c>
      <c r="B676" s="3">
        <v>45940</v>
      </c>
      <c r="C676" s="2" t="s">
        <v>643</v>
      </c>
      <c r="D676" s="2" t="s">
        <v>28</v>
      </c>
      <c r="E676" s="2" t="s">
        <v>41</v>
      </c>
      <c r="F676" s="2">
        <v>34</v>
      </c>
      <c r="G676" s="2" t="s">
        <v>48</v>
      </c>
      <c r="H676" s="2" t="s">
        <v>49</v>
      </c>
      <c r="I676" s="2" t="s">
        <v>48</v>
      </c>
      <c r="J676" s="2" t="s">
        <v>190</v>
      </c>
      <c r="K676" s="2">
        <v>1</v>
      </c>
      <c r="L676" s="2">
        <v>7033</v>
      </c>
      <c r="M676" s="2">
        <v>0</v>
      </c>
      <c r="N676" s="2">
        <v>0</v>
      </c>
      <c r="O676" s="2">
        <v>1265.94</v>
      </c>
      <c r="P676" s="2">
        <v>330</v>
      </c>
      <c r="Q676" s="2">
        <v>8628.94</v>
      </c>
      <c r="R676" s="2" t="s">
        <v>51</v>
      </c>
      <c r="S676" s="2" t="s">
        <v>59</v>
      </c>
      <c r="T676" s="9" t="s">
        <v>1710</v>
      </c>
      <c r="U676" s="10" t="s">
        <v>1711</v>
      </c>
      <c r="V676" s="2" t="s">
        <v>53</v>
      </c>
      <c r="W676" s="2">
        <v>9</v>
      </c>
      <c r="X676" s="2" t="s">
        <v>36</v>
      </c>
      <c r="Y676" s="2">
        <v>5</v>
      </c>
      <c r="Z676" s="2" t="s">
        <v>44</v>
      </c>
    </row>
    <row r="677" spans="1:26" x14ac:dyDescent="0.35">
      <c r="A677" s="2" t="s">
        <v>1231</v>
      </c>
      <c r="B677" s="3">
        <v>46047</v>
      </c>
      <c r="C677" s="2" t="s">
        <v>1232</v>
      </c>
      <c r="D677" s="2" t="s">
        <v>28</v>
      </c>
      <c r="E677" s="2" t="s">
        <v>41</v>
      </c>
      <c r="F677" s="2">
        <v>54</v>
      </c>
      <c r="G677" s="2" t="s">
        <v>63</v>
      </c>
      <c r="H677" s="2" t="s">
        <v>64</v>
      </c>
      <c r="I677" s="2" t="s">
        <v>63</v>
      </c>
      <c r="J677" s="2" t="s">
        <v>113</v>
      </c>
      <c r="K677" s="2">
        <v>3</v>
      </c>
      <c r="L677" s="2">
        <v>21275</v>
      </c>
      <c r="M677" s="2">
        <v>10</v>
      </c>
      <c r="N677" s="2">
        <v>6382.5</v>
      </c>
      <c r="O677" s="2">
        <v>10339.65</v>
      </c>
      <c r="P677" s="2">
        <v>126</v>
      </c>
      <c r="Q677" s="2">
        <v>67908.149999999994</v>
      </c>
      <c r="R677" s="2" t="s">
        <v>76</v>
      </c>
      <c r="S677" s="2" t="s">
        <v>34</v>
      </c>
      <c r="T677" s="9" t="s">
        <v>1707</v>
      </c>
      <c r="U677" s="10" t="s">
        <v>1712</v>
      </c>
      <c r="V677" s="2" t="s">
        <v>53</v>
      </c>
      <c r="W677" s="2">
        <v>7</v>
      </c>
      <c r="X677" s="2" t="s">
        <v>44</v>
      </c>
      <c r="Y677" s="2">
        <v>5</v>
      </c>
      <c r="Z677" s="2" t="s">
        <v>44</v>
      </c>
    </row>
    <row r="678" spans="1:26" x14ac:dyDescent="0.35">
      <c r="A678" s="2" t="s">
        <v>1233</v>
      </c>
      <c r="B678" s="3">
        <v>46043</v>
      </c>
      <c r="C678" s="2" t="s">
        <v>1234</v>
      </c>
      <c r="D678" s="2" t="s">
        <v>40</v>
      </c>
      <c r="E678" s="2" t="s">
        <v>29</v>
      </c>
      <c r="F678" s="2">
        <v>26</v>
      </c>
      <c r="G678" s="2" t="s">
        <v>42</v>
      </c>
      <c r="H678" s="2" t="s">
        <v>31</v>
      </c>
      <c r="I678" s="2" t="s">
        <v>42</v>
      </c>
      <c r="J678" s="2" t="s">
        <v>32</v>
      </c>
      <c r="K678" s="2">
        <v>1</v>
      </c>
      <c r="L678" s="2">
        <v>30273</v>
      </c>
      <c r="M678" s="2">
        <v>0</v>
      </c>
      <c r="N678" s="2">
        <v>0</v>
      </c>
      <c r="O678" s="2">
        <v>5449.14</v>
      </c>
      <c r="P678" s="2">
        <v>128</v>
      </c>
      <c r="Q678" s="2">
        <v>35850.14</v>
      </c>
      <c r="R678" s="2" t="s">
        <v>43</v>
      </c>
      <c r="S678" s="2" t="s">
        <v>34</v>
      </c>
      <c r="T678" s="9" t="s">
        <v>1709</v>
      </c>
      <c r="U678" s="10" t="s">
        <v>52</v>
      </c>
      <c r="V678" s="2" t="s">
        <v>53</v>
      </c>
      <c r="W678" s="2">
        <v>3</v>
      </c>
      <c r="X678" s="2" t="s">
        <v>44</v>
      </c>
      <c r="Y678" s="2">
        <v>2</v>
      </c>
      <c r="Z678" s="2" t="s">
        <v>82</v>
      </c>
    </row>
    <row r="679" spans="1:26" x14ac:dyDescent="0.35">
      <c r="A679" s="2" t="s">
        <v>1235</v>
      </c>
      <c r="B679" s="3">
        <v>45773</v>
      </c>
      <c r="C679" s="2" t="s">
        <v>1189</v>
      </c>
      <c r="D679" s="2" t="s">
        <v>80</v>
      </c>
      <c r="E679" s="2" t="s">
        <v>29</v>
      </c>
      <c r="F679" s="2">
        <v>46</v>
      </c>
      <c r="G679" s="2" t="s">
        <v>42</v>
      </c>
      <c r="H679" s="2" t="s">
        <v>31</v>
      </c>
      <c r="I679" s="2" t="s">
        <v>42</v>
      </c>
      <c r="J679" s="2" t="s">
        <v>70</v>
      </c>
      <c r="K679" s="2">
        <v>5</v>
      </c>
      <c r="L679" s="2">
        <v>35557</v>
      </c>
      <c r="M679" s="2">
        <v>20</v>
      </c>
      <c r="N679" s="2">
        <v>35557</v>
      </c>
      <c r="O679" s="2">
        <v>25601.040000000001</v>
      </c>
      <c r="P679" s="2">
        <v>86</v>
      </c>
      <c r="Q679" s="2">
        <v>167915.04</v>
      </c>
      <c r="R679" s="2" t="s">
        <v>51</v>
      </c>
      <c r="S679" s="2" t="s">
        <v>34</v>
      </c>
      <c r="T679" s="9" t="s">
        <v>1703</v>
      </c>
      <c r="U679" s="10" t="s">
        <v>1701</v>
      </c>
      <c r="V679" s="2" t="s">
        <v>35</v>
      </c>
      <c r="W679" s="2">
        <v>9</v>
      </c>
      <c r="X679" s="2" t="s">
        <v>44</v>
      </c>
      <c r="Y679" s="2">
        <v>1</v>
      </c>
      <c r="Z679" s="2" t="s">
        <v>44</v>
      </c>
    </row>
    <row r="680" spans="1:26" x14ac:dyDescent="0.35">
      <c r="A680" s="2" t="s">
        <v>1236</v>
      </c>
      <c r="B680" s="3">
        <v>45858</v>
      </c>
      <c r="C680" s="2" t="s">
        <v>1237</v>
      </c>
      <c r="D680" s="2" t="s">
        <v>68</v>
      </c>
      <c r="E680" s="2" t="s">
        <v>41</v>
      </c>
      <c r="F680" s="2">
        <v>43</v>
      </c>
      <c r="G680" s="2" t="s">
        <v>81</v>
      </c>
      <c r="H680" s="2" t="s">
        <v>31</v>
      </c>
      <c r="I680" s="2" t="s">
        <v>81</v>
      </c>
      <c r="J680" s="2" t="s">
        <v>113</v>
      </c>
      <c r="K680" s="2">
        <v>4</v>
      </c>
      <c r="L680" s="2">
        <v>43332</v>
      </c>
      <c r="M680" s="2">
        <v>20</v>
      </c>
      <c r="N680" s="2">
        <v>34665.599999999999</v>
      </c>
      <c r="O680" s="2">
        <v>24959.23</v>
      </c>
      <c r="P680" s="2">
        <v>354</v>
      </c>
      <c r="Q680" s="2">
        <v>163975.63</v>
      </c>
      <c r="R680" s="2" t="s">
        <v>51</v>
      </c>
      <c r="S680" s="2" t="s">
        <v>59</v>
      </c>
      <c r="T680" s="9" t="s">
        <v>1709</v>
      </c>
      <c r="U680" s="10" t="s">
        <v>52</v>
      </c>
      <c r="V680" s="2" t="s">
        <v>53</v>
      </c>
      <c r="W680" s="2">
        <v>1</v>
      </c>
      <c r="X680" s="2" t="s">
        <v>44</v>
      </c>
      <c r="Y680" s="2">
        <v>4</v>
      </c>
      <c r="Z680" s="2" t="s">
        <v>37</v>
      </c>
    </row>
    <row r="681" spans="1:26" x14ac:dyDescent="0.35">
      <c r="A681" s="2" t="s">
        <v>1238</v>
      </c>
      <c r="B681" s="3">
        <v>45794</v>
      </c>
      <c r="C681" s="2" t="s">
        <v>1176</v>
      </c>
      <c r="D681" s="2" t="s">
        <v>47</v>
      </c>
      <c r="E681" s="2" t="s">
        <v>41</v>
      </c>
      <c r="F681" s="2">
        <v>41</v>
      </c>
      <c r="G681" s="2" t="s">
        <v>122</v>
      </c>
      <c r="H681" s="2" t="s">
        <v>31</v>
      </c>
      <c r="I681" s="2" t="s">
        <v>122</v>
      </c>
      <c r="J681" s="2" t="s">
        <v>113</v>
      </c>
      <c r="K681" s="2">
        <v>5</v>
      </c>
      <c r="L681" s="2">
        <v>10495</v>
      </c>
      <c r="M681" s="2">
        <v>10</v>
      </c>
      <c r="N681" s="2">
        <v>5247.5</v>
      </c>
      <c r="O681" s="2">
        <v>8500.9500000000007</v>
      </c>
      <c r="P681" s="2">
        <v>92</v>
      </c>
      <c r="Q681" s="2">
        <v>55820.45</v>
      </c>
      <c r="R681" s="2" t="s">
        <v>76</v>
      </c>
      <c r="S681" s="2" t="s">
        <v>59</v>
      </c>
      <c r="T681" s="9" t="s">
        <v>1706</v>
      </c>
      <c r="U681" s="10" t="s">
        <v>52</v>
      </c>
      <c r="V681" s="2" t="s">
        <v>53</v>
      </c>
      <c r="W681" s="2">
        <v>8</v>
      </c>
      <c r="X681" s="2" t="s">
        <v>36</v>
      </c>
      <c r="Y681" s="2">
        <v>4</v>
      </c>
      <c r="Z681" s="2" t="s">
        <v>37</v>
      </c>
    </row>
    <row r="682" spans="1:26" x14ac:dyDescent="0.35">
      <c r="A682" s="2" t="s">
        <v>1239</v>
      </c>
      <c r="B682" s="3">
        <v>45959</v>
      </c>
      <c r="C682" s="2" t="s">
        <v>230</v>
      </c>
      <c r="D682" s="2" t="s">
        <v>47</v>
      </c>
      <c r="E682" s="2" t="s">
        <v>29</v>
      </c>
      <c r="F682" s="2">
        <v>19</v>
      </c>
      <c r="G682" s="2" t="s">
        <v>85</v>
      </c>
      <c r="H682" s="2" t="s">
        <v>31</v>
      </c>
      <c r="I682" s="2" t="s">
        <v>85</v>
      </c>
      <c r="J682" s="2" t="s">
        <v>91</v>
      </c>
      <c r="K682" s="2">
        <v>4</v>
      </c>
      <c r="L682" s="2">
        <v>8623</v>
      </c>
      <c r="M682" s="2">
        <v>5</v>
      </c>
      <c r="N682" s="2">
        <v>1724.6</v>
      </c>
      <c r="O682" s="2">
        <v>5898.13</v>
      </c>
      <c r="P682" s="2">
        <v>358</v>
      </c>
      <c r="Q682" s="2">
        <v>39023.53</v>
      </c>
      <c r="R682" s="2" t="s">
        <v>33</v>
      </c>
      <c r="S682" s="2" t="s">
        <v>59</v>
      </c>
      <c r="T682" s="9" t="s">
        <v>1709</v>
      </c>
      <c r="U682" s="10" t="s">
        <v>52</v>
      </c>
      <c r="V682" s="2" t="s">
        <v>53</v>
      </c>
      <c r="W682" s="2">
        <v>9</v>
      </c>
      <c r="X682" s="2" t="s">
        <v>44</v>
      </c>
      <c r="Y682" s="2">
        <v>2</v>
      </c>
      <c r="Z682" s="2" t="s">
        <v>44</v>
      </c>
    </row>
    <row r="683" spans="1:26" x14ac:dyDescent="0.35">
      <c r="A683" s="2" t="s">
        <v>1240</v>
      </c>
      <c r="B683" s="3">
        <v>45798</v>
      </c>
      <c r="C683" s="2" t="s">
        <v>156</v>
      </c>
      <c r="D683" s="2" t="s">
        <v>28</v>
      </c>
      <c r="E683" s="2" t="s">
        <v>41</v>
      </c>
      <c r="F683" s="2">
        <v>33</v>
      </c>
      <c r="G683" s="2" t="s">
        <v>81</v>
      </c>
      <c r="H683" s="2" t="s">
        <v>31</v>
      </c>
      <c r="I683" s="2" t="s">
        <v>81</v>
      </c>
      <c r="J683" s="2" t="s">
        <v>138</v>
      </c>
      <c r="K683" s="2">
        <v>1</v>
      </c>
      <c r="L683" s="2">
        <v>12855</v>
      </c>
      <c r="M683" s="2">
        <v>0</v>
      </c>
      <c r="N683" s="2">
        <v>0</v>
      </c>
      <c r="O683" s="2">
        <v>2313.9</v>
      </c>
      <c r="P683" s="2">
        <v>289</v>
      </c>
      <c r="Q683" s="2">
        <v>15457.9</v>
      </c>
      <c r="R683" s="2" t="s">
        <v>76</v>
      </c>
      <c r="S683" s="2" t="s">
        <v>59</v>
      </c>
      <c r="T683" s="9" t="s">
        <v>1705</v>
      </c>
      <c r="U683" s="10" t="s">
        <v>1702</v>
      </c>
      <c r="V683" s="2" t="s">
        <v>53</v>
      </c>
      <c r="W683" s="2">
        <v>1</v>
      </c>
      <c r="X683" s="2" t="s">
        <v>44</v>
      </c>
      <c r="Y683" s="2">
        <v>2</v>
      </c>
      <c r="Z683" s="2" t="s">
        <v>37</v>
      </c>
    </row>
    <row r="684" spans="1:26" x14ac:dyDescent="0.35">
      <c r="A684" s="2" t="s">
        <v>1241</v>
      </c>
      <c r="B684" s="3">
        <v>45845</v>
      </c>
      <c r="C684" s="2" t="s">
        <v>1242</v>
      </c>
      <c r="D684" s="2" t="s">
        <v>47</v>
      </c>
      <c r="E684" s="2" t="s">
        <v>29</v>
      </c>
      <c r="F684" s="2">
        <v>38</v>
      </c>
      <c r="G684" s="2" t="s">
        <v>88</v>
      </c>
      <c r="H684" s="2" t="s">
        <v>49</v>
      </c>
      <c r="I684" s="2" t="s">
        <v>88</v>
      </c>
      <c r="J684" s="2" t="s">
        <v>138</v>
      </c>
      <c r="K684" s="2">
        <v>5</v>
      </c>
      <c r="L684" s="2">
        <v>7313</v>
      </c>
      <c r="M684" s="2">
        <v>10</v>
      </c>
      <c r="N684" s="2">
        <v>3656.5</v>
      </c>
      <c r="O684" s="2">
        <v>5923.53</v>
      </c>
      <c r="P684" s="2">
        <v>78</v>
      </c>
      <c r="Q684" s="2">
        <v>38910.03</v>
      </c>
      <c r="R684" s="2" t="s">
        <v>43</v>
      </c>
      <c r="S684" s="2" t="s">
        <v>34</v>
      </c>
      <c r="T684" s="9" t="s">
        <v>1709</v>
      </c>
      <c r="U684" s="10" t="s">
        <v>52</v>
      </c>
      <c r="V684" s="2" t="s">
        <v>53</v>
      </c>
      <c r="W684" s="2">
        <v>1</v>
      </c>
      <c r="X684" s="2" t="s">
        <v>44</v>
      </c>
      <c r="Y684" s="2">
        <v>3</v>
      </c>
      <c r="Z684" s="2" t="s">
        <v>82</v>
      </c>
    </row>
    <row r="685" spans="1:26" x14ac:dyDescent="0.35">
      <c r="A685" s="2" t="s">
        <v>1243</v>
      </c>
      <c r="B685" s="3">
        <v>45783</v>
      </c>
      <c r="C685" s="2" t="s">
        <v>1244</v>
      </c>
      <c r="D685" s="2" t="s">
        <v>80</v>
      </c>
      <c r="E685" s="2" t="s">
        <v>29</v>
      </c>
      <c r="F685" s="2">
        <v>29</v>
      </c>
      <c r="G685" s="2" t="s">
        <v>81</v>
      </c>
      <c r="H685" s="2" t="s">
        <v>31</v>
      </c>
      <c r="I685" s="2" t="s">
        <v>81</v>
      </c>
      <c r="J685" s="2" t="s">
        <v>91</v>
      </c>
      <c r="K685" s="2">
        <v>1</v>
      </c>
      <c r="L685" s="2">
        <v>19819</v>
      </c>
      <c r="M685" s="2">
        <v>0</v>
      </c>
      <c r="N685" s="2">
        <v>0</v>
      </c>
      <c r="O685" s="2">
        <v>3567.42</v>
      </c>
      <c r="P685" s="2">
        <v>273</v>
      </c>
      <c r="Q685" s="2">
        <v>23659.42</v>
      </c>
      <c r="R685" s="2" t="s">
        <v>33</v>
      </c>
      <c r="S685" s="2" t="s">
        <v>59</v>
      </c>
      <c r="T685" s="9" t="s">
        <v>1703</v>
      </c>
      <c r="U685" s="10" t="s">
        <v>1701</v>
      </c>
      <c r="V685" s="2" t="s">
        <v>35</v>
      </c>
      <c r="W685" s="2">
        <v>3</v>
      </c>
      <c r="X685" s="2" t="s">
        <v>44</v>
      </c>
      <c r="Y685" s="2">
        <v>2</v>
      </c>
      <c r="Z685" s="2" t="s">
        <v>37</v>
      </c>
    </row>
    <row r="686" spans="1:26" x14ac:dyDescent="0.35">
      <c r="A686" s="2" t="s">
        <v>1245</v>
      </c>
      <c r="B686" s="3">
        <v>45917</v>
      </c>
      <c r="C686" s="2" t="s">
        <v>1246</v>
      </c>
      <c r="D686" s="2" t="s">
        <v>80</v>
      </c>
      <c r="E686" s="2" t="s">
        <v>41</v>
      </c>
      <c r="F686" s="2">
        <v>30</v>
      </c>
      <c r="G686" s="2" t="s">
        <v>30</v>
      </c>
      <c r="H686" s="2" t="s">
        <v>31</v>
      </c>
      <c r="I686" s="2" t="s">
        <v>30</v>
      </c>
      <c r="J686" s="2" t="s">
        <v>113</v>
      </c>
      <c r="K686" s="2">
        <v>5</v>
      </c>
      <c r="L686" s="2">
        <v>49125</v>
      </c>
      <c r="M686" s="2">
        <v>0</v>
      </c>
      <c r="N686" s="2">
        <v>0</v>
      </c>
      <c r="O686" s="2">
        <v>44212.5</v>
      </c>
      <c r="P686" s="2">
        <v>132</v>
      </c>
      <c r="Q686" s="2">
        <v>289969.5</v>
      </c>
      <c r="R686" s="2" t="s">
        <v>51</v>
      </c>
      <c r="S686" s="2" t="s">
        <v>59</v>
      </c>
      <c r="T686" s="9" t="s">
        <v>1709</v>
      </c>
      <c r="U686" s="10" t="s">
        <v>52</v>
      </c>
      <c r="V686" s="2" t="s">
        <v>53</v>
      </c>
      <c r="W686" s="2">
        <v>2</v>
      </c>
      <c r="X686" s="2" t="s">
        <v>36</v>
      </c>
      <c r="Y686" s="2">
        <v>1</v>
      </c>
      <c r="Z686" s="2" t="s">
        <v>54</v>
      </c>
    </row>
    <row r="687" spans="1:26" x14ac:dyDescent="0.35">
      <c r="A687" s="2" t="s">
        <v>1247</v>
      </c>
      <c r="B687" s="3">
        <v>46090</v>
      </c>
      <c r="C687" s="2" t="s">
        <v>964</v>
      </c>
      <c r="D687" s="2" t="s">
        <v>57</v>
      </c>
      <c r="E687" s="2" t="s">
        <v>29</v>
      </c>
      <c r="F687" s="2">
        <v>56</v>
      </c>
      <c r="G687" s="2" t="s">
        <v>63</v>
      </c>
      <c r="H687" s="2" t="s">
        <v>64</v>
      </c>
      <c r="I687" s="2" t="s">
        <v>63</v>
      </c>
      <c r="J687" s="2" t="s">
        <v>65</v>
      </c>
      <c r="K687" s="2">
        <v>3</v>
      </c>
      <c r="L687" s="2">
        <v>40023</v>
      </c>
      <c r="M687" s="2">
        <v>5</v>
      </c>
      <c r="N687" s="2">
        <v>6003.45</v>
      </c>
      <c r="O687" s="2">
        <v>20531.8</v>
      </c>
      <c r="P687" s="2">
        <v>233</v>
      </c>
      <c r="Q687" s="2">
        <v>134830.35</v>
      </c>
      <c r="R687" s="2" t="s">
        <v>33</v>
      </c>
      <c r="S687" s="2" t="s">
        <v>59</v>
      </c>
      <c r="T687" s="9" t="s">
        <v>1707</v>
      </c>
      <c r="U687" s="10" t="s">
        <v>1712</v>
      </c>
      <c r="V687" s="2" t="s">
        <v>53</v>
      </c>
      <c r="W687" s="2">
        <v>1</v>
      </c>
      <c r="X687" s="2" t="s">
        <v>36</v>
      </c>
      <c r="Y687" s="2">
        <v>2</v>
      </c>
      <c r="Z687" s="2" t="s">
        <v>37</v>
      </c>
    </row>
    <row r="688" spans="1:26" x14ac:dyDescent="0.35">
      <c r="A688" s="2" t="s">
        <v>1248</v>
      </c>
      <c r="B688" s="3">
        <v>45849</v>
      </c>
      <c r="C688" s="2" t="s">
        <v>723</v>
      </c>
      <c r="D688" s="2" t="s">
        <v>68</v>
      </c>
      <c r="E688" s="2" t="s">
        <v>29</v>
      </c>
      <c r="F688" s="2">
        <v>56</v>
      </c>
      <c r="G688" s="2" t="s">
        <v>30</v>
      </c>
      <c r="H688" s="2" t="s">
        <v>31</v>
      </c>
      <c r="I688" s="2" t="s">
        <v>30</v>
      </c>
      <c r="J688" s="2" t="s">
        <v>70</v>
      </c>
      <c r="K688" s="2">
        <v>1</v>
      </c>
      <c r="L688" s="2">
        <v>11177</v>
      </c>
      <c r="M688" s="2">
        <v>20</v>
      </c>
      <c r="N688" s="2">
        <v>2235.4</v>
      </c>
      <c r="O688" s="2">
        <v>1609.49</v>
      </c>
      <c r="P688" s="2">
        <v>174</v>
      </c>
      <c r="Q688" s="2">
        <v>10725.09</v>
      </c>
      <c r="R688" s="2" t="s">
        <v>51</v>
      </c>
      <c r="S688" s="2" t="s">
        <v>59</v>
      </c>
      <c r="T688" s="9" t="s">
        <v>1707</v>
      </c>
      <c r="U688" s="10" t="s">
        <v>1712</v>
      </c>
      <c r="V688" s="2" t="s">
        <v>53</v>
      </c>
      <c r="W688" s="2">
        <v>10</v>
      </c>
      <c r="X688" s="2" t="s">
        <v>36</v>
      </c>
      <c r="Y688" s="2">
        <v>5</v>
      </c>
      <c r="Z688" s="2" t="s">
        <v>44</v>
      </c>
    </row>
    <row r="689" spans="1:26" x14ac:dyDescent="0.35">
      <c r="A689" s="2" t="s">
        <v>1249</v>
      </c>
      <c r="B689" s="3">
        <v>45783</v>
      </c>
      <c r="C689" s="2" t="s">
        <v>412</v>
      </c>
      <c r="D689" s="2" t="s">
        <v>57</v>
      </c>
      <c r="E689" s="2" t="s">
        <v>29</v>
      </c>
      <c r="F689" s="2">
        <v>44</v>
      </c>
      <c r="G689" s="2" t="s">
        <v>69</v>
      </c>
      <c r="H689" s="2" t="s">
        <v>31</v>
      </c>
      <c r="I689" s="2" t="s">
        <v>69</v>
      </c>
      <c r="J689" s="2" t="s">
        <v>65</v>
      </c>
      <c r="K689" s="2">
        <v>4</v>
      </c>
      <c r="L689" s="2">
        <v>43124</v>
      </c>
      <c r="M689" s="2">
        <v>15</v>
      </c>
      <c r="N689" s="2">
        <v>25874.400000000001</v>
      </c>
      <c r="O689" s="2">
        <v>26391.89</v>
      </c>
      <c r="P689" s="2">
        <v>187</v>
      </c>
      <c r="Q689" s="2">
        <v>173200.49</v>
      </c>
      <c r="R689" s="2" t="s">
        <v>33</v>
      </c>
      <c r="S689" s="2" t="s">
        <v>59</v>
      </c>
      <c r="T689" s="9" t="s">
        <v>1710</v>
      </c>
      <c r="U689" s="10" t="s">
        <v>1711</v>
      </c>
      <c r="V689" s="2" t="s">
        <v>53</v>
      </c>
      <c r="W689" s="2">
        <v>8</v>
      </c>
      <c r="X689" s="2" t="s">
        <v>44</v>
      </c>
      <c r="Y689" s="2">
        <v>3</v>
      </c>
      <c r="Z689" s="2" t="s">
        <v>82</v>
      </c>
    </row>
    <row r="690" spans="1:26" x14ac:dyDescent="0.35">
      <c r="A690" s="2" t="s">
        <v>1250</v>
      </c>
      <c r="B690" s="3">
        <v>46033</v>
      </c>
      <c r="C690" s="2" t="s">
        <v>1251</v>
      </c>
      <c r="D690" s="2" t="s">
        <v>96</v>
      </c>
      <c r="E690" s="2" t="s">
        <v>29</v>
      </c>
      <c r="F690" s="2">
        <v>51</v>
      </c>
      <c r="G690" s="2" t="s">
        <v>69</v>
      </c>
      <c r="H690" s="2" t="s">
        <v>31</v>
      </c>
      <c r="I690" s="2" t="s">
        <v>69</v>
      </c>
      <c r="J690" s="2" t="s">
        <v>190</v>
      </c>
      <c r="K690" s="2">
        <v>1</v>
      </c>
      <c r="L690" s="2">
        <v>1063</v>
      </c>
      <c r="M690" s="2">
        <v>5</v>
      </c>
      <c r="N690" s="2">
        <v>53.15</v>
      </c>
      <c r="O690" s="2">
        <v>181.77</v>
      </c>
      <c r="P690" s="2">
        <v>2</v>
      </c>
      <c r="Q690" s="2">
        <v>1193.6199999999999</v>
      </c>
      <c r="R690" s="2" t="s">
        <v>33</v>
      </c>
      <c r="S690" s="2" t="s">
        <v>34</v>
      </c>
      <c r="T690" s="9" t="s">
        <v>1710</v>
      </c>
      <c r="U690" s="10" t="s">
        <v>1711</v>
      </c>
      <c r="V690" s="2" t="s">
        <v>53</v>
      </c>
      <c r="W690" s="2">
        <v>6</v>
      </c>
      <c r="X690" s="2" t="s">
        <v>44</v>
      </c>
      <c r="Y690" s="2">
        <v>5</v>
      </c>
      <c r="Z690" s="2" t="s">
        <v>37</v>
      </c>
    </row>
    <row r="691" spans="1:26" x14ac:dyDescent="0.35">
      <c r="A691" s="2" t="s">
        <v>1252</v>
      </c>
      <c r="B691" s="3">
        <v>46039</v>
      </c>
      <c r="C691" s="2" t="s">
        <v>667</v>
      </c>
      <c r="D691" s="2" t="s">
        <v>73</v>
      </c>
      <c r="E691" s="2" t="s">
        <v>41</v>
      </c>
      <c r="F691" s="2">
        <v>34</v>
      </c>
      <c r="G691" s="2" t="s">
        <v>69</v>
      </c>
      <c r="H691" s="2" t="s">
        <v>31</v>
      </c>
      <c r="I691" s="2" t="s">
        <v>69</v>
      </c>
      <c r="J691" s="2" t="s">
        <v>91</v>
      </c>
      <c r="K691" s="2">
        <v>2</v>
      </c>
      <c r="L691" s="2">
        <v>862</v>
      </c>
      <c r="M691" s="2">
        <v>0</v>
      </c>
      <c r="N691" s="2">
        <v>0</v>
      </c>
      <c r="O691" s="2">
        <v>310.32</v>
      </c>
      <c r="P691" s="2">
        <v>38</v>
      </c>
      <c r="Q691" s="2">
        <v>2072.3200000000002</v>
      </c>
      <c r="R691" s="2" t="s">
        <v>51</v>
      </c>
      <c r="S691" s="2" t="s">
        <v>59</v>
      </c>
      <c r="T691" s="9" t="s">
        <v>1706</v>
      </c>
      <c r="U691" s="10" t="s">
        <v>52</v>
      </c>
      <c r="V691" s="2" t="s">
        <v>53</v>
      </c>
      <c r="W691" s="2">
        <v>4</v>
      </c>
      <c r="X691" s="2" t="s">
        <v>44</v>
      </c>
      <c r="Y691" s="2">
        <v>5</v>
      </c>
      <c r="Z691" s="2" t="s">
        <v>44</v>
      </c>
    </row>
    <row r="692" spans="1:26" x14ac:dyDescent="0.35">
      <c r="A692" s="2" t="s">
        <v>1253</v>
      </c>
      <c r="B692" s="3">
        <v>46103</v>
      </c>
      <c r="C692" s="2" t="s">
        <v>1254</v>
      </c>
      <c r="D692" s="2" t="s">
        <v>80</v>
      </c>
      <c r="E692" s="2" t="s">
        <v>29</v>
      </c>
      <c r="F692" s="2">
        <v>18</v>
      </c>
      <c r="G692" s="2" t="s">
        <v>88</v>
      </c>
      <c r="H692" s="2" t="s">
        <v>49</v>
      </c>
      <c r="I692" s="2" t="s">
        <v>88</v>
      </c>
      <c r="J692" s="2" t="s">
        <v>138</v>
      </c>
      <c r="K692" s="2">
        <v>3</v>
      </c>
      <c r="L692" s="2">
        <v>48398</v>
      </c>
      <c r="M692" s="2">
        <v>0</v>
      </c>
      <c r="N692" s="2">
        <v>0</v>
      </c>
      <c r="O692" s="2">
        <v>26134.92</v>
      </c>
      <c r="P692" s="2">
        <v>450</v>
      </c>
      <c r="Q692" s="2">
        <v>171778.92</v>
      </c>
      <c r="R692" s="2" t="s">
        <v>76</v>
      </c>
      <c r="S692" s="2" t="s">
        <v>34</v>
      </c>
      <c r="T692" s="9" t="s">
        <v>1704</v>
      </c>
      <c r="U692" s="10" t="s">
        <v>52</v>
      </c>
      <c r="V692" s="2" t="s">
        <v>35</v>
      </c>
      <c r="W692" s="2">
        <v>1</v>
      </c>
      <c r="X692" s="2" t="s">
        <v>44</v>
      </c>
      <c r="Y692" s="2">
        <v>5</v>
      </c>
      <c r="Z692" s="2" t="s">
        <v>82</v>
      </c>
    </row>
    <row r="693" spans="1:26" x14ac:dyDescent="0.35">
      <c r="A693" s="2" t="s">
        <v>1255</v>
      </c>
      <c r="B693" s="3">
        <v>45981</v>
      </c>
      <c r="C693" s="2" t="s">
        <v>1256</v>
      </c>
      <c r="D693" s="2" t="s">
        <v>99</v>
      </c>
      <c r="E693" s="2" t="s">
        <v>41</v>
      </c>
      <c r="F693" s="2">
        <v>57</v>
      </c>
      <c r="G693" s="2" t="s">
        <v>122</v>
      </c>
      <c r="H693" s="2" t="s">
        <v>31</v>
      </c>
      <c r="I693" s="2" t="s">
        <v>122</v>
      </c>
      <c r="J693" s="2" t="s">
        <v>91</v>
      </c>
      <c r="K693" s="2">
        <v>4</v>
      </c>
      <c r="L693" s="2">
        <v>39778</v>
      </c>
      <c r="M693" s="2">
        <v>10</v>
      </c>
      <c r="N693" s="2">
        <v>15911.2</v>
      </c>
      <c r="O693" s="2">
        <v>25776.14</v>
      </c>
      <c r="P693" s="2">
        <v>252</v>
      </c>
      <c r="Q693" s="2">
        <v>169228.94</v>
      </c>
      <c r="R693" s="2" t="s">
        <v>33</v>
      </c>
      <c r="S693" s="2" t="s">
        <v>34</v>
      </c>
      <c r="T693" s="9" t="s">
        <v>1706</v>
      </c>
      <c r="U693" s="10" t="s">
        <v>52</v>
      </c>
      <c r="V693" s="2" t="s">
        <v>53</v>
      </c>
      <c r="W693" s="2">
        <v>6</v>
      </c>
      <c r="X693" s="2" t="s">
        <v>44</v>
      </c>
      <c r="Y693" s="2">
        <v>5</v>
      </c>
      <c r="Z693" s="2" t="s">
        <v>37</v>
      </c>
    </row>
    <row r="694" spans="1:26" x14ac:dyDescent="0.35">
      <c r="A694" s="2" t="s">
        <v>1257</v>
      </c>
      <c r="B694" s="3">
        <v>45859</v>
      </c>
      <c r="C694" s="2" t="s">
        <v>1258</v>
      </c>
      <c r="D694" s="2" t="s">
        <v>40</v>
      </c>
      <c r="E694" s="2" t="s">
        <v>29</v>
      </c>
      <c r="F694" s="2">
        <v>42</v>
      </c>
      <c r="G694" s="2" t="s">
        <v>88</v>
      </c>
      <c r="H694" s="2" t="s">
        <v>49</v>
      </c>
      <c r="I694" s="2" t="s">
        <v>88</v>
      </c>
      <c r="J694" s="2" t="s">
        <v>113</v>
      </c>
      <c r="K694" s="2">
        <v>2</v>
      </c>
      <c r="L694" s="2">
        <v>25407</v>
      </c>
      <c r="M694" s="2">
        <v>0</v>
      </c>
      <c r="N694" s="2">
        <v>0</v>
      </c>
      <c r="O694" s="2">
        <v>9146.52</v>
      </c>
      <c r="P694" s="2">
        <v>193</v>
      </c>
      <c r="Q694" s="2">
        <v>60153.52</v>
      </c>
      <c r="R694" s="2" t="s">
        <v>76</v>
      </c>
      <c r="S694" s="2" t="s">
        <v>34</v>
      </c>
      <c r="T694" s="9" t="s">
        <v>1705</v>
      </c>
      <c r="U694" s="10" t="s">
        <v>1702</v>
      </c>
      <c r="V694" s="2" t="s">
        <v>53</v>
      </c>
      <c r="W694" s="2">
        <v>5</v>
      </c>
      <c r="X694" s="2" t="s">
        <v>36</v>
      </c>
      <c r="Y694" s="2">
        <v>3</v>
      </c>
      <c r="Z694" s="2" t="s">
        <v>82</v>
      </c>
    </row>
    <row r="695" spans="1:26" x14ac:dyDescent="0.35">
      <c r="A695" s="2" t="s">
        <v>1259</v>
      </c>
      <c r="B695" s="3">
        <v>45761</v>
      </c>
      <c r="C695" s="2" t="s">
        <v>1260</v>
      </c>
      <c r="D695" s="2" t="s">
        <v>57</v>
      </c>
      <c r="E695" s="2" t="s">
        <v>41</v>
      </c>
      <c r="F695" s="2">
        <v>33</v>
      </c>
      <c r="G695" s="2" t="s">
        <v>63</v>
      </c>
      <c r="H695" s="2" t="s">
        <v>64</v>
      </c>
      <c r="I695" s="2" t="s">
        <v>63</v>
      </c>
      <c r="J695" s="2" t="s">
        <v>58</v>
      </c>
      <c r="K695" s="2">
        <v>1</v>
      </c>
      <c r="L695" s="2">
        <v>34030</v>
      </c>
      <c r="M695" s="2">
        <v>5</v>
      </c>
      <c r="N695" s="2">
        <v>1701.5</v>
      </c>
      <c r="O695" s="2">
        <v>5819.13</v>
      </c>
      <c r="P695" s="2">
        <v>148</v>
      </c>
      <c r="Q695" s="2">
        <v>38295.629999999997</v>
      </c>
      <c r="R695" s="2" t="s">
        <v>33</v>
      </c>
      <c r="S695" s="2" t="s">
        <v>34</v>
      </c>
      <c r="T695" s="9" t="s">
        <v>1706</v>
      </c>
      <c r="U695" s="10" t="s">
        <v>52</v>
      </c>
      <c r="V695" s="2" t="s">
        <v>53</v>
      </c>
      <c r="W695" s="2">
        <v>5</v>
      </c>
      <c r="X695" s="2" t="s">
        <v>44</v>
      </c>
      <c r="Y695" s="2">
        <v>5</v>
      </c>
      <c r="Z695" s="2" t="s">
        <v>37</v>
      </c>
    </row>
    <row r="696" spans="1:26" x14ac:dyDescent="0.35">
      <c r="A696" s="2" t="s">
        <v>1261</v>
      </c>
      <c r="B696" s="3">
        <v>45761</v>
      </c>
      <c r="C696" s="2" t="s">
        <v>1262</v>
      </c>
      <c r="D696" s="2" t="s">
        <v>28</v>
      </c>
      <c r="E696" s="2" t="s">
        <v>29</v>
      </c>
      <c r="F696" s="2">
        <v>55</v>
      </c>
      <c r="G696" s="2" t="s">
        <v>42</v>
      </c>
      <c r="H696" s="2" t="s">
        <v>31</v>
      </c>
      <c r="I696" s="2" t="s">
        <v>42</v>
      </c>
      <c r="J696" s="2" t="s">
        <v>113</v>
      </c>
      <c r="K696" s="2">
        <v>2</v>
      </c>
      <c r="L696" s="2">
        <v>27846</v>
      </c>
      <c r="M696" s="2">
        <v>20</v>
      </c>
      <c r="N696" s="2">
        <v>11138.4</v>
      </c>
      <c r="O696" s="2">
        <v>8019.65</v>
      </c>
      <c r="P696" s="2">
        <v>421</v>
      </c>
      <c r="Q696" s="2">
        <v>52994.25</v>
      </c>
      <c r="R696" s="2" t="s">
        <v>76</v>
      </c>
      <c r="S696" s="2" t="s">
        <v>59</v>
      </c>
      <c r="T696" s="9" t="s">
        <v>1710</v>
      </c>
      <c r="U696" s="10" t="s">
        <v>1711</v>
      </c>
      <c r="V696" s="2" t="s">
        <v>53</v>
      </c>
      <c r="W696" s="2">
        <v>4</v>
      </c>
      <c r="X696" s="2" t="s">
        <v>44</v>
      </c>
      <c r="Y696" s="2">
        <v>5</v>
      </c>
      <c r="Z696" s="2" t="s">
        <v>82</v>
      </c>
    </row>
    <row r="697" spans="1:26" x14ac:dyDescent="0.35">
      <c r="A697" s="2" t="s">
        <v>1263</v>
      </c>
      <c r="B697" s="3">
        <v>45954</v>
      </c>
      <c r="C697" s="2" t="s">
        <v>837</v>
      </c>
      <c r="D697" s="2" t="s">
        <v>62</v>
      </c>
      <c r="E697" s="2" t="s">
        <v>41</v>
      </c>
      <c r="F697" s="2">
        <v>52</v>
      </c>
      <c r="G697" s="2" t="s">
        <v>122</v>
      </c>
      <c r="H697" s="2" t="s">
        <v>31</v>
      </c>
      <c r="I697" s="2" t="s">
        <v>122</v>
      </c>
      <c r="J697" s="2" t="s">
        <v>70</v>
      </c>
      <c r="K697" s="2">
        <v>1</v>
      </c>
      <c r="L697" s="2">
        <v>38289</v>
      </c>
      <c r="M697" s="2">
        <v>15</v>
      </c>
      <c r="N697" s="2">
        <v>5743.35</v>
      </c>
      <c r="O697" s="2">
        <v>5858.22</v>
      </c>
      <c r="P697" s="2">
        <v>315</v>
      </c>
      <c r="Q697" s="2">
        <v>38718.870000000003</v>
      </c>
      <c r="R697" s="2" t="s">
        <v>33</v>
      </c>
      <c r="S697" s="2" t="s">
        <v>59</v>
      </c>
      <c r="T697" s="9" t="s">
        <v>1708</v>
      </c>
      <c r="U697" s="10" t="s">
        <v>52</v>
      </c>
      <c r="V697" s="2" t="s">
        <v>77</v>
      </c>
      <c r="W697" s="2">
        <v>3</v>
      </c>
      <c r="X697" s="2" t="s">
        <v>44</v>
      </c>
      <c r="Y697" s="2">
        <v>2</v>
      </c>
      <c r="Z697" s="2" t="s">
        <v>54</v>
      </c>
    </row>
    <row r="698" spans="1:26" x14ac:dyDescent="0.35">
      <c r="A698" s="2" t="s">
        <v>1264</v>
      </c>
      <c r="B698" s="3">
        <v>45931</v>
      </c>
      <c r="C698" s="2" t="s">
        <v>1265</v>
      </c>
      <c r="D698" s="2" t="s">
        <v>68</v>
      </c>
      <c r="E698" s="2" t="s">
        <v>29</v>
      </c>
      <c r="F698" s="2">
        <v>46</v>
      </c>
      <c r="G698" s="2" t="s">
        <v>42</v>
      </c>
      <c r="H698" s="2" t="s">
        <v>31</v>
      </c>
      <c r="I698" s="2" t="s">
        <v>42</v>
      </c>
      <c r="J698" s="2" t="s">
        <v>70</v>
      </c>
      <c r="K698" s="2">
        <v>3</v>
      </c>
      <c r="L698" s="2">
        <v>40712</v>
      </c>
      <c r="M698" s="2">
        <v>0</v>
      </c>
      <c r="N698" s="2">
        <v>0</v>
      </c>
      <c r="O698" s="2">
        <v>21984.48</v>
      </c>
      <c r="P698" s="2">
        <v>238</v>
      </c>
      <c r="Q698" s="2">
        <v>144358.48000000001</v>
      </c>
      <c r="R698" s="2" t="s">
        <v>33</v>
      </c>
      <c r="S698" s="2" t="s">
        <v>59</v>
      </c>
      <c r="T698" s="9" t="s">
        <v>1709</v>
      </c>
      <c r="U698" s="10" t="s">
        <v>52</v>
      </c>
      <c r="V698" s="2" t="s">
        <v>53</v>
      </c>
      <c r="W698" s="2">
        <v>5</v>
      </c>
      <c r="X698" s="2" t="s">
        <v>36</v>
      </c>
      <c r="Y698" s="2">
        <v>5</v>
      </c>
      <c r="Z698" s="2" t="s">
        <v>54</v>
      </c>
    </row>
    <row r="699" spans="1:26" x14ac:dyDescent="0.35">
      <c r="A699" s="2" t="s">
        <v>1266</v>
      </c>
      <c r="B699" s="3">
        <v>45774</v>
      </c>
      <c r="C699" s="2" t="s">
        <v>660</v>
      </c>
      <c r="D699" s="2" t="s">
        <v>73</v>
      </c>
      <c r="E699" s="2" t="s">
        <v>29</v>
      </c>
      <c r="F699" s="2">
        <v>23</v>
      </c>
      <c r="G699" s="2" t="s">
        <v>42</v>
      </c>
      <c r="H699" s="2" t="s">
        <v>31</v>
      </c>
      <c r="I699" s="2" t="s">
        <v>42</v>
      </c>
      <c r="J699" s="2" t="s">
        <v>113</v>
      </c>
      <c r="K699" s="2">
        <v>1</v>
      </c>
      <c r="L699" s="2">
        <v>38286</v>
      </c>
      <c r="M699" s="2">
        <v>5</v>
      </c>
      <c r="N699" s="2">
        <v>1914.3</v>
      </c>
      <c r="O699" s="2">
        <v>6546.91</v>
      </c>
      <c r="P699" s="2">
        <v>264</v>
      </c>
      <c r="Q699" s="2">
        <v>43182.61</v>
      </c>
      <c r="R699" s="2" t="s">
        <v>51</v>
      </c>
      <c r="S699" s="2" t="s">
        <v>59</v>
      </c>
      <c r="T699" s="9" t="s">
        <v>1703</v>
      </c>
      <c r="U699" s="10" t="s">
        <v>1701</v>
      </c>
      <c r="V699" s="2" t="s">
        <v>35</v>
      </c>
      <c r="W699" s="2">
        <v>4</v>
      </c>
      <c r="X699" s="2" t="s">
        <v>44</v>
      </c>
      <c r="Y699" s="2">
        <v>4</v>
      </c>
      <c r="Z699" s="2" t="s">
        <v>82</v>
      </c>
    </row>
    <row r="700" spans="1:26" x14ac:dyDescent="0.35">
      <c r="A700" s="2" t="s">
        <v>1267</v>
      </c>
      <c r="B700" s="3">
        <v>45926</v>
      </c>
      <c r="C700" s="2" t="s">
        <v>1268</v>
      </c>
      <c r="D700" s="2" t="s">
        <v>47</v>
      </c>
      <c r="E700" s="2" t="s">
        <v>41</v>
      </c>
      <c r="F700" s="2">
        <v>21</v>
      </c>
      <c r="G700" s="2" t="s">
        <v>63</v>
      </c>
      <c r="H700" s="2" t="s">
        <v>64</v>
      </c>
      <c r="I700" s="2" t="s">
        <v>63</v>
      </c>
      <c r="J700" s="2" t="s">
        <v>138</v>
      </c>
      <c r="K700" s="2">
        <v>3</v>
      </c>
      <c r="L700" s="2">
        <v>38505</v>
      </c>
      <c r="M700" s="2">
        <v>10</v>
      </c>
      <c r="N700" s="2">
        <v>11551.5</v>
      </c>
      <c r="O700" s="2">
        <v>18713.43</v>
      </c>
      <c r="P700" s="2">
        <v>469</v>
      </c>
      <c r="Q700" s="2">
        <v>123145.93</v>
      </c>
      <c r="R700" s="2" t="s">
        <v>76</v>
      </c>
      <c r="S700" s="2" t="s">
        <v>34</v>
      </c>
      <c r="T700" s="9" t="s">
        <v>1709</v>
      </c>
      <c r="U700" s="10" t="s">
        <v>52</v>
      </c>
      <c r="V700" s="2" t="s">
        <v>53</v>
      </c>
      <c r="W700" s="2">
        <v>7</v>
      </c>
      <c r="X700" s="2" t="s">
        <v>36</v>
      </c>
      <c r="Y700" s="2">
        <v>1</v>
      </c>
      <c r="Z700" s="2" t="s">
        <v>37</v>
      </c>
    </row>
    <row r="701" spans="1:26" x14ac:dyDescent="0.35">
      <c r="A701" s="2" t="s">
        <v>1269</v>
      </c>
      <c r="B701" s="3">
        <v>45835</v>
      </c>
      <c r="C701" s="2" t="s">
        <v>900</v>
      </c>
      <c r="D701" s="2" t="s">
        <v>47</v>
      </c>
      <c r="E701" s="2" t="s">
        <v>29</v>
      </c>
      <c r="F701" s="2">
        <v>41</v>
      </c>
      <c r="G701" s="2" t="s">
        <v>127</v>
      </c>
      <c r="H701" s="2" t="s">
        <v>31</v>
      </c>
      <c r="I701" s="2" t="s">
        <v>127</v>
      </c>
      <c r="J701" s="2" t="s">
        <v>70</v>
      </c>
      <c r="K701" s="2">
        <v>1</v>
      </c>
      <c r="L701" s="2">
        <v>37853</v>
      </c>
      <c r="M701" s="2">
        <v>20</v>
      </c>
      <c r="N701" s="2">
        <v>7570.6</v>
      </c>
      <c r="O701" s="2">
        <v>5450.83</v>
      </c>
      <c r="P701" s="2">
        <v>363</v>
      </c>
      <c r="Q701" s="2">
        <v>36096.230000000003</v>
      </c>
      <c r="R701" s="2" t="s">
        <v>51</v>
      </c>
      <c r="S701" s="2" t="s">
        <v>34</v>
      </c>
      <c r="T701" s="9" t="s">
        <v>1708</v>
      </c>
      <c r="U701" s="10" t="s">
        <v>52</v>
      </c>
      <c r="V701" s="2" t="s">
        <v>77</v>
      </c>
      <c r="W701" s="2">
        <v>3</v>
      </c>
      <c r="X701" s="2" t="s">
        <v>36</v>
      </c>
      <c r="Y701" s="2">
        <v>1</v>
      </c>
      <c r="Z701" s="2" t="s">
        <v>54</v>
      </c>
    </row>
    <row r="702" spans="1:26" x14ac:dyDescent="0.35">
      <c r="A702" s="2" t="s">
        <v>1270</v>
      </c>
      <c r="B702" s="3">
        <v>45848</v>
      </c>
      <c r="C702" s="2" t="s">
        <v>1271</v>
      </c>
      <c r="D702" s="2" t="s">
        <v>99</v>
      </c>
      <c r="E702" s="2" t="s">
        <v>29</v>
      </c>
      <c r="F702" s="2">
        <v>46</v>
      </c>
      <c r="G702" s="2" t="s">
        <v>127</v>
      </c>
      <c r="H702" s="2" t="s">
        <v>31</v>
      </c>
      <c r="I702" s="2" t="s">
        <v>127</v>
      </c>
      <c r="J702" s="2" t="s">
        <v>50</v>
      </c>
      <c r="K702" s="2">
        <v>1</v>
      </c>
      <c r="L702" s="2">
        <v>23378</v>
      </c>
      <c r="M702" s="2">
        <v>5</v>
      </c>
      <c r="N702" s="2">
        <v>1168.9000000000001</v>
      </c>
      <c r="O702" s="2">
        <v>3997.64</v>
      </c>
      <c r="P702" s="2">
        <v>1</v>
      </c>
      <c r="Q702" s="2">
        <v>26207.74</v>
      </c>
      <c r="R702" s="2" t="s">
        <v>33</v>
      </c>
      <c r="S702" s="2" t="s">
        <v>34</v>
      </c>
      <c r="T702" s="9" t="s">
        <v>1704</v>
      </c>
      <c r="U702" s="10" t="s">
        <v>52</v>
      </c>
      <c r="V702" s="2" t="s">
        <v>35</v>
      </c>
      <c r="W702" s="2">
        <v>5</v>
      </c>
      <c r="X702" s="2" t="s">
        <v>36</v>
      </c>
      <c r="Y702" s="2">
        <v>3</v>
      </c>
      <c r="Z702" s="2" t="s">
        <v>82</v>
      </c>
    </row>
    <row r="703" spans="1:26" x14ac:dyDescent="0.35">
      <c r="A703" s="2" t="s">
        <v>1272</v>
      </c>
      <c r="B703" s="3">
        <v>45869</v>
      </c>
      <c r="C703" s="2" t="s">
        <v>1273</v>
      </c>
      <c r="D703" s="2" t="s">
        <v>28</v>
      </c>
      <c r="E703" s="2" t="s">
        <v>41</v>
      </c>
      <c r="F703" s="2">
        <v>48</v>
      </c>
      <c r="G703" s="2" t="s">
        <v>88</v>
      </c>
      <c r="H703" s="2" t="s">
        <v>49</v>
      </c>
      <c r="I703" s="2" t="s">
        <v>88</v>
      </c>
      <c r="J703" s="2" t="s">
        <v>50</v>
      </c>
      <c r="K703" s="2">
        <v>2</v>
      </c>
      <c r="L703" s="2">
        <v>34921</v>
      </c>
      <c r="M703" s="2">
        <v>5</v>
      </c>
      <c r="N703" s="2">
        <v>3492.1</v>
      </c>
      <c r="O703" s="2">
        <v>11942.98</v>
      </c>
      <c r="P703" s="2">
        <v>248</v>
      </c>
      <c r="Q703" s="2">
        <v>78540.88</v>
      </c>
      <c r="R703" s="2" t="s">
        <v>33</v>
      </c>
      <c r="S703" s="2" t="s">
        <v>59</v>
      </c>
      <c r="T703" s="9" t="s">
        <v>1709</v>
      </c>
      <c r="U703" s="10" t="s">
        <v>52</v>
      </c>
      <c r="V703" s="2" t="s">
        <v>53</v>
      </c>
      <c r="W703" s="2">
        <v>1</v>
      </c>
      <c r="X703" s="2" t="s">
        <v>36</v>
      </c>
      <c r="Y703" s="2">
        <v>2</v>
      </c>
      <c r="Z703" s="2" t="s">
        <v>37</v>
      </c>
    </row>
    <row r="704" spans="1:26" x14ac:dyDescent="0.35">
      <c r="A704" s="2" t="s">
        <v>1274</v>
      </c>
      <c r="B704" s="3">
        <v>45790</v>
      </c>
      <c r="C704" s="2" t="s">
        <v>1275</v>
      </c>
      <c r="D704" s="2" t="s">
        <v>57</v>
      </c>
      <c r="E704" s="2" t="s">
        <v>41</v>
      </c>
      <c r="F704" s="2">
        <v>39</v>
      </c>
      <c r="G704" s="2" t="s">
        <v>81</v>
      </c>
      <c r="H704" s="2" t="s">
        <v>31</v>
      </c>
      <c r="I704" s="2" t="s">
        <v>81</v>
      </c>
      <c r="J704" s="2" t="s">
        <v>58</v>
      </c>
      <c r="K704" s="2">
        <v>4</v>
      </c>
      <c r="L704" s="2">
        <v>17871</v>
      </c>
      <c r="M704" s="2">
        <v>5</v>
      </c>
      <c r="N704" s="2">
        <v>3574.2</v>
      </c>
      <c r="O704" s="2">
        <v>12223.76</v>
      </c>
      <c r="P704" s="2">
        <v>178</v>
      </c>
      <c r="Q704" s="2">
        <v>80311.56</v>
      </c>
      <c r="R704" s="2" t="s">
        <v>51</v>
      </c>
      <c r="S704" s="2" t="s">
        <v>59</v>
      </c>
      <c r="T704" s="9" t="s">
        <v>1706</v>
      </c>
      <c r="U704" s="10" t="s">
        <v>52</v>
      </c>
      <c r="V704" s="2" t="s">
        <v>53</v>
      </c>
      <c r="W704" s="2">
        <v>8</v>
      </c>
      <c r="X704" s="2" t="s">
        <v>36</v>
      </c>
      <c r="Y704" s="2">
        <v>5</v>
      </c>
      <c r="Z704" s="2" t="s">
        <v>44</v>
      </c>
    </row>
    <row r="705" spans="1:26" x14ac:dyDescent="0.35">
      <c r="A705" s="2" t="s">
        <v>1276</v>
      </c>
      <c r="B705" s="3">
        <v>46003</v>
      </c>
      <c r="C705" s="2" t="s">
        <v>823</v>
      </c>
      <c r="D705" s="2" t="s">
        <v>73</v>
      </c>
      <c r="E705" s="2" t="s">
        <v>29</v>
      </c>
      <c r="F705" s="2">
        <v>46</v>
      </c>
      <c r="G705" s="2" t="s">
        <v>85</v>
      </c>
      <c r="H705" s="2" t="s">
        <v>31</v>
      </c>
      <c r="I705" s="2" t="s">
        <v>85</v>
      </c>
      <c r="J705" s="2" t="s">
        <v>50</v>
      </c>
      <c r="K705" s="2">
        <v>4</v>
      </c>
      <c r="L705" s="2">
        <v>45708</v>
      </c>
      <c r="M705" s="2">
        <v>20</v>
      </c>
      <c r="N705" s="2">
        <v>36566.400000000001</v>
      </c>
      <c r="O705" s="2">
        <v>26327.81</v>
      </c>
      <c r="P705" s="2">
        <v>230</v>
      </c>
      <c r="Q705" s="2">
        <v>172823.41</v>
      </c>
      <c r="R705" s="2" t="s">
        <v>33</v>
      </c>
      <c r="S705" s="2" t="s">
        <v>34</v>
      </c>
      <c r="T705" s="9" t="s">
        <v>1710</v>
      </c>
      <c r="U705" s="10" t="s">
        <v>1711</v>
      </c>
      <c r="V705" s="2" t="s">
        <v>53</v>
      </c>
      <c r="W705" s="2">
        <v>10</v>
      </c>
      <c r="X705" s="2" t="s">
        <v>44</v>
      </c>
      <c r="Y705" s="2">
        <v>4</v>
      </c>
      <c r="Z705" s="2" t="s">
        <v>44</v>
      </c>
    </row>
    <row r="706" spans="1:26" x14ac:dyDescent="0.35">
      <c r="A706" s="2" t="s">
        <v>1277</v>
      </c>
      <c r="B706" s="3">
        <v>45867</v>
      </c>
      <c r="C706" s="2" t="s">
        <v>1278</v>
      </c>
      <c r="D706" s="2" t="s">
        <v>57</v>
      </c>
      <c r="E706" s="2" t="s">
        <v>29</v>
      </c>
      <c r="F706" s="2">
        <v>45</v>
      </c>
      <c r="G706" s="2" t="s">
        <v>48</v>
      </c>
      <c r="H706" s="2" t="s">
        <v>49</v>
      </c>
      <c r="I706" s="2" t="s">
        <v>48</v>
      </c>
      <c r="J706" s="2" t="s">
        <v>91</v>
      </c>
      <c r="K706" s="2">
        <v>4</v>
      </c>
      <c r="L706" s="2">
        <v>30414</v>
      </c>
      <c r="M706" s="2">
        <v>5</v>
      </c>
      <c r="N706" s="2">
        <v>6082.8</v>
      </c>
      <c r="O706" s="2">
        <v>20803.18</v>
      </c>
      <c r="P706" s="2">
        <v>367</v>
      </c>
      <c r="Q706" s="2">
        <v>136743.38</v>
      </c>
      <c r="R706" s="2" t="s">
        <v>33</v>
      </c>
      <c r="S706" s="2" t="s">
        <v>59</v>
      </c>
      <c r="T706" s="9" t="s">
        <v>1707</v>
      </c>
      <c r="U706" s="10" t="s">
        <v>1712</v>
      </c>
      <c r="V706" s="2" t="s">
        <v>53</v>
      </c>
      <c r="W706" s="2">
        <v>8</v>
      </c>
      <c r="X706" s="2" t="s">
        <v>36</v>
      </c>
      <c r="Y706" s="2">
        <v>4</v>
      </c>
      <c r="Z706" s="2" t="s">
        <v>82</v>
      </c>
    </row>
    <row r="707" spans="1:26" x14ac:dyDescent="0.35">
      <c r="A707" s="2" t="s">
        <v>1279</v>
      </c>
      <c r="B707" s="3">
        <v>45963</v>
      </c>
      <c r="C707" s="2" t="s">
        <v>1280</v>
      </c>
      <c r="D707" s="2" t="s">
        <v>73</v>
      </c>
      <c r="E707" s="2" t="s">
        <v>41</v>
      </c>
      <c r="F707" s="2">
        <v>28</v>
      </c>
      <c r="G707" s="2" t="s">
        <v>81</v>
      </c>
      <c r="H707" s="2" t="s">
        <v>31</v>
      </c>
      <c r="I707" s="2" t="s">
        <v>81</v>
      </c>
      <c r="J707" s="2" t="s">
        <v>32</v>
      </c>
      <c r="K707" s="2">
        <v>3</v>
      </c>
      <c r="L707" s="2">
        <v>20894</v>
      </c>
      <c r="M707" s="2">
        <v>15</v>
      </c>
      <c r="N707" s="2">
        <v>9402.2999999999993</v>
      </c>
      <c r="O707" s="2">
        <v>9590.35</v>
      </c>
      <c r="P707" s="2">
        <v>68</v>
      </c>
      <c r="Q707" s="2">
        <v>62938.05</v>
      </c>
      <c r="R707" s="2" t="s">
        <v>51</v>
      </c>
      <c r="S707" s="2" t="s">
        <v>59</v>
      </c>
      <c r="T707" s="9" t="s">
        <v>1703</v>
      </c>
      <c r="U707" s="10" t="s">
        <v>1701</v>
      </c>
      <c r="V707" s="2" t="s">
        <v>35</v>
      </c>
      <c r="W707" s="2">
        <v>1</v>
      </c>
      <c r="X707" s="2" t="s">
        <v>44</v>
      </c>
      <c r="Y707" s="2">
        <v>5</v>
      </c>
      <c r="Z707" s="2" t="s">
        <v>54</v>
      </c>
    </row>
    <row r="708" spans="1:26" x14ac:dyDescent="0.35">
      <c r="A708" s="2" t="s">
        <v>1281</v>
      </c>
      <c r="B708" s="3">
        <v>46001</v>
      </c>
      <c r="C708" s="2" t="s">
        <v>1282</v>
      </c>
      <c r="D708" s="2" t="s">
        <v>62</v>
      </c>
      <c r="E708" s="2" t="s">
        <v>29</v>
      </c>
      <c r="F708" s="2">
        <v>35</v>
      </c>
      <c r="G708" s="2" t="s">
        <v>88</v>
      </c>
      <c r="H708" s="2" t="s">
        <v>49</v>
      </c>
      <c r="I708" s="2" t="s">
        <v>88</v>
      </c>
      <c r="J708" s="2" t="s">
        <v>138</v>
      </c>
      <c r="K708" s="2">
        <v>1</v>
      </c>
      <c r="L708" s="2">
        <v>9009</v>
      </c>
      <c r="M708" s="2">
        <v>15</v>
      </c>
      <c r="N708" s="2">
        <v>1351.35</v>
      </c>
      <c r="O708" s="2">
        <v>1378.38</v>
      </c>
      <c r="P708" s="2">
        <v>466</v>
      </c>
      <c r="Q708" s="2">
        <v>9502.0300000000007</v>
      </c>
      <c r="R708" s="2" t="s">
        <v>51</v>
      </c>
      <c r="S708" s="2" t="s">
        <v>59</v>
      </c>
      <c r="T708" s="9" t="s">
        <v>1707</v>
      </c>
      <c r="U708" s="10" t="s">
        <v>1712</v>
      </c>
      <c r="V708" s="2" t="s">
        <v>53</v>
      </c>
      <c r="W708" s="2">
        <v>7</v>
      </c>
      <c r="X708" s="2" t="s">
        <v>44</v>
      </c>
      <c r="Y708" s="2">
        <v>3</v>
      </c>
      <c r="Z708" s="2" t="s">
        <v>37</v>
      </c>
    </row>
    <row r="709" spans="1:26" x14ac:dyDescent="0.35">
      <c r="A709" s="2" t="s">
        <v>1283</v>
      </c>
      <c r="B709" s="3">
        <v>45876</v>
      </c>
      <c r="C709" s="2" t="s">
        <v>432</v>
      </c>
      <c r="D709" s="2" t="s">
        <v>40</v>
      </c>
      <c r="E709" s="2" t="s">
        <v>29</v>
      </c>
      <c r="F709" s="2">
        <v>36</v>
      </c>
      <c r="G709" s="2" t="s">
        <v>30</v>
      </c>
      <c r="H709" s="2" t="s">
        <v>31</v>
      </c>
      <c r="I709" s="2" t="s">
        <v>30</v>
      </c>
      <c r="J709" s="2" t="s">
        <v>70</v>
      </c>
      <c r="K709" s="2">
        <v>4</v>
      </c>
      <c r="L709" s="2">
        <v>40980</v>
      </c>
      <c r="M709" s="2">
        <v>20</v>
      </c>
      <c r="N709" s="2">
        <v>32784</v>
      </c>
      <c r="O709" s="2">
        <v>23604.48</v>
      </c>
      <c r="P709" s="2">
        <v>302</v>
      </c>
      <c r="Q709" s="2">
        <v>155042.48000000001</v>
      </c>
      <c r="R709" s="2" t="s">
        <v>51</v>
      </c>
      <c r="S709" s="2" t="s">
        <v>59</v>
      </c>
      <c r="T709" s="9" t="s">
        <v>1709</v>
      </c>
      <c r="U709" s="10" t="s">
        <v>52</v>
      </c>
      <c r="V709" s="2" t="s">
        <v>53</v>
      </c>
      <c r="W709" s="2">
        <v>10</v>
      </c>
      <c r="X709" s="2" t="s">
        <v>44</v>
      </c>
      <c r="Y709" s="2">
        <v>3</v>
      </c>
      <c r="Z709" s="2" t="s">
        <v>37</v>
      </c>
    </row>
    <row r="710" spans="1:26" x14ac:dyDescent="0.35">
      <c r="A710" s="2" t="s">
        <v>1284</v>
      </c>
      <c r="B710" s="3">
        <v>45777</v>
      </c>
      <c r="C710" s="2" t="s">
        <v>1156</v>
      </c>
      <c r="D710" s="2" t="s">
        <v>80</v>
      </c>
      <c r="E710" s="2" t="s">
        <v>41</v>
      </c>
      <c r="F710" s="2">
        <v>53</v>
      </c>
      <c r="G710" s="2" t="s">
        <v>127</v>
      </c>
      <c r="H710" s="2" t="s">
        <v>31</v>
      </c>
      <c r="I710" s="2" t="s">
        <v>127</v>
      </c>
      <c r="J710" s="2" t="s">
        <v>113</v>
      </c>
      <c r="K710" s="2">
        <v>4</v>
      </c>
      <c r="L710" s="2">
        <v>17805</v>
      </c>
      <c r="M710" s="2">
        <v>5</v>
      </c>
      <c r="N710" s="2">
        <v>3561</v>
      </c>
      <c r="O710" s="2">
        <v>12178.62</v>
      </c>
      <c r="P710" s="2">
        <v>278</v>
      </c>
      <c r="Q710" s="2">
        <v>80115.62</v>
      </c>
      <c r="R710" s="2" t="s">
        <v>33</v>
      </c>
      <c r="S710" s="2" t="s">
        <v>59</v>
      </c>
      <c r="T710" s="9" t="s">
        <v>1705</v>
      </c>
      <c r="U710" s="10" t="s">
        <v>1702</v>
      </c>
      <c r="V710" s="2" t="s">
        <v>53</v>
      </c>
      <c r="W710" s="2">
        <v>2</v>
      </c>
      <c r="X710" s="2" t="s">
        <v>44</v>
      </c>
      <c r="Y710" s="2">
        <v>4</v>
      </c>
      <c r="Z710" s="2" t="s">
        <v>54</v>
      </c>
    </row>
    <row r="711" spans="1:26" x14ac:dyDescent="0.35">
      <c r="A711" s="2" t="s">
        <v>1285</v>
      </c>
      <c r="B711" s="3">
        <v>46051</v>
      </c>
      <c r="C711" s="2" t="s">
        <v>951</v>
      </c>
      <c r="D711" s="2" t="s">
        <v>47</v>
      </c>
      <c r="E711" s="2" t="s">
        <v>29</v>
      </c>
      <c r="F711" s="2">
        <v>56</v>
      </c>
      <c r="G711" s="2" t="s">
        <v>122</v>
      </c>
      <c r="H711" s="2" t="s">
        <v>31</v>
      </c>
      <c r="I711" s="2" t="s">
        <v>122</v>
      </c>
      <c r="J711" s="2" t="s">
        <v>138</v>
      </c>
      <c r="K711" s="2">
        <v>3</v>
      </c>
      <c r="L711" s="2">
        <v>27997</v>
      </c>
      <c r="M711" s="2">
        <v>10</v>
      </c>
      <c r="N711" s="2">
        <v>8399.1</v>
      </c>
      <c r="O711" s="2">
        <v>13606.54</v>
      </c>
      <c r="P711" s="2">
        <v>430</v>
      </c>
      <c r="Q711" s="2">
        <v>89628.44</v>
      </c>
      <c r="R711" s="2" t="s">
        <v>43</v>
      </c>
      <c r="S711" s="2" t="s">
        <v>34</v>
      </c>
      <c r="T711" s="9" t="s">
        <v>1708</v>
      </c>
      <c r="U711" s="10" t="s">
        <v>52</v>
      </c>
      <c r="V711" s="2" t="s">
        <v>77</v>
      </c>
      <c r="W711" s="2">
        <v>7</v>
      </c>
      <c r="X711" s="2" t="s">
        <v>44</v>
      </c>
      <c r="Y711" s="2">
        <v>1</v>
      </c>
      <c r="Z711" s="2" t="s">
        <v>37</v>
      </c>
    </row>
    <row r="712" spans="1:26" x14ac:dyDescent="0.35">
      <c r="A712" s="2" t="s">
        <v>1286</v>
      </c>
      <c r="B712" s="3">
        <v>45854</v>
      </c>
      <c r="C712" s="2" t="s">
        <v>95</v>
      </c>
      <c r="D712" s="2" t="s">
        <v>62</v>
      </c>
      <c r="E712" s="2" t="s">
        <v>29</v>
      </c>
      <c r="F712" s="2">
        <v>58</v>
      </c>
      <c r="G712" s="2" t="s">
        <v>30</v>
      </c>
      <c r="H712" s="2" t="s">
        <v>31</v>
      </c>
      <c r="I712" s="2" t="s">
        <v>30</v>
      </c>
      <c r="J712" s="2" t="s">
        <v>113</v>
      </c>
      <c r="K712" s="2">
        <v>3</v>
      </c>
      <c r="L712" s="2">
        <v>16676</v>
      </c>
      <c r="M712" s="2">
        <v>5</v>
      </c>
      <c r="N712" s="2">
        <v>2501.4</v>
      </c>
      <c r="O712" s="2">
        <v>8554.7900000000009</v>
      </c>
      <c r="P712" s="2">
        <v>328</v>
      </c>
      <c r="Q712" s="2">
        <v>56409.39</v>
      </c>
      <c r="R712" s="2" t="s">
        <v>51</v>
      </c>
      <c r="S712" s="2" t="s">
        <v>59</v>
      </c>
      <c r="T712" s="9" t="s">
        <v>1704</v>
      </c>
      <c r="U712" s="10" t="s">
        <v>52</v>
      </c>
      <c r="V712" s="2" t="s">
        <v>35</v>
      </c>
      <c r="W712" s="2">
        <v>1</v>
      </c>
      <c r="X712" s="2" t="s">
        <v>36</v>
      </c>
      <c r="Y712" s="2">
        <v>1</v>
      </c>
      <c r="Z712" s="2" t="s">
        <v>37</v>
      </c>
    </row>
    <row r="713" spans="1:26" x14ac:dyDescent="0.35">
      <c r="A713" s="2" t="s">
        <v>1287</v>
      </c>
      <c r="B713" s="3">
        <v>46046</v>
      </c>
      <c r="C713" s="2" t="s">
        <v>870</v>
      </c>
      <c r="D713" s="2" t="s">
        <v>73</v>
      </c>
      <c r="E713" s="2" t="s">
        <v>41</v>
      </c>
      <c r="F713" s="2">
        <v>50</v>
      </c>
      <c r="G713" s="2" t="s">
        <v>69</v>
      </c>
      <c r="H713" s="2" t="s">
        <v>31</v>
      </c>
      <c r="I713" s="2" t="s">
        <v>69</v>
      </c>
      <c r="J713" s="2" t="s">
        <v>32</v>
      </c>
      <c r="K713" s="2">
        <v>1</v>
      </c>
      <c r="L713" s="2">
        <v>29242</v>
      </c>
      <c r="M713" s="2">
        <v>20</v>
      </c>
      <c r="N713" s="2">
        <v>5848.4</v>
      </c>
      <c r="O713" s="2">
        <v>4210.8500000000004</v>
      </c>
      <c r="P713" s="2">
        <v>375</v>
      </c>
      <c r="Q713" s="2">
        <v>27979.45</v>
      </c>
      <c r="R713" s="2" t="s">
        <v>51</v>
      </c>
      <c r="S713" s="2" t="s">
        <v>59</v>
      </c>
      <c r="T713" s="9" t="s">
        <v>1708</v>
      </c>
      <c r="U713" s="10" t="s">
        <v>52</v>
      </c>
      <c r="V713" s="2" t="s">
        <v>77</v>
      </c>
      <c r="W713" s="2">
        <v>3</v>
      </c>
      <c r="X713" s="2" t="s">
        <v>36</v>
      </c>
      <c r="Y713" s="2">
        <v>4</v>
      </c>
      <c r="Z713" s="2" t="s">
        <v>54</v>
      </c>
    </row>
    <row r="714" spans="1:26" x14ac:dyDescent="0.35">
      <c r="A714" s="2" t="s">
        <v>1288</v>
      </c>
      <c r="B714" s="3">
        <v>45858</v>
      </c>
      <c r="C714" s="2" t="s">
        <v>498</v>
      </c>
      <c r="D714" s="2" t="s">
        <v>47</v>
      </c>
      <c r="E714" s="2" t="s">
        <v>29</v>
      </c>
      <c r="F714" s="2">
        <v>41</v>
      </c>
      <c r="G714" s="2" t="s">
        <v>85</v>
      </c>
      <c r="H714" s="2" t="s">
        <v>31</v>
      </c>
      <c r="I714" s="2" t="s">
        <v>85</v>
      </c>
      <c r="J714" s="2" t="s">
        <v>32</v>
      </c>
      <c r="K714" s="2">
        <v>4</v>
      </c>
      <c r="L714" s="2">
        <v>11472</v>
      </c>
      <c r="M714" s="2">
        <v>5</v>
      </c>
      <c r="N714" s="2">
        <v>2294.4</v>
      </c>
      <c r="O714" s="2">
        <v>7846.85</v>
      </c>
      <c r="P714" s="2">
        <v>166</v>
      </c>
      <c r="Q714" s="2">
        <v>51606.45</v>
      </c>
      <c r="R714" s="2" t="s">
        <v>33</v>
      </c>
      <c r="S714" s="2" t="s">
        <v>59</v>
      </c>
      <c r="T714" s="9" t="s">
        <v>1704</v>
      </c>
      <c r="U714" s="10" t="s">
        <v>52</v>
      </c>
      <c r="V714" s="2" t="s">
        <v>35</v>
      </c>
      <c r="W714" s="2">
        <v>7</v>
      </c>
      <c r="X714" s="2" t="s">
        <v>44</v>
      </c>
      <c r="Y714" s="2">
        <v>2</v>
      </c>
      <c r="Z714" s="2" t="s">
        <v>54</v>
      </c>
    </row>
    <row r="715" spans="1:26" x14ac:dyDescent="0.35">
      <c r="A715" s="2" t="s">
        <v>1289</v>
      </c>
      <c r="B715" s="3">
        <v>45818</v>
      </c>
      <c r="C715" s="2" t="s">
        <v>1290</v>
      </c>
      <c r="D715" s="2" t="s">
        <v>47</v>
      </c>
      <c r="E715" s="2" t="s">
        <v>29</v>
      </c>
      <c r="F715" s="2">
        <v>59</v>
      </c>
      <c r="G715" s="2" t="s">
        <v>81</v>
      </c>
      <c r="H715" s="2" t="s">
        <v>31</v>
      </c>
      <c r="I715" s="2" t="s">
        <v>81</v>
      </c>
      <c r="J715" s="2" t="s">
        <v>50</v>
      </c>
      <c r="K715" s="2">
        <v>1</v>
      </c>
      <c r="L715" s="2">
        <v>47287</v>
      </c>
      <c r="M715" s="2">
        <v>0</v>
      </c>
      <c r="N715" s="2">
        <v>0</v>
      </c>
      <c r="O715" s="2">
        <v>8511.66</v>
      </c>
      <c r="P715" s="2">
        <v>494</v>
      </c>
      <c r="Q715" s="2">
        <v>56292.66</v>
      </c>
      <c r="R715" s="2" t="s">
        <v>43</v>
      </c>
      <c r="S715" s="2" t="s">
        <v>59</v>
      </c>
      <c r="T715" s="9" t="s">
        <v>1707</v>
      </c>
      <c r="U715" s="10" t="s">
        <v>1712</v>
      </c>
      <c r="V715" s="2" t="s">
        <v>53</v>
      </c>
      <c r="W715" s="2">
        <v>6</v>
      </c>
      <c r="X715" s="2" t="s">
        <v>36</v>
      </c>
      <c r="Y715" s="2">
        <v>1</v>
      </c>
      <c r="Z715" s="2" t="s">
        <v>54</v>
      </c>
    </row>
    <row r="716" spans="1:26" x14ac:dyDescent="0.35">
      <c r="A716" s="2" t="s">
        <v>1291</v>
      </c>
      <c r="B716" s="3">
        <v>45884</v>
      </c>
      <c r="C716" s="2" t="s">
        <v>436</v>
      </c>
      <c r="D716" s="2" t="s">
        <v>68</v>
      </c>
      <c r="E716" s="2" t="s">
        <v>29</v>
      </c>
      <c r="F716" s="2">
        <v>54</v>
      </c>
      <c r="G716" s="2" t="s">
        <v>63</v>
      </c>
      <c r="H716" s="2" t="s">
        <v>64</v>
      </c>
      <c r="I716" s="2" t="s">
        <v>63</v>
      </c>
      <c r="J716" s="2" t="s">
        <v>58</v>
      </c>
      <c r="K716" s="2">
        <v>1</v>
      </c>
      <c r="L716" s="2">
        <v>27319</v>
      </c>
      <c r="M716" s="2">
        <v>20</v>
      </c>
      <c r="N716" s="2">
        <v>5463.8</v>
      </c>
      <c r="O716" s="2">
        <v>3933.94</v>
      </c>
      <c r="P716" s="2">
        <v>240</v>
      </c>
      <c r="Q716" s="2">
        <v>26029.14</v>
      </c>
      <c r="R716" s="2" t="s">
        <v>51</v>
      </c>
      <c r="S716" s="2" t="s">
        <v>59</v>
      </c>
      <c r="T716" s="9" t="s">
        <v>1707</v>
      </c>
      <c r="U716" s="10" t="s">
        <v>1712</v>
      </c>
      <c r="V716" s="2" t="s">
        <v>53</v>
      </c>
      <c r="W716" s="2">
        <v>3</v>
      </c>
      <c r="X716" s="2" t="s">
        <v>36</v>
      </c>
      <c r="Y716" s="2">
        <v>2</v>
      </c>
      <c r="Z716" s="2" t="s">
        <v>54</v>
      </c>
    </row>
    <row r="717" spans="1:26" x14ac:dyDescent="0.35">
      <c r="A717" s="2" t="s">
        <v>1292</v>
      </c>
      <c r="B717" s="3">
        <v>45765</v>
      </c>
      <c r="C717" s="2" t="s">
        <v>1293</v>
      </c>
      <c r="D717" s="2" t="s">
        <v>57</v>
      </c>
      <c r="E717" s="2" t="s">
        <v>41</v>
      </c>
      <c r="F717" s="2">
        <v>23</v>
      </c>
      <c r="G717" s="2" t="s">
        <v>122</v>
      </c>
      <c r="H717" s="2" t="s">
        <v>31</v>
      </c>
      <c r="I717" s="2" t="s">
        <v>122</v>
      </c>
      <c r="J717" s="2" t="s">
        <v>138</v>
      </c>
      <c r="K717" s="2">
        <v>2</v>
      </c>
      <c r="L717" s="2">
        <v>23777</v>
      </c>
      <c r="M717" s="2">
        <v>5</v>
      </c>
      <c r="N717" s="2">
        <v>2377.6999999999998</v>
      </c>
      <c r="O717" s="2">
        <v>8131.73</v>
      </c>
      <c r="P717" s="2">
        <v>196</v>
      </c>
      <c r="Q717" s="2">
        <v>53504.03</v>
      </c>
      <c r="R717" s="2" t="s">
        <v>76</v>
      </c>
      <c r="S717" s="2" t="s">
        <v>34</v>
      </c>
      <c r="T717" s="9" t="s">
        <v>1708</v>
      </c>
      <c r="U717" s="10" t="s">
        <v>52</v>
      </c>
      <c r="V717" s="2" t="s">
        <v>77</v>
      </c>
      <c r="W717" s="2">
        <v>10</v>
      </c>
      <c r="X717" s="2" t="s">
        <v>44</v>
      </c>
      <c r="Y717" s="2">
        <v>2</v>
      </c>
      <c r="Z717" s="2" t="s">
        <v>44</v>
      </c>
    </row>
    <row r="718" spans="1:26" x14ac:dyDescent="0.35">
      <c r="A718" s="2" t="s">
        <v>1294</v>
      </c>
      <c r="B718" s="3">
        <v>45853</v>
      </c>
      <c r="C718" s="2" t="s">
        <v>1295</v>
      </c>
      <c r="D718" s="2" t="s">
        <v>73</v>
      </c>
      <c r="E718" s="2" t="s">
        <v>41</v>
      </c>
      <c r="F718" s="2">
        <v>49</v>
      </c>
      <c r="G718" s="2" t="s">
        <v>63</v>
      </c>
      <c r="H718" s="2" t="s">
        <v>64</v>
      </c>
      <c r="I718" s="2" t="s">
        <v>63</v>
      </c>
      <c r="J718" s="2" t="s">
        <v>32</v>
      </c>
      <c r="K718" s="2">
        <v>2</v>
      </c>
      <c r="L718" s="2">
        <v>47273</v>
      </c>
      <c r="M718" s="2">
        <v>15</v>
      </c>
      <c r="N718" s="2">
        <v>14181.9</v>
      </c>
      <c r="O718" s="2">
        <v>14465.54</v>
      </c>
      <c r="P718" s="2">
        <v>460</v>
      </c>
      <c r="Q718" s="2">
        <v>95289.64</v>
      </c>
      <c r="R718" s="2" t="s">
        <v>43</v>
      </c>
      <c r="S718" s="2" t="s">
        <v>34</v>
      </c>
      <c r="T718" s="9" t="s">
        <v>1707</v>
      </c>
      <c r="U718" s="10" t="s">
        <v>1712</v>
      </c>
      <c r="V718" s="2" t="s">
        <v>53</v>
      </c>
      <c r="W718" s="2">
        <v>2</v>
      </c>
      <c r="X718" s="2" t="s">
        <v>44</v>
      </c>
      <c r="Y718" s="2">
        <v>5</v>
      </c>
      <c r="Z718" s="2" t="s">
        <v>82</v>
      </c>
    </row>
    <row r="719" spans="1:26" x14ac:dyDescent="0.35">
      <c r="A719" s="2" t="s">
        <v>1296</v>
      </c>
      <c r="B719" s="3">
        <v>45948</v>
      </c>
      <c r="C719" s="2" t="s">
        <v>121</v>
      </c>
      <c r="D719" s="2" t="s">
        <v>47</v>
      </c>
      <c r="E719" s="2" t="s">
        <v>29</v>
      </c>
      <c r="F719" s="2">
        <v>55</v>
      </c>
      <c r="G719" s="2" t="s">
        <v>127</v>
      </c>
      <c r="H719" s="2" t="s">
        <v>31</v>
      </c>
      <c r="I719" s="2" t="s">
        <v>127</v>
      </c>
      <c r="J719" s="2" t="s">
        <v>65</v>
      </c>
      <c r="K719" s="2">
        <v>4</v>
      </c>
      <c r="L719" s="2">
        <v>5695</v>
      </c>
      <c r="M719" s="2">
        <v>5</v>
      </c>
      <c r="N719" s="2">
        <v>1139</v>
      </c>
      <c r="O719" s="2">
        <v>3895.38</v>
      </c>
      <c r="P719" s="2">
        <v>183</v>
      </c>
      <c r="Q719" s="2">
        <v>25719.38</v>
      </c>
      <c r="R719" s="2" t="s">
        <v>43</v>
      </c>
      <c r="S719" s="2" t="s">
        <v>59</v>
      </c>
      <c r="T719" s="9" t="s">
        <v>1706</v>
      </c>
      <c r="U719" s="10" t="s">
        <v>52</v>
      </c>
      <c r="V719" s="2" t="s">
        <v>53</v>
      </c>
      <c r="W719" s="2">
        <v>9</v>
      </c>
      <c r="X719" s="2" t="s">
        <v>36</v>
      </c>
      <c r="Y719" s="2">
        <v>4</v>
      </c>
      <c r="Z719" s="2" t="s">
        <v>82</v>
      </c>
    </row>
    <row r="720" spans="1:26" x14ac:dyDescent="0.35">
      <c r="A720" s="2" t="s">
        <v>1297</v>
      </c>
      <c r="B720" s="3">
        <v>46032</v>
      </c>
      <c r="C720" s="2" t="s">
        <v>1298</v>
      </c>
      <c r="D720" s="2" t="s">
        <v>28</v>
      </c>
      <c r="E720" s="2" t="s">
        <v>29</v>
      </c>
      <c r="F720" s="2">
        <v>33</v>
      </c>
      <c r="G720" s="2" t="s">
        <v>30</v>
      </c>
      <c r="H720" s="2" t="s">
        <v>31</v>
      </c>
      <c r="I720" s="2" t="s">
        <v>30</v>
      </c>
      <c r="J720" s="2" t="s">
        <v>58</v>
      </c>
      <c r="K720" s="2">
        <v>4</v>
      </c>
      <c r="L720" s="2">
        <v>25749</v>
      </c>
      <c r="M720" s="2">
        <v>0</v>
      </c>
      <c r="N720" s="2">
        <v>0</v>
      </c>
      <c r="O720" s="2">
        <v>18539.28</v>
      </c>
      <c r="P720" s="2">
        <v>488</v>
      </c>
      <c r="Q720" s="2">
        <v>122023.28</v>
      </c>
      <c r="R720" s="2" t="s">
        <v>43</v>
      </c>
      <c r="S720" s="2" t="s">
        <v>59</v>
      </c>
      <c r="T720" s="9" t="s">
        <v>1704</v>
      </c>
      <c r="U720" s="10" t="s">
        <v>52</v>
      </c>
      <c r="V720" s="2" t="s">
        <v>35</v>
      </c>
      <c r="W720" s="2">
        <v>6</v>
      </c>
      <c r="X720" s="2" t="s">
        <v>44</v>
      </c>
      <c r="Y720" s="2">
        <v>1</v>
      </c>
      <c r="Z720" s="2" t="s">
        <v>44</v>
      </c>
    </row>
    <row r="721" spans="1:26" x14ac:dyDescent="0.35">
      <c r="A721" s="2" t="s">
        <v>1299</v>
      </c>
      <c r="B721" s="3">
        <v>46094</v>
      </c>
      <c r="C721" s="2" t="s">
        <v>1106</v>
      </c>
      <c r="D721" s="2" t="s">
        <v>68</v>
      </c>
      <c r="E721" s="2" t="s">
        <v>41</v>
      </c>
      <c r="F721" s="2">
        <v>48</v>
      </c>
      <c r="G721" s="2" t="s">
        <v>63</v>
      </c>
      <c r="H721" s="2" t="s">
        <v>64</v>
      </c>
      <c r="I721" s="2" t="s">
        <v>63</v>
      </c>
      <c r="J721" s="2" t="s">
        <v>50</v>
      </c>
      <c r="K721" s="2">
        <v>3</v>
      </c>
      <c r="L721" s="2">
        <v>20383</v>
      </c>
      <c r="M721" s="2">
        <v>20</v>
      </c>
      <c r="N721" s="2">
        <v>12229.8</v>
      </c>
      <c r="O721" s="2">
        <v>8805.4599999999991</v>
      </c>
      <c r="P721" s="2">
        <v>320</v>
      </c>
      <c r="Q721" s="2">
        <v>58044.66</v>
      </c>
      <c r="R721" s="2" t="s">
        <v>76</v>
      </c>
      <c r="S721" s="2" t="s">
        <v>59</v>
      </c>
      <c r="T721" s="9" t="s">
        <v>1703</v>
      </c>
      <c r="U721" s="10" t="s">
        <v>1701</v>
      </c>
      <c r="V721" s="2" t="s">
        <v>35</v>
      </c>
      <c r="W721" s="2">
        <v>1</v>
      </c>
      <c r="X721" s="2" t="s">
        <v>44</v>
      </c>
      <c r="Y721" s="2">
        <v>2</v>
      </c>
      <c r="Z721" s="2" t="s">
        <v>37</v>
      </c>
    </row>
    <row r="722" spans="1:26" x14ac:dyDescent="0.35">
      <c r="A722" s="2" t="s">
        <v>1300</v>
      </c>
      <c r="B722" s="3">
        <v>45809</v>
      </c>
      <c r="C722" s="2" t="s">
        <v>649</v>
      </c>
      <c r="D722" s="2" t="s">
        <v>47</v>
      </c>
      <c r="E722" s="2" t="s">
        <v>41</v>
      </c>
      <c r="F722" s="2">
        <v>34</v>
      </c>
      <c r="G722" s="2" t="s">
        <v>42</v>
      </c>
      <c r="H722" s="2" t="s">
        <v>31</v>
      </c>
      <c r="I722" s="2" t="s">
        <v>42</v>
      </c>
      <c r="J722" s="2" t="s">
        <v>32</v>
      </c>
      <c r="K722" s="2">
        <v>4</v>
      </c>
      <c r="L722" s="2">
        <v>44550</v>
      </c>
      <c r="M722" s="2">
        <v>10</v>
      </c>
      <c r="N722" s="2">
        <v>17820</v>
      </c>
      <c r="O722" s="2">
        <v>28868.400000000001</v>
      </c>
      <c r="P722" s="2">
        <v>449</v>
      </c>
      <c r="Q722" s="2">
        <v>189697.4</v>
      </c>
      <c r="R722" s="2" t="s">
        <v>33</v>
      </c>
      <c r="S722" s="2" t="s">
        <v>59</v>
      </c>
      <c r="T722" s="9" t="s">
        <v>1703</v>
      </c>
      <c r="U722" s="10" t="s">
        <v>1701</v>
      </c>
      <c r="V722" s="2" t="s">
        <v>35</v>
      </c>
      <c r="W722" s="2">
        <v>7</v>
      </c>
      <c r="X722" s="2" t="s">
        <v>36</v>
      </c>
      <c r="Y722" s="2">
        <v>3</v>
      </c>
      <c r="Z722" s="2" t="s">
        <v>44</v>
      </c>
    </row>
    <row r="723" spans="1:26" x14ac:dyDescent="0.35">
      <c r="A723" s="2" t="s">
        <v>1301</v>
      </c>
      <c r="B723" s="3">
        <v>45988</v>
      </c>
      <c r="C723" s="2" t="s">
        <v>1302</v>
      </c>
      <c r="D723" s="2" t="s">
        <v>57</v>
      </c>
      <c r="E723" s="2" t="s">
        <v>41</v>
      </c>
      <c r="F723" s="2">
        <v>35</v>
      </c>
      <c r="G723" s="2" t="s">
        <v>127</v>
      </c>
      <c r="H723" s="2" t="s">
        <v>31</v>
      </c>
      <c r="I723" s="2" t="s">
        <v>127</v>
      </c>
      <c r="J723" s="2" t="s">
        <v>100</v>
      </c>
      <c r="K723" s="2">
        <v>3</v>
      </c>
      <c r="L723" s="2">
        <v>17487</v>
      </c>
      <c r="M723" s="2">
        <v>20</v>
      </c>
      <c r="N723" s="2">
        <v>10492.2</v>
      </c>
      <c r="O723" s="2">
        <v>7554.38</v>
      </c>
      <c r="P723" s="2">
        <v>447</v>
      </c>
      <c r="Q723" s="2">
        <v>49970.18</v>
      </c>
      <c r="R723" s="2" t="s">
        <v>76</v>
      </c>
      <c r="S723" s="2" t="s">
        <v>34</v>
      </c>
      <c r="T723" s="9" t="s">
        <v>1706</v>
      </c>
      <c r="U723" s="10" t="s">
        <v>52</v>
      </c>
      <c r="V723" s="2" t="s">
        <v>53</v>
      </c>
      <c r="W723" s="2">
        <v>10</v>
      </c>
      <c r="X723" s="2" t="s">
        <v>36</v>
      </c>
      <c r="Y723" s="2">
        <v>5</v>
      </c>
      <c r="Z723" s="2" t="s">
        <v>37</v>
      </c>
    </row>
    <row r="724" spans="1:26" x14ac:dyDescent="0.35">
      <c r="A724" s="2" t="s">
        <v>1303</v>
      </c>
      <c r="B724" s="3">
        <v>46017</v>
      </c>
      <c r="C724" s="2" t="s">
        <v>1228</v>
      </c>
      <c r="D724" s="2" t="s">
        <v>68</v>
      </c>
      <c r="E724" s="2" t="s">
        <v>29</v>
      </c>
      <c r="F724" s="2">
        <v>20</v>
      </c>
      <c r="G724" s="2" t="s">
        <v>42</v>
      </c>
      <c r="H724" s="2" t="s">
        <v>31</v>
      </c>
      <c r="I724" s="2" t="s">
        <v>42</v>
      </c>
      <c r="J724" s="2" t="s">
        <v>70</v>
      </c>
      <c r="K724" s="2">
        <v>3</v>
      </c>
      <c r="L724" s="2">
        <v>32893</v>
      </c>
      <c r="M724" s="2">
        <v>5</v>
      </c>
      <c r="N724" s="2">
        <v>4933.95</v>
      </c>
      <c r="O724" s="2">
        <v>16874.11</v>
      </c>
      <c r="P724" s="2">
        <v>386</v>
      </c>
      <c r="Q724" s="2">
        <v>111005.16</v>
      </c>
      <c r="R724" s="2" t="s">
        <v>51</v>
      </c>
      <c r="S724" s="2" t="s">
        <v>59</v>
      </c>
      <c r="T724" s="9" t="s">
        <v>1703</v>
      </c>
      <c r="U724" s="10" t="s">
        <v>1701</v>
      </c>
      <c r="V724" s="2" t="s">
        <v>35</v>
      </c>
      <c r="W724" s="2">
        <v>7</v>
      </c>
      <c r="X724" s="2" t="s">
        <v>36</v>
      </c>
      <c r="Y724" s="2">
        <v>4</v>
      </c>
      <c r="Z724" s="2" t="s">
        <v>44</v>
      </c>
    </row>
    <row r="725" spans="1:26" x14ac:dyDescent="0.35">
      <c r="A725" s="2" t="s">
        <v>1304</v>
      </c>
      <c r="B725" s="3">
        <v>45898</v>
      </c>
      <c r="C725" s="2" t="s">
        <v>1156</v>
      </c>
      <c r="D725" s="2" t="s">
        <v>73</v>
      </c>
      <c r="E725" s="2" t="s">
        <v>41</v>
      </c>
      <c r="F725" s="2">
        <v>33</v>
      </c>
      <c r="G725" s="2" t="s">
        <v>88</v>
      </c>
      <c r="H725" s="2" t="s">
        <v>49</v>
      </c>
      <c r="I725" s="2" t="s">
        <v>88</v>
      </c>
      <c r="J725" s="2" t="s">
        <v>100</v>
      </c>
      <c r="K725" s="2">
        <v>2</v>
      </c>
      <c r="L725" s="2">
        <v>48999</v>
      </c>
      <c r="M725" s="2">
        <v>10</v>
      </c>
      <c r="N725" s="2">
        <v>9799.7999999999993</v>
      </c>
      <c r="O725" s="2">
        <v>15875.68</v>
      </c>
      <c r="P725" s="2">
        <v>136</v>
      </c>
      <c r="Q725" s="2">
        <v>104209.88</v>
      </c>
      <c r="R725" s="2" t="s">
        <v>51</v>
      </c>
      <c r="S725" s="2" t="s">
        <v>59</v>
      </c>
      <c r="T725" s="9" t="s">
        <v>1703</v>
      </c>
      <c r="U725" s="10" t="s">
        <v>1701</v>
      </c>
      <c r="V725" s="2" t="s">
        <v>35</v>
      </c>
      <c r="W725" s="2">
        <v>7</v>
      </c>
      <c r="X725" s="2" t="s">
        <v>36</v>
      </c>
      <c r="Y725" s="2">
        <v>1</v>
      </c>
      <c r="Z725" s="2" t="s">
        <v>37</v>
      </c>
    </row>
    <row r="726" spans="1:26" x14ac:dyDescent="0.35">
      <c r="A726" s="2" t="s">
        <v>1305</v>
      </c>
      <c r="B726" s="3">
        <v>45788</v>
      </c>
      <c r="C726" s="2" t="s">
        <v>1306</v>
      </c>
      <c r="D726" s="2" t="s">
        <v>73</v>
      </c>
      <c r="E726" s="2" t="s">
        <v>41</v>
      </c>
      <c r="F726" s="2">
        <v>54</v>
      </c>
      <c r="G726" s="2" t="s">
        <v>127</v>
      </c>
      <c r="H726" s="2" t="s">
        <v>31</v>
      </c>
      <c r="I726" s="2" t="s">
        <v>127</v>
      </c>
      <c r="J726" s="2" t="s">
        <v>190</v>
      </c>
      <c r="K726" s="2">
        <v>5</v>
      </c>
      <c r="L726" s="2">
        <v>21651</v>
      </c>
      <c r="M726" s="2">
        <v>15</v>
      </c>
      <c r="N726" s="2">
        <v>16238.25</v>
      </c>
      <c r="O726" s="2">
        <v>16563.009999999998</v>
      </c>
      <c r="P726" s="2">
        <v>226</v>
      </c>
      <c r="Q726" s="2">
        <v>108805.75999999999</v>
      </c>
      <c r="R726" s="2" t="s">
        <v>51</v>
      </c>
      <c r="S726" s="2" t="s">
        <v>34</v>
      </c>
      <c r="T726" s="9" t="s">
        <v>1706</v>
      </c>
      <c r="U726" s="10" t="s">
        <v>52</v>
      </c>
      <c r="V726" s="2" t="s">
        <v>53</v>
      </c>
      <c r="W726" s="2">
        <v>2</v>
      </c>
      <c r="X726" s="2" t="s">
        <v>36</v>
      </c>
      <c r="Y726" s="2">
        <v>3</v>
      </c>
      <c r="Z726" s="2" t="s">
        <v>37</v>
      </c>
    </row>
    <row r="727" spans="1:26" x14ac:dyDescent="0.35">
      <c r="A727" s="2" t="s">
        <v>1307</v>
      </c>
      <c r="B727" s="3">
        <v>46112</v>
      </c>
      <c r="C727" s="2" t="s">
        <v>598</v>
      </c>
      <c r="D727" s="2" t="s">
        <v>96</v>
      </c>
      <c r="E727" s="2" t="s">
        <v>41</v>
      </c>
      <c r="F727" s="2">
        <v>21</v>
      </c>
      <c r="G727" s="2" t="s">
        <v>122</v>
      </c>
      <c r="H727" s="2" t="s">
        <v>31</v>
      </c>
      <c r="I727" s="2" t="s">
        <v>122</v>
      </c>
      <c r="J727" s="2" t="s">
        <v>70</v>
      </c>
      <c r="K727" s="2">
        <v>3</v>
      </c>
      <c r="L727" s="2">
        <v>33508</v>
      </c>
      <c r="M727" s="2">
        <v>10</v>
      </c>
      <c r="N727" s="2">
        <v>10052.4</v>
      </c>
      <c r="O727" s="2">
        <v>16284.89</v>
      </c>
      <c r="P727" s="2">
        <v>103</v>
      </c>
      <c r="Q727" s="2">
        <v>106859.49</v>
      </c>
      <c r="R727" s="2" t="s">
        <v>33</v>
      </c>
      <c r="S727" s="2" t="s">
        <v>59</v>
      </c>
      <c r="T727" s="9" t="s">
        <v>1704</v>
      </c>
      <c r="U727" s="10" t="s">
        <v>52</v>
      </c>
      <c r="V727" s="2" t="s">
        <v>35</v>
      </c>
      <c r="W727" s="2">
        <v>5</v>
      </c>
      <c r="X727" s="2" t="s">
        <v>44</v>
      </c>
      <c r="Y727" s="2">
        <v>1</v>
      </c>
      <c r="Z727" s="2" t="s">
        <v>44</v>
      </c>
    </row>
    <row r="728" spans="1:26" x14ac:dyDescent="0.35">
      <c r="A728" s="2" t="s">
        <v>1308</v>
      </c>
      <c r="B728" s="3">
        <v>45924</v>
      </c>
      <c r="C728" s="2" t="s">
        <v>895</v>
      </c>
      <c r="D728" s="2" t="s">
        <v>40</v>
      </c>
      <c r="E728" s="2" t="s">
        <v>29</v>
      </c>
      <c r="F728" s="2">
        <v>41</v>
      </c>
      <c r="G728" s="2" t="s">
        <v>127</v>
      </c>
      <c r="H728" s="2" t="s">
        <v>31</v>
      </c>
      <c r="I728" s="2" t="s">
        <v>127</v>
      </c>
      <c r="J728" s="2" t="s">
        <v>138</v>
      </c>
      <c r="K728" s="2">
        <v>2</v>
      </c>
      <c r="L728" s="2">
        <v>43281</v>
      </c>
      <c r="M728" s="2">
        <v>5</v>
      </c>
      <c r="N728" s="2">
        <v>4328.1000000000004</v>
      </c>
      <c r="O728" s="2">
        <v>14802.1</v>
      </c>
      <c r="P728" s="2">
        <v>87</v>
      </c>
      <c r="Q728" s="2">
        <v>97123</v>
      </c>
      <c r="R728" s="2" t="s">
        <v>43</v>
      </c>
      <c r="S728" s="2" t="s">
        <v>59</v>
      </c>
      <c r="T728" s="9" t="s">
        <v>1703</v>
      </c>
      <c r="U728" s="10" t="s">
        <v>1701</v>
      </c>
      <c r="V728" s="2" t="s">
        <v>35</v>
      </c>
      <c r="W728" s="2">
        <v>7</v>
      </c>
      <c r="X728" s="2" t="s">
        <v>44</v>
      </c>
      <c r="Y728" s="2">
        <v>1</v>
      </c>
      <c r="Z728" s="2" t="s">
        <v>44</v>
      </c>
    </row>
    <row r="729" spans="1:26" x14ac:dyDescent="0.35">
      <c r="A729" s="2" t="s">
        <v>1309</v>
      </c>
      <c r="B729" s="3">
        <v>45852</v>
      </c>
      <c r="C729" s="2" t="s">
        <v>840</v>
      </c>
      <c r="D729" s="2" t="s">
        <v>62</v>
      </c>
      <c r="E729" s="2" t="s">
        <v>29</v>
      </c>
      <c r="F729" s="2">
        <v>30</v>
      </c>
      <c r="G729" s="2" t="s">
        <v>30</v>
      </c>
      <c r="H729" s="2" t="s">
        <v>31</v>
      </c>
      <c r="I729" s="2" t="s">
        <v>30</v>
      </c>
      <c r="J729" s="2" t="s">
        <v>100</v>
      </c>
      <c r="K729" s="2">
        <v>2</v>
      </c>
      <c r="L729" s="2">
        <v>41547</v>
      </c>
      <c r="M729" s="2">
        <v>10</v>
      </c>
      <c r="N729" s="2">
        <v>8309.4</v>
      </c>
      <c r="O729" s="2">
        <v>13461.23</v>
      </c>
      <c r="P729" s="2">
        <v>154</v>
      </c>
      <c r="Q729" s="2">
        <v>88399.83</v>
      </c>
      <c r="R729" s="2" t="s">
        <v>43</v>
      </c>
      <c r="S729" s="2" t="s">
        <v>59</v>
      </c>
      <c r="T729" s="9" t="s">
        <v>1706</v>
      </c>
      <c r="U729" s="10" t="s">
        <v>52</v>
      </c>
      <c r="V729" s="2" t="s">
        <v>53</v>
      </c>
      <c r="W729" s="2">
        <v>4</v>
      </c>
      <c r="X729" s="2" t="s">
        <v>36</v>
      </c>
      <c r="Y729" s="2">
        <v>3</v>
      </c>
      <c r="Z729" s="2" t="s">
        <v>54</v>
      </c>
    </row>
    <row r="730" spans="1:26" x14ac:dyDescent="0.35">
      <c r="A730" s="2" t="s">
        <v>1310</v>
      </c>
      <c r="B730" s="3">
        <v>45974</v>
      </c>
      <c r="C730" s="2" t="s">
        <v>1311</v>
      </c>
      <c r="D730" s="2" t="s">
        <v>57</v>
      </c>
      <c r="E730" s="2" t="s">
        <v>29</v>
      </c>
      <c r="F730" s="2">
        <v>26</v>
      </c>
      <c r="G730" s="2" t="s">
        <v>69</v>
      </c>
      <c r="H730" s="2" t="s">
        <v>31</v>
      </c>
      <c r="I730" s="2" t="s">
        <v>69</v>
      </c>
      <c r="J730" s="2" t="s">
        <v>113</v>
      </c>
      <c r="K730" s="2">
        <v>3</v>
      </c>
      <c r="L730" s="2">
        <v>27978</v>
      </c>
      <c r="M730" s="2">
        <v>5</v>
      </c>
      <c r="N730" s="2">
        <v>4196.7</v>
      </c>
      <c r="O730" s="2">
        <v>14352.71</v>
      </c>
      <c r="P730" s="2">
        <v>109</v>
      </c>
      <c r="Q730" s="2">
        <v>94199.01</v>
      </c>
      <c r="R730" s="2" t="s">
        <v>51</v>
      </c>
      <c r="S730" s="2" t="s">
        <v>59</v>
      </c>
      <c r="T730" s="9" t="s">
        <v>1703</v>
      </c>
      <c r="U730" s="10" t="s">
        <v>1701</v>
      </c>
      <c r="V730" s="2" t="s">
        <v>35</v>
      </c>
      <c r="W730" s="2">
        <v>7</v>
      </c>
      <c r="X730" s="2" t="s">
        <v>36</v>
      </c>
      <c r="Y730" s="2">
        <v>2</v>
      </c>
      <c r="Z730" s="2" t="s">
        <v>44</v>
      </c>
    </row>
    <row r="731" spans="1:26" x14ac:dyDescent="0.35">
      <c r="A731" s="2" t="s">
        <v>1312</v>
      </c>
      <c r="B731" s="3">
        <v>45962</v>
      </c>
      <c r="C731" s="2" t="s">
        <v>1313</v>
      </c>
      <c r="D731" s="2" t="s">
        <v>57</v>
      </c>
      <c r="E731" s="2" t="s">
        <v>41</v>
      </c>
      <c r="F731" s="2">
        <v>28</v>
      </c>
      <c r="G731" s="2" t="s">
        <v>122</v>
      </c>
      <c r="H731" s="2" t="s">
        <v>31</v>
      </c>
      <c r="I731" s="2" t="s">
        <v>122</v>
      </c>
      <c r="J731" s="2" t="s">
        <v>190</v>
      </c>
      <c r="K731" s="2">
        <v>1</v>
      </c>
      <c r="L731" s="2">
        <v>45792</v>
      </c>
      <c r="M731" s="2">
        <v>20</v>
      </c>
      <c r="N731" s="2">
        <v>9158.4</v>
      </c>
      <c r="O731" s="2">
        <v>6594.05</v>
      </c>
      <c r="P731" s="2">
        <v>224</v>
      </c>
      <c r="Q731" s="2">
        <v>43451.65</v>
      </c>
      <c r="R731" s="2" t="s">
        <v>33</v>
      </c>
      <c r="S731" s="2" t="s">
        <v>59</v>
      </c>
      <c r="T731" s="9" t="s">
        <v>1709</v>
      </c>
      <c r="U731" s="10" t="s">
        <v>52</v>
      </c>
      <c r="V731" s="2" t="s">
        <v>53</v>
      </c>
      <c r="W731" s="2">
        <v>6</v>
      </c>
      <c r="X731" s="2" t="s">
        <v>44</v>
      </c>
      <c r="Y731" s="2">
        <v>3</v>
      </c>
      <c r="Z731" s="2" t="s">
        <v>54</v>
      </c>
    </row>
    <row r="732" spans="1:26" x14ac:dyDescent="0.35">
      <c r="A732" s="2" t="s">
        <v>1314</v>
      </c>
      <c r="B732" s="3">
        <v>46030</v>
      </c>
      <c r="C732" s="2" t="s">
        <v>212</v>
      </c>
      <c r="D732" s="2" t="s">
        <v>57</v>
      </c>
      <c r="E732" s="2" t="s">
        <v>29</v>
      </c>
      <c r="F732" s="2">
        <v>46</v>
      </c>
      <c r="G732" s="2" t="s">
        <v>88</v>
      </c>
      <c r="H732" s="2" t="s">
        <v>49</v>
      </c>
      <c r="I732" s="2" t="s">
        <v>88</v>
      </c>
      <c r="J732" s="2" t="s">
        <v>32</v>
      </c>
      <c r="K732" s="2">
        <v>3</v>
      </c>
      <c r="L732" s="2">
        <v>42112</v>
      </c>
      <c r="M732" s="2">
        <v>10</v>
      </c>
      <c r="N732" s="2">
        <v>12633.6</v>
      </c>
      <c r="O732" s="2">
        <v>20466.43</v>
      </c>
      <c r="P732" s="2">
        <v>357</v>
      </c>
      <c r="Q732" s="2">
        <v>134525.82999999999</v>
      </c>
      <c r="R732" s="2" t="s">
        <v>51</v>
      </c>
      <c r="S732" s="2" t="s">
        <v>34</v>
      </c>
      <c r="T732" s="9" t="s">
        <v>1709</v>
      </c>
      <c r="U732" s="10" t="s">
        <v>52</v>
      </c>
      <c r="V732" s="2" t="s">
        <v>53</v>
      </c>
      <c r="W732" s="2">
        <v>8</v>
      </c>
      <c r="X732" s="2" t="s">
        <v>36</v>
      </c>
      <c r="Y732" s="2">
        <v>5</v>
      </c>
      <c r="Z732" s="2" t="s">
        <v>82</v>
      </c>
    </row>
    <row r="733" spans="1:26" x14ac:dyDescent="0.35">
      <c r="A733" s="2" t="s">
        <v>1315</v>
      </c>
      <c r="B733" s="3">
        <v>45963</v>
      </c>
      <c r="C733" s="2" t="s">
        <v>972</v>
      </c>
      <c r="D733" s="2" t="s">
        <v>80</v>
      </c>
      <c r="E733" s="2" t="s">
        <v>41</v>
      </c>
      <c r="F733" s="2">
        <v>42</v>
      </c>
      <c r="G733" s="2" t="s">
        <v>88</v>
      </c>
      <c r="H733" s="2" t="s">
        <v>49</v>
      </c>
      <c r="I733" s="2" t="s">
        <v>88</v>
      </c>
      <c r="J733" s="2" t="s">
        <v>138</v>
      </c>
      <c r="K733" s="2">
        <v>1</v>
      </c>
      <c r="L733" s="2">
        <v>9485</v>
      </c>
      <c r="M733" s="2">
        <v>15</v>
      </c>
      <c r="N733" s="2">
        <v>1422.75</v>
      </c>
      <c r="O733" s="2">
        <v>1451.2</v>
      </c>
      <c r="P733" s="2">
        <v>167</v>
      </c>
      <c r="Q733" s="2">
        <v>9680.4500000000007</v>
      </c>
      <c r="R733" s="2" t="s">
        <v>33</v>
      </c>
      <c r="S733" s="2" t="s">
        <v>34</v>
      </c>
      <c r="T733" s="9" t="s">
        <v>1708</v>
      </c>
      <c r="U733" s="10" t="s">
        <v>52</v>
      </c>
      <c r="V733" s="2" t="s">
        <v>77</v>
      </c>
      <c r="W733" s="2">
        <v>1</v>
      </c>
      <c r="X733" s="2" t="s">
        <v>36</v>
      </c>
      <c r="Y733" s="2">
        <v>1</v>
      </c>
      <c r="Z733" s="2" t="s">
        <v>54</v>
      </c>
    </row>
    <row r="734" spans="1:26" x14ac:dyDescent="0.35">
      <c r="A734" s="2" t="s">
        <v>1316</v>
      </c>
      <c r="B734" s="3">
        <v>45891</v>
      </c>
      <c r="C734" s="2" t="s">
        <v>1317</v>
      </c>
      <c r="D734" s="2" t="s">
        <v>28</v>
      </c>
      <c r="E734" s="2" t="s">
        <v>41</v>
      </c>
      <c r="F734" s="2">
        <v>53</v>
      </c>
      <c r="G734" s="2" t="s">
        <v>30</v>
      </c>
      <c r="H734" s="2" t="s">
        <v>31</v>
      </c>
      <c r="I734" s="2" t="s">
        <v>30</v>
      </c>
      <c r="J734" s="2" t="s">
        <v>91</v>
      </c>
      <c r="K734" s="2">
        <v>3</v>
      </c>
      <c r="L734" s="2">
        <v>3588</v>
      </c>
      <c r="M734" s="2">
        <v>15</v>
      </c>
      <c r="N734" s="2">
        <v>1614.6</v>
      </c>
      <c r="O734" s="2">
        <v>1646.89</v>
      </c>
      <c r="P734" s="2">
        <v>206</v>
      </c>
      <c r="Q734" s="2">
        <v>11002.29</v>
      </c>
      <c r="R734" s="2" t="s">
        <v>51</v>
      </c>
      <c r="S734" s="2" t="s">
        <v>34</v>
      </c>
      <c r="T734" s="9" t="s">
        <v>1710</v>
      </c>
      <c r="U734" s="10" t="s">
        <v>1711</v>
      </c>
      <c r="V734" s="2" t="s">
        <v>53</v>
      </c>
      <c r="W734" s="2">
        <v>10</v>
      </c>
      <c r="X734" s="2" t="s">
        <v>36</v>
      </c>
      <c r="Y734" s="2">
        <v>4</v>
      </c>
      <c r="Z734" s="2" t="s">
        <v>44</v>
      </c>
    </row>
    <row r="735" spans="1:26" x14ac:dyDescent="0.35">
      <c r="A735" s="2" t="s">
        <v>1318</v>
      </c>
      <c r="B735" s="3">
        <v>45848</v>
      </c>
      <c r="C735" s="2" t="s">
        <v>813</v>
      </c>
      <c r="D735" s="2" t="s">
        <v>57</v>
      </c>
      <c r="E735" s="2" t="s">
        <v>41</v>
      </c>
      <c r="F735" s="2">
        <v>56</v>
      </c>
      <c r="G735" s="2" t="s">
        <v>48</v>
      </c>
      <c r="H735" s="2" t="s">
        <v>49</v>
      </c>
      <c r="I735" s="2" t="s">
        <v>48</v>
      </c>
      <c r="J735" s="2" t="s">
        <v>50</v>
      </c>
      <c r="K735" s="2">
        <v>1</v>
      </c>
      <c r="L735" s="2">
        <v>44046</v>
      </c>
      <c r="M735" s="2">
        <v>20</v>
      </c>
      <c r="N735" s="2">
        <v>8809.2000000000007</v>
      </c>
      <c r="O735" s="2">
        <v>6342.62</v>
      </c>
      <c r="P735" s="2">
        <v>311</v>
      </c>
      <c r="Q735" s="2">
        <v>41890.42</v>
      </c>
      <c r="R735" s="2" t="s">
        <v>51</v>
      </c>
      <c r="S735" s="2" t="s">
        <v>34</v>
      </c>
      <c r="T735" s="9" t="s">
        <v>1710</v>
      </c>
      <c r="U735" s="10" t="s">
        <v>1711</v>
      </c>
      <c r="V735" s="2" t="s">
        <v>53</v>
      </c>
      <c r="W735" s="2">
        <v>5</v>
      </c>
      <c r="X735" s="2" t="s">
        <v>44</v>
      </c>
      <c r="Y735" s="2">
        <v>4</v>
      </c>
      <c r="Z735" s="2" t="s">
        <v>82</v>
      </c>
    </row>
    <row r="736" spans="1:26" x14ac:dyDescent="0.35">
      <c r="A736" s="2" t="s">
        <v>1319</v>
      </c>
      <c r="B736" s="3">
        <v>45970</v>
      </c>
      <c r="C736" s="2" t="s">
        <v>1320</v>
      </c>
      <c r="D736" s="2" t="s">
        <v>80</v>
      </c>
      <c r="E736" s="2" t="s">
        <v>41</v>
      </c>
      <c r="F736" s="2">
        <v>25</v>
      </c>
      <c r="G736" s="2" t="s">
        <v>48</v>
      </c>
      <c r="H736" s="2" t="s">
        <v>49</v>
      </c>
      <c r="I736" s="2" t="s">
        <v>48</v>
      </c>
      <c r="J736" s="2" t="s">
        <v>138</v>
      </c>
      <c r="K736" s="2">
        <v>5</v>
      </c>
      <c r="L736" s="2">
        <v>6165</v>
      </c>
      <c r="M736" s="2">
        <v>20</v>
      </c>
      <c r="N736" s="2">
        <v>6165</v>
      </c>
      <c r="O736" s="2">
        <v>4438.8</v>
      </c>
      <c r="P736" s="2">
        <v>424</v>
      </c>
      <c r="Q736" s="2">
        <v>29522.799999999999</v>
      </c>
      <c r="R736" s="2" t="s">
        <v>76</v>
      </c>
      <c r="S736" s="2" t="s">
        <v>34</v>
      </c>
      <c r="T736" s="9" t="s">
        <v>1710</v>
      </c>
      <c r="U736" s="10" t="s">
        <v>1711</v>
      </c>
      <c r="V736" s="2" t="s">
        <v>53</v>
      </c>
      <c r="W736" s="2">
        <v>8</v>
      </c>
      <c r="X736" s="2" t="s">
        <v>36</v>
      </c>
      <c r="Y736" s="2">
        <v>5</v>
      </c>
      <c r="Z736" s="2" t="s">
        <v>54</v>
      </c>
    </row>
    <row r="737" spans="1:26" x14ac:dyDescent="0.35">
      <c r="A737" s="2" t="s">
        <v>1321</v>
      </c>
      <c r="B737" s="3">
        <v>45939</v>
      </c>
      <c r="C737" s="2" t="s">
        <v>937</v>
      </c>
      <c r="D737" s="2" t="s">
        <v>73</v>
      </c>
      <c r="E737" s="2" t="s">
        <v>29</v>
      </c>
      <c r="F737" s="2">
        <v>59</v>
      </c>
      <c r="G737" s="2" t="s">
        <v>81</v>
      </c>
      <c r="H737" s="2" t="s">
        <v>31</v>
      </c>
      <c r="I737" s="2" t="s">
        <v>81</v>
      </c>
      <c r="J737" s="2" t="s">
        <v>58</v>
      </c>
      <c r="K737" s="2">
        <v>4</v>
      </c>
      <c r="L737" s="2">
        <v>2086</v>
      </c>
      <c r="M737" s="2">
        <v>20</v>
      </c>
      <c r="N737" s="2">
        <v>1668.8</v>
      </c>
      <c r="O737" s="2">
        <v>1201.54</v>
      </c>
      <c r="P737" s="2">
        <v>360</v>
      </c>
      <c r="Q737" s="2">
        <v>8236.74</v>
      </c>
      <c r="R737" s="2" t="s">
        <v>43</v>
      </c>
      <c r="S737" s="2" t="s">
        <v>59</v>
      </c>
      <c r="T737" s="9" t="s">
        <v>1710</v>
      </c>
      <c r="U737" s="10" t="s">
        <v>1711</v>
      </c>
      <c r="V737" s="2" t="s">
        <v>53</v>
      </c>
      <c r="W737" s="2">
        <v>2</v>
      </c>
      <c r="X737" s="2" t="s">
        <v>44</v>
      </c>
      <c r="Y737" s="2">
        <v>4</v>
      </c>
      <c r="Z737" s="2" t="s">
        <v>82</v>
      </c>
    </row>
    <row r="738" spans="1:26" x14ac:dyDescent="0.35">
      <c r="A738" s="2" t="s">
        <v>1322</v>
      </c>
      <c r="B738" s="3">
        <v>45859</v>
      </c>
      <c r="C738" s="2" t="s">
        <v>735</v>
      </c>
      <c r="D738" s="2" t="s">
        <v>99</v>
      </c>
      <c r="E738" s="2" t="s">
        <v>41</v>
      </c>
      <c r="F738" s="2">
        <v>47</v>
      </c>
      <c r="G738" s="2" t="s">
        <v>48</v>
      </c>
      <c r="H738" s="2" t="s">
        <v>49</v>
      </c>
      <c r="I738" s="2" t="s">
        <v>48</v>
      </c>
      <c r="J738" s="2" t="s">
        <v>100</v>
      </c>
      <c r="K738" s="2">
        <v>1</v>
      </c>
      <c r="L738" s="2">
        <v>1296</v>
      </c>
      <c r="M738" s="2">
        <v>15</v>
      </c>
      <c r="N738" s="2">
        <v>194.4</v>
      </c>
      <c r="O738" s="2">
        <v>198.29</v>
      </c>
      <c r="P738" s="2">
        <v>410</v>
      </c>
      <c r="Q738" s="2">
        <v>1709.89</v>
      </c>
      <c r="R738" s="2" t="s">
        <v>51</v>
      </c>
      <c r="S738" s="2" t="s">
        <v>34</v>
      </c>
      <c r="T738" s="9" t="s">
        <v>1708</v>
      </c>
      <c r="U738" s="10" t="s">
        <v>52</v>
      </c>
      <c r="V738" s="2" t="s">
        <v>77</v>
      </c>
      <c r="W738" s="2">
        <v>5</v>
      </c>
      <c r="X738" s="2" t="s">
        <v>36</v>
      </c>
      <c r="Y738" s="2">
        <v>3</v>
      </c>
      <c r="Z738" s="2" t="s">
        <v>54</v>
      </c>
    </row>
    <row r="739" spans="1:26" x14ac:dyDescent="0.35">
      <c r="A739" s="2" t="s">
        <v>1323</v>
      </c>
      <c r="B739" s="3">
        <v>46077</v>
      </c>
      <c r="C739" s="2" t="s">
        <v>181</v>
      </c>
      <c r="D739" s="2" t="s">
        <v>96</v>
      </c>
      <c r="E739" s="2" t="s">
        <v>29</v>
      </c>
      <c r="F739" s="2">
        <v>26</v>
      </c>
      <c r="G739" s="2" t="s">
        <v>30</v>
      </c>
      <c r="H739" s="2" t="s">
        <v>31</v>
      </c>
      <c r="I739" s="2" t="s">
        <v>30</v>
      </c>
      <c r="J739" s="2" t="s">
        <v>50</v>
      </c>
      <c r="K739" s="2">
        <v>1</v>
      </c>
      <c r="L739" s="2">
        <v>43602</v>
      </c>
      <c r="M739" s="2">
        <v>15</v>
      </c>
      <c r="N739" s="2">
        <v>6540.3</v>
      </c>
      <c r="O739" s="2">
        <v>6671.11</v>
      </c>
      <c r="P739" s="2">
        <v>396</v>
      </c>
      <c r="Q739" s="2">
        <v>44128.81</v>
      </c>
      <c r="R739" s="2" t="s">
        <v>76</v>
      </c>
      <c r="S739" s="2" t="s">
        <v>34</v>
      </c>
      <c r="T739" s="9" t="s">
        <v>1703</v>
      </c>
      <c r="U739" s="10" t="s">
        <v>1701</v>
      </c>
      <c r="V739" s="2" t="s">
        <v>35</v>
      </c>
      <c r="W739" s="2">
        <v>1</v>
      </c>
      <c r="X739" s="2" t="s">
        <v>44</v>
      </c>
      <c r="Y739" s="2">
        <v>5</v>
      </c>
      <c r="Z739" s="2" t="s">
        <v>44</v>
      </c>
    </row>
    <row r="740" spans="1:26" x14ac:dyDescent="0.35">
      <c r="A740" s="2" t="s">
        <v>1324</v>
      </c>
      <c r="B740" s="3">
        <v>45795</v>
      </c>
      <c r="C740" s="2" t="s">
        <v>1325</v>
      </c>
      <c r="D740" s="2" t="s">
        <v>99</v>
      </c>
      <c r="E740" s="2" t="s">
        <v>29</v>
      </c>
      <c r="F740" s="2">
        <v>25</v>
      </c>
      <c r="G740" s="2" t="s">
        <v>63</v>
      </c>
      <c r="H740" s="2" t="s">
        <v>64</v>
      </c>
      <c r="I740" s="2" t="s">
        <v>63</v>
      </c>
      <c r="J740" s="2" t="s">
        <v>70</v>
      </c>
      <c r="K740" s="2">
        <v>3</v>
      </c>
      <c r="L740" s="2">
        <v>8837</v>
      </c>
      <c r="M740" s="2">
        <v>20</v>
      </c>
      <c r="N740" s="2">
        <v>5302.2</v>
      </c>
      <c r="O740" s="2">
        <v>3817.58</v>
      </c>
      <c r="P740" s="2">
        <v>344</v>
      </c>
      <c r="Q740" s="2">
        <v>25370.38</v>
      </c>
      <c r="R740" s="2" t="s">
        <v>51</v>
      </c>
      <c r="S740" s="2" t="s">
        <v>34</v>
      </c>
      <c r="T740" s="9" t="s">
        <v>1710</v>
      </c>
      <c r="U740" s="10" t="s">
        <v>1711</v>
      </c>
      <c r="V740" s="2" t="s">
        <v>53</v>
      </c>
      <c r="W740" s="2">
        <v>8</v>
      </c>
      <c r="X740" s="2" t="s">
        <v>44</v>
      </c>
      <c r="Y740" s="2">
        <v>3</v>
      </c>
      <c r="Z740" s="2" t="s">
        <v>44</v>
      </c>
    </row>
    <row r="741" spans="1:26" x14ac:dyDescent="0.35">
      <c r="A741" s="2" t="s">
        <v>1326</v>
      </c>
      <c r="B741" s="3">
        <v>45886</v>
      </c>
      <c r="C741" s="2" t="s">
        <v>327</v>
      </c>
      <c r="D741" s="2" t="s">
        <v>73</v>
      </c>
      <c r="E741" s="2" t="s">
        <v>29</v>
      </c>
      <c r="F741" s="2">
        <v>23</v>
      </c>
      <c r="G741" s="2" t="s">
        <v>69</v>
      </c>
      <c r="H741" s="2" t="s">
        <v>31</v>
      </c>
      <c r="I741" s="2" t="s">
        <v>69</v>
      </c>
      <c r="J741" s="2" t="s">
        <v>91</v>
      </c>
      <c r="K741" s="2">
        <v>5</v>
      </c>
      <c r="L741" s="2">
        <v>10552</v>
      </c>
      <c r="M741" s="2">
        <v>0</v>
      </c>
      <c r="N741" s="2">
        <v>0</v>
      </c>
      <c r="O741" s="2">
        <v>9496.7999999999993</v>
      </c>
      <c r="P741" s="2">
        <v>290</v>
      </c>
      <c r="Q741" s="2">
        <v>62546.8</v>
      </c>
      <c r="R741" s="2" t="s">
        <v>76</v>
      </c>
      <c r="S741" s="2" t="s">
        <v>34</v>
      </c>
      <c r="T741" s="9" t="s">
        <v>1708</v>
      </c>
      <c r="U741" s="10" t="s">
        <v>52</v>
      </c>
      <c r="V741" s="2" t="s">
        <v>77</v>
      </c>
      <c r="W741" s="2">
        <v>8</v>
      </c>
      <c r="X741" s="2" t="s">
        <v>36</v>
      </c>
      <c r="Y741" s="2">
        <v>3</v>
      </c>
      <c r="Z741" s="2" t="s">
        <v>54</v>
      </c>
    </row>
    <row r="742" spans="1:26" x14ac:dyDescent="0.35">
      <c r="A742" s="2" t="s">
        <v>1327</v>
      </c>
      <c r="B742" s="3">
        <v>45922</v>
      </c>
      <c r="C742" s="2" t="s">
        <v>1037</v>
      </c>
      <c r="D742" s="2" t="s">
        <v>96</v>
      </c>
      <c r="E742" s="2" t="s">
        <v>29</v>
      </c>
      <c r="F742" s="2">
        <v>52</v>
      </c>
      <c r="G742" s="2" t="s">
        <v>42</v>
      </c>
      <c r="H742" s="2" t="s">
        <v>31</v>
      </c>
      <c r="I742" s="2" t="s">
        <v>42</v>
      </c>
      <c r="J742" s="2" t="s">
        <v>100</v>
      </c>
      <c r="K742" s="2">
        <v>3</v>
      </c>
      <c r="L742" s="2">
        <v>31793</v>
      </c>
      <c r="M742" s="2">
        <v>10</v>
      </c>
      <c r="N742" s="2">
        <v>9537.9</v>
      </c>
      <c r="O742" s="2">
        <v>15451.4</v>
      </c>
      <c r="P742" s="2">
        <v>433</v>
      </c>
      <c r="Q742" s="2">
        <v>101725.5</v>
      </c>
      <c r="R742" s="2" t="s">
        <v>51</v>
      </c>
      <c r="S742" s="2" t="s">
        <v>34</v>
      </c>
      <c r="T742" s="9" t="s">
        <v>1710</v>
      </c>
      <c r="U742" s="10" t="s">
        <v>1711</v>
      </c>
      <c r="V742" s="2" t="s">
        <v>53</v>
      </c>
      <c r="W742" s="2">
        <v>7</v>
      </c>
      <c r="X742" s="2" t="s">
        <v>36</v>
      </c>
      <c r="Y742" s="2">
        <v>2</v>
      </c>
      <c r="Z742" s="2" t="s">
        <v>44</v>
      </c>
    </row>
    <row r="743" spans="1:26" x14ac:dyDescent="0.35">
      <c r="A743" s="2" t="s">
        <v>1328</v>
      </c>
      <c r="B743" s="3">
        <v>46031</v>
      </c>
      <c r="C743" s="2" t="s">
        <v>823</v>
      </c>
      <c r="D743" s="2" t="s">
        <v>28</v>
      </c>
      <c r="E743" s="2" t="s">
        <v>29</v>
      </c>
      <c r="F743" s="2">
        <v>24</v>
      </c>
      <c r="G743" s="2" t="s">
        <v>85</v>
      </c>
      <c r="H743" s="2" t="s">
        <v>31</v>
      </c>
      <c r="I743" s="2" t="s">
        <v>85</v>
      </c>
      <c r="J743" s="2" t="s">
        <v>50</v>
      </c>
      <c r="K743" s="2">
        <v>4</v>
      </c>
      <c r="L743" s="2">
        <v>49840</v>
      </c>
      <c r="M743" s="2">
        <v>10</v>
      </c>
      <c r="N743" s="2">
        <v>19936</v>
      </c>
      <c r="O743" s="2">
        <v>32296.32</v>
      </c>
      <c r="P743" s="2">
        <v>58</v>
      </c>
      <c r="Q743" s="2">
        <v>211778.32</v>
      </c>
      <c r="R743" s="2" t="s">
        <v>43</v>
      </c>
      <c r="S743" s="2" t="s">
        <v>59</v>
      </c>
      <c r="T743" s="9" t="s">
        <v>1710</v>
      </c>
      <c r="U743" s="10" t="s">
        <v>1711</v>
      </c>
      <c r="V743" s="2" t="s">
        <v>53</v>
      </c>
      <c r="W743" s="2">
        <v>6</v>
      </c>
      <c r="X743" s="2" t="s">
        <v>44</v>
      </c>
      <c r="Y743" s="2">
        <v>2</v>
      </c>
      <c r="Z743" s="2" t="s">
        <v>37</v>
      </c>
    </row>
    <row r="744" spans="1:26" x14ac:dyDescent="0.35">
      <c r="A744" s="2" t="s">
        <v>1329</v>
      </c>
      <c r="B744" s="3">
        <v>45840</v>
      </c>
      <c r="C744" s="2" t="s">
        <v>160</v>
      </c>
      <c r="D744" s="2" t="s">
        <v>57</v>
      </c>
      <c r="E744" s="2" t="s">
        <v>41</v>
      </c>
      <c r="F744" s="2">
        <v>53</v>
      </c>
      <c r="G744" s="2" t="s">
        <v>88</v>
      </c>
      <c r="H744" s="2" t="s">
        <v>49</v>
      </c>
      <c r="I744" s="2" t="s">
        <v>88</v>
      </c>
      <c r="J744" s="2" t="s">
        <v>70</v>
      </c>
      <c r="K744" s="2">
        <v>4</v>
      </c>
      <c r="L744" s="2">
        <v>5564</v>
      </c>
      <c r="M744" s="2">
        <v>20</v>
      </c>
      <c r="N744" s="2">
        <v>4451.2</v>
      </c>
      <c r="O744" s="2">
        <v>3204.86</v>
      </c>
      <c r="P744" s="2">
        <v>166</v>
      </c>
      <c r="Q744" s="2">
        <v>21175.66</v>
      </c>
      <c r="R744" s="2" t="s">
        <v>51</v>
      </c>
      <c r="S744" s="2" t="s">
        <v>34</v>
      </c>
      <c r="T744" s="9" t="s">
        <v>1709</v>
      </c>
      <c r="U744" s="10" t="s">
        <v>52</v>
      </c>
      <c r="V744" s="2" t="s">
        <v>53</v>
      </c>
      <c r="W744" s="2">
        <v>10</v>
      </c>
      <c r="X744" s="2" t="s">
        <v>44</v>
      </c>
      <c r="Y744" s="2">
        <v>4</v>
      </c>
      <c r="Z744" s="2" t="s">
        <v>54</v>
      </c>
    </row>
    <row r="745" spans="1:26" x14ac:dyDescent="0.35">
      <c r="A745" s="2" t="s">
        <v>1330</v>
      </c>
      <c r="B745" s="3">
        <v>46071</v>
      </c>
      <c r="C745" s="2" t="s">
        <v>179</v>
      </c>
      <c r="D745" s="2" t="s">
        <v>40</v>
      </c>
      <c r="E745" s="2" t="s">
        <v>29</v>
      </c>
      <c r="F745" s="2">
        <v>35</v>
      </c>
      <c r="G745" s="2" t="s">
        <v>85</v>
      </c>
      <c r="H745" s="2" t="s">
        <v>31</v>
      </c>
      <c r="I745" s="2" t="s">
        <v>85</v>
      </c>
      <c r="J745" s="2" t="s">
        <v>70</v>
      </c>
      <c r="K745" s="2">
        <v>2</v>
      </c>
      <c r="L745" s="2">
        <v>8094</v>
      </c>
      <c r="M745" s="2">
        <v>5</v>
      </c>
      <c r="N745" s="2">
        <v>809.4</v>
      </c>
      <c r="O745" s="2">
        <v>2768.15</v>
      </c>
      <c r="P745" s="2">
        <v>400</v>
      </c>
      <c r="Q745" s="2">
        <v>18546.75</v>
      </c>
      <c r="R745" s="2" t="s">
        <v>33</v>
      </c>
      <c r="S745" s="2" t="s">
        <v>34</v>
      </c>
      <c r="T745" s="9" t="s">
        <v>1707</v>
      </c>
      <c r="U745" s="10" t="s">
        <v>1712</v>
      </c>
      <c r="V745" s="2" t="s">
        <v>53</v>
      </c>
      <c r="W745" s="2">
        <v>9</v>
      </c>
      <c r="X745" s="2" t="s">
        <v>44</v>
      </c>
      <c r="Y745" s="2">
        <v>5</v>
      </c>
      <c r="Z745" s="2" t="s">
        <v>44</v>
      </c>
    </row>
    <row r="746" spans="1:26" x14ac:dyDescent="0.35">
      <c r="A746" s="2" t="s">
        <v>1331</v>
      </c>
      <c r="B746" s="3">
        <v>46112</v>
      </c>
      <c r="C746" s="2" t="s">
        <v>1332</v>
      </c>
      <c r="D746" s="2" t="s">
        <v>96</v>
      </c>
      <c r="E746" s="2" t="s">
        <v>41</v>
      </c>
      <c r="F746" s="2">
        <v>41</v>
      </c>
      <c r="G746" s="2" t="s">
        <v>127</v>
      </c>
      <c r="H746" s="2" t="s">
        <v>31</v>
      </c>
      <c r="I746" s="2" t="s">
        <v>127</v>
      </c>
      <c r="J746" s="2" t="s">
        <v>65</v>
      </c>
      <c r="K746" s="2">
        <v>1</v>
      </c>
      <c r="L746" s="2">
        <v>32513</v>
      </c>
      <c r="M746" s="2">
        <v>5</v>
      </c>
      <c r="N746" s="2">
        <v>1625.65</v>
      </c>
      <c r="O746" s="2">
        <v>5559.72</v>
      </c>
      <c r="P746" s="2">
        <v>141</v>
      </c>
      <c r="Q746" s="2">
        <v>36588.07</v>
      </c>
      <c r="R746" s="2" t="s">
        <v>33</v>
      </c>
      <c r="S746" s="2" t="s">
        <v>59</v>
      </c>
      <c r="T746" s="9" t="s">
        <v>1703</v>
      </c>
      <c r="U746" s="10" t="s">
        <v>1701</v>
      </c>
      <c r="V746" s="2" t="s">
        <v>35</v>
      </c>
      <c r="W746" s="2">
        <v>8</v>
      </c>
      <c r="X746" s="2" t="s">
        <v>36</v>
      </c>
      <c r="Y746" s="2">
        <v>5</v>
      </c>
      <c r="Z746" s="2" t="s">
        <v>54</v>
      </c>
    </row>
    <row r="747" spans="1:26" x14ac:dyDescent="0.35">
      <c r="A747" s="2" t="s">
        <v>1333</v>
      </c>
      <c r="B747" s="3">
        <v>46078</v>
      </c>
      <c r="C747" s="2" t="s">
        <v>1334</v>
      </c>
      <c r="D747" s="2" t="s">
        <v>40</v>
      </c>
      <c r="E747" s="2" t="s">
        <v>41</v>
      </c>
      <c r="F747" s="2">
        <v>30</v>
      </c>
      <c r="G747" s="2" t="s">
        <v>69</v>
      </c>
      <c r="H747" s="2" t="s">
        <v>31</v>
      </c>
      <c r="I747" s="2" t="s">
        <v>69</v>
      </c>
      <c r="J747" s="2" t="s">
        <v>50</v>
      </c>
      <c r="K747" s="2">
        <v>3</v>
      </c>
      <c r="L747" s="2">
        <v>21815</v>
      </c>
      <c r="M747" s="2">
        <v>0</v>
      </c>
      <c r="N747" s="2">
        <v>0</v>
      </c>
      <c r="O747" s="2">
        <v>11780.1</v>
      </c>
      <c r="P747" s="2">
        <v>171</v>
      </c>
      <c r="Q747" s="2">
        <v>77396.100000000006</v>
      </c>
      <c r="R747" s="2" t="s">
        <v>51</v>
      </c>
      <c r="S747" s="2" t="s">
        <v>34</v>
      </c>
      <c r="T747" s="9" t="s">
        <v>1709</v>
      </c>
      <c r="U747" s="10" t="s">
        <v>52</v>
      </c>
      <c r="V747" s="2" t="s">
        <v>53</v>
      </c>
      <c r="W747" s="2">
        <v>1</v>
      </c>
      <c r="X747" s="2" t="s">
        <v>36</v>
      </c>
      <c r="Y747" s="2">
        <v>4</v>
      </c>
      <c r="Z747" s="2" t="s">
        <v>37</v>
      </c>
    </row>
    <row r="748" spans="1:26" x14ac:dyDescent="0.35">
      <c r="A748" s="2" t="s">
        <v>1335</v>
      </c>
      <c r="B748" s="3">
        <v>45775</v>
      </c>
      <c r="C748" s="2" t="s">
        <v>517</v>
      </c>
      <c r="D748" s="2" t="s">
        <v>47</v>
      </c>
      <c r="E748" s="2" t="s">
        <v>29</v>
      </c>
      <c r="F748" s="2">
        <v>22</v>
      </c>
      <c r="G748" s="2" t="s">
        <v>127</v>
      </c>
      <c r="H748" s="2" t="s">
        <v>31</v>
      </c>
      <c r="I748" s="2" t="s">
        <v>127</v>
      </c>
      <c r="J748" s="2" t="s">
        <v>65</v>
      </c>
      <c r="K748" s="2">
        <v>5</v>
      </c>
      <c r="L748" s="2">
        <v>35936</v>
      </c>
      <c r="M748" s="2">
        <v>0</v>
      </c>
      <c r="N748" s="2">
        <v>0</v>
      </c>
      <c r="O748" s="2">
        <v>32342.400000000001</v>
      </c>
      <c r="P748" s="2">
        <v>301</v>
      </c>
      <c r="Q748" s="2">
        <v>212323.4</v>
      </c>
      <c r="R748" s="2" t="s">
        <v>33</v>
      </c>
      <c r="S748" s="2" t="s">
        <v>34</v>
      </c>
      <c r="T748" s="9" t="s">
        <v>1704</v>
      </c>
      <c r="U748" s="10" t="s">
        <v>52</v>
      </c>
      <c r="V748" s="2" t="s">
        <v>35</v>
      </c>
      <c r="W748" s="2">
        <v>2</v>
      </c>
      <c r="X748" s="2" t="s">
        <v>44</v>
      </c>
      <c r="Y748" s="2">
        <v>3</v>
      </c>
      <c r="Z748" s="2" t="s">
        <v>44</v>
      </c>
    </row>
    <row r="749" spans="1:26" x14ac:dyDescent="0.35">
      <c r="A749" s="2" t="s">
        <v>1336</v>
      </c>
      <c r="B749" s="3">
        <v>46029</v>
      </c>
      <c r="C749" s="2" t="s">
        <v>895</v>
      </c>
      <c r="D749" s="2" t="s">
        <v>62</v>
      </c>
      <c r="E749" s="2" t="s">
        <v>29</v>
      </c>
      <c r="F749" s="2">
        <v>24</v>
      </c>
      <c r="G749" s="2" t="s">
        <v>88</v>
      </c>
      <c r="H749" s="2" t="s">
        <v>49</v>
      </c>
      <c r="I749" s="2" t="s">
        <v>88</v>
      </c>
      <c r="J749" s="2" t="s">
        <v>100</v>
      </c>
      <c r="K749" s="2">
        <v>2</v>
      </c>
      <c r="L749" s="2">
        <v>44948</v>
      </c>
      <c r="M749" s="2">
        <v>20</v>
      </c>
      <c r="N749" s="2">
        <v>17979.2</v>
      </c>
      <c r="O749" s="2">
        <v>12945.02</v>
      </c>
      <c r="P749" s="2">
        <v>53</v>
      </c>
      <c r="Q749" s="2">
        <v>84914.82</v>
      </c>
      <c r="R749" s="2" t="s">
        <v>33</v>
      </c>
      <c r="S749" s="2" t="s">
        <v>59</v>
      </c>
      <c r="T749" s="9" t="s">
        <v>1707</v>
      </c>
      <c r="U749" s="10" t="s">
        <v>1712</v>
      </c>
      <c r="V749" s="2" t="s">
        <v>53</v>
      </c>
      <c r="W749" s="2">
        <v>5</v>
      </c>
      <c r="X749" s="2" t="s">
        <v>36</v>
      </c>
      <c r="Y749" s="2">
        <v>1</v>
      </c>
      <c r="Z749" s="2" t="s">
        <v>44</v>
      </c>
    </row>
    <row r="750" spans="1:26" x14ac:dyDescent="0.35">
      <c r="A750" s="2" t="s">
        <v>1337</v>
      </c>
      <c r="B750" s="3">
        <v>45928</v>
      </c>
      <c r="C750" s="2" t="s">
        <v>319</v>
      </c>
      <c r="D750" s="2" t="s">
        <v>40</v>
      </c>
      <c r="E750" s="2" t="s">
        <v>29</v>
      </c>
      <c r="F750" s="2">
        <v>38</v>
      </c>
      <c r="G750" s="2" t="s">
        <v>85</v>
      </c>
      <c r="H750" s="2" t="s">
        <v>31</v>
      </c>
      <c r="I750" s="2" t="s">
        <v>85</v>
      </c>
      <c r="J750" s="2" t="s">
        <v>70</v>
      </c>
      <c r="K750" s="2">
        <v>1</v>
      </c>
      <c r="L750" s="2">
        <v>34893</v>
      </c>
      <c r="M750" s="2">
        <v>20</v>
      </c>
      <c r="N750" s="2">
        <v>6978.6</v>
      </c>
      <c r="O750" s="2">
        <v>5024.59</v>
      </c>
      <c r="P750" s="2">
        <v>137</v>
      </c>
      <c r="Q750" s="2">
        <v>33075.99</v>
      </c>
      <c r="R750" s="2" t="s">
        <v>51</v>
      </c>
      <c r="S750" s="2" t="s">
        <v>34</v>
      </c>
      <c r="T750" s="9" t="s">
        <v>1703</v>
      </c>
      <c r="U750" s="10" t="s">
        <v>1701</v>
      </c>
      <c r="V750" s="2" t="s">
        <v>35</v>
      </c>
      <c r="W750" s="2">
        <v>2</v>
      </c>
      <c r="X750" s="2" t="s">
        <v>36</v>
      </c>
      <c r="Y750" s="2">
        <v>2</v>
      </c>
      <c r="Z750" s="2" t="s">
        <v>44</v>
      </c>
    </row>
    <row r="751" spans="1:26" x14ac:dyDescent="0.35">
      <c r="A751" s="2" t="s">
        <v>1338</v>
      </c>
      <c r="B751" s="3">
        <v>46104</v>
      </c>
      <c r="C751" s="2" t="s">
        <v>342</v>
      </c>
      <c r="D751" s="2" t="s">
        <v>96</v>
      </c>
      <c r="E751" s="2" t="s">
        <v>41</v>
      </c>
      <c r="F751" s="2">
        <v>54</v>
      </c>
      <c r="G751" s="2" t="s">
        <v>88</v>
      </c>
      <c r="H751" s="2" t="s">
        <v>49</v>
      </c>
      <c r="I751" s="2" t="s">
        <v>88</v>
      </c>
      <c r="J751" s="2" t="s">
        <v>138</v>
      </c>
      <c r="K751" s="2">
        <v>5</v>
      </c>
      <c r="L751" s="2">
        <v>37161</v>
      </c>
      <c r="M751" s="2">
        <v>15</v>
      </c>
      <c r="N751" s="2">
        <v>27870.75</v>
      </c>
      <c r="O751" s="2">
        <v>28428.16</v>
      </c>
      <c r="P751" s="2">
        <v>83</v>
      </c>
      <c r="Q751" s="2">
        <v>186445.42</v>
      </c>
      <c r="R751" s="2" t="s">
        <v>51</v>
      </c>
      <c r="S751" s="2" t="s">
        <v>34</v>
      </c>
      <c r="T751" s="9" t="s">
        <v>1710</v>
      </c>
      <c r="U751" s="10" t="s">
        <v>1711</v>
      </c>
      <c r="V751" s="2" t="s">
        <v>53</v>
      </c>
      <c r="W751" s="2">
        <v>8</v>
      </c>
      <c r="X751" s="2" t="s">
        <v>36</v>
      </c>
      <c r="Y751" s="2">
        <v>5</v>
      </c>
      <c r="Z751" s="2" t="s">
        <v>54</v>
      </c>
    </row>
    <row r="752" spans="1:26" x14ac:dyDescent="0.35">
      <c r="A752" s="2" t="s">
        <v>1339</v>
      </c>
      <c r="B752" s="3">
        <v>46117</v>
      </c>
      <c r="C752" s="2" t="s">
        <v>1340</v>
      </c>
      <c r="D752" s="2" t="s">
        <v>57</v>
      </c>
      <c r="E752" s="2" t="s">
        <v>29</v>
      </c>
      <c r="F752" s="2">
        <v>43</v>
      </c>
      <c r="G752" s="2" t="s">
        <v>48</v>
      </c>
      <c r="H752" s="2" t="s">
        <v>49</v>
      </c>
      <c r="I752" s="2" t="s">
        <v>48</v>
      </c>
      <c r="J752" s="2" t="s">
        <v>65</v>
      </c>
      <c r="K752" s="2">
        <v>3</v>
      </c>
      <c r="L752" s="2">
        <v>30146</v>
      </c>
      <c r="M752" s="2">
        <v>10</v>
      </c>
      <c r="N752" s="2">
        <v>9043.7999999999993</v>
      </c>
      <c r="O752" s="2">
        <v>14650.96</v>
      </c>
      <c r="P752" s="2">
        <v>175</v>
      </c>
      <c r="Q752" s="2">
        <v>96220.160000000003</v>
      </c>
      <c r="R752" s="2" t="s">
        <v>76</v>
      </c>
      <c r="S752" s="2" t="s">
        <v>59</v>
      </c>
      <c r="T752" s="9" t="s">
        <v>1705</v>
      </c>
      <c r="U752" s="10" t="s">
        <v>1702</v>
      </c>
      <c r="V752" s="2" t="s">
        <v>53</v>
      </c>
      <c r="W752" s="2">
        <v>1</v>
      </c>
      <c r="X752" s="2" t="s">
        <v>36</v>
      </c>
      <c r="Y752" s="2">
        <v>4</v>
      </c>
      <c r="Z752" s="2" t="s">
        <v>54</v>
      </c>
    </row>
    <row r="753" spans="1:26" x14ac:dyDescent="0.35">
      <c r="A753" s="2" t="s">
        <v>1341</v>
      </c>
      <c r="B753" s="3">
        <v>45759</v>
      </c>
      <c r="C753" s="2" t="s">
        <v>994</v>
      </c>
      <c r="D753" s="2" t="s">
        <v>62</v>
      </c>
      <c r="E753" s="2" t="s">
        <v>29</v>
      </c>
      <c r="F753" s="2">
        <v>55</v>
      </c>
      <c r="G753" s="2" t="s">
        <v>30</v>
      </c>
      <c r="H753" s="2" t="s">
        <v>31</v>
      </c>
      <c r="I753" s="2" t="s">
        <v>30</v>
      </c>
      <c r="J753" s="2" t="s">
        <v>113</v>
      </c>
      <c r="K753" s="2">
        <v>5</v>
      </c>
      <c r="L753" s="2">
        <v>22055</v>
      </c>
      <c r="M753" s="2">
        <v>0</v>
      </c>
      <c r="N753" s="2">
        <v>0</v>
      </c>
      <c r="O753" s="2">
        <v>19849.5</v>
      </c>
      <c r="P753" s="2">
        <v>490</v>
      </c>
      <c r="Q753" s="2">
        <v>130614.5</v>
      </c>
      <c r="R753" s="2" t="s">
        <v>51</v>
      </c>
      <c r="S753" s="2" t="s">
        <v>34</v>
      </c>
      <c r="T753" s="9" t="s">
        <v>1703</v>
      </c>
      <c r="U753" s="10" t="s">
        <v>1701</v>
      </c>
      <c r="V753" s="2" t="s">
        <v>35</v>
      </c>
      <c r="W753" s="2">
        <v>1</v>
      </c>
      <c r="X753" s="2" t="s">
        <v>36</v>
      </c>
      <c r="Y753" s="2">
        <v>3</v>
      </c>
      <c r="Z753" s="2" t="s">
        <v>82</v>
      </c>
    </row>
    <row r="754" spans="1:26" x14ac:dyDescent="0.35">
      <c r="A754" s="2" t="s">
        <v>1342</v>
      </c>
      <c r="B754" s="3">
        <v>46009</v>
      </c>
      <c r="C754" s="2" t="s">
        <v>756</v>
      </c>
      <c r="D754" s="2" t="s">
        <v>28</v>
      </c>
      <c r="E754" s="2" t="s">
        <v>41</v>
      </c>
      <c r="F754" s="2">
        <v>31</v>
      </c>
      <c r="G754" s="2" t="s">
        <v>88</v>
      </c>
      <c r="H754" s="2" t="s">
        <v>49</v>
      </c>
      <c r="I754" s="2" t="s">
        <v>88</v>
      </c>
      <c r="J754" s="2" t="s">
        <v>70</v>
      </c>
      <c r="K754" s="2">
        <v>1</v>
      </c>
      <c r="L754" s="2">
        <v>43437</v>
      </c>
      <c r="M754" s="2">
        <v>5</v>
      </c>
      <c r="N754" s="2">
        <v>2171.85</v>
      </c>
      <c r="O754" s="2">
        <v>7427.73</v>
      </c>
      <c r="P754" s="2">
        <v>286</v>
      </c>
      <c r="Q754" s="2">
        <v>48978.879999999997</v>
      </c>
      <c r="R754" s="2" t="s">
        <v>51</v>
      </c>
      <c r="S754" s="2" t="s">
        <v>34</v>
      </c>
      <c r="T754" s="9" t="s">
        <v>1705</v>
      </c>
      <c r="U754" s="10" t="s">
        <v>1702</v>
      </c>
      <c r="V754" s="2" t="s">
        <v>53</v>
      </c>
      <c r="W754" s="2">
        <v>9</v>
      </c>
      <c r="X754" s="2" t="s">
        <v>36</v>
      </c>
      <c r="Y754" s="2">
        <v>3</v>
      </c>
      <c r="Z754" s="2" t="s">
        <v>54</v>
      </c>
    </row>
    <row r="755" spans="1:26" x14ac:dyDescent="0.35">
      <c r="A755" s="2" t="s">
        <v>1343</v>
      </c>
      <c r="B755" s="3">
        <v>45903</v>
      </c>
      <c r="C755" s="2" t="s">
        <v>268</v>
      </c>
      <c r="D755" s="2" t="s">
        <v>73</v>
      </c>
      <c r="E755" s="2" t="s">
        <v>29</v>
      </c>
      <c r="F755" s="2">
        <v>18</v>
      </c>
      <c r="G755" s="2" t="s">
        <v>48</v>
      </c>
      <c r="H755" s="2" t="s">
        <v>49</v>
      </c>
      <c r="I755" s="2" t="s">
        <v>48</v>
      </c>
      <c r="J755" s="2" t="s">
        <v>190</v>
      </c>
      <c r="K755" s="2">
        <v>1</v>
      </c>
      <c r="L755" s="2">
        <v>16469</v>
      </c>
      <c r="M755" s="2">
        <v>20</v>
      </c>
      <c r="N755" s="2">
        <v>3293.8</v>
      </c>
      <c r="O755" s="2">
        <v>2371.54</v>
      </c>
      <c r="P755" s="2">
        <v>266</v>
      </c>
      <c r="Q755" s="2">
        <v>15812.74</v>
      </c>
      <c r="R755" s="2" t="s">
        <v>51</v>
      </c>
      <c r="S755" s="2" t="s">
        <v>34</v>
      </c>
      <c r="T755" s="9" t="s">
        <v>1710</v>
      </c>
      <c r="U755" s="10" t="s">
        <v>1711</v>
      </c>
      <c r="V755" s="2" t="s">
        <v>53</v>
      </c>
      <c r="W755" s="2">
        <v>7</v>
      </c>
      <c r="X755" s="2" t="s">
        <v>36</v>
      </c>
      <c r="Y755" s="2">
        <v>4</v>
      </c>
      <c r="Z755" s="2" t="s">
        <v>44</v>
      </c>
    </row>
    <row r="756" spans="1:26" x14ac:dyDescent="0.35">
      <c r="A756" s="2" t="s">
        <v>1344</v>
      </c>
      <c r="B756" s="3">
        <v>46070</v>
      </c>
      <c r="C756" s="2" t="s">
        <v>1345</v>
      </c>
      <c r="D756" s="2" t="s">
        <v>99</v>
      </c>
      <c r="E756" s="2" t="s">
        <v>29</v>
      </c>
      <c r="F756" s="2">
        <v>48</v>
      </c>
      <c r="G756" s="2" t="s">
        <v>48</v>
      </c>
      <c r="H756" s="2" t="s">
        <v>49</v>
      </c>
      <c r="I756" s="2" t="s">
        <v>48</v>
      </c>
      <c r="J756" s="2" t="s">
        <v>138</v>
      </c>
      <c r="K756" s="2">
        <v>1</v>
      </c>
      <c r="L756" s="2">
        <v>44498</v>
      </c>
      <c r="M756" s="2">
        <v>10</v>
      </c>
      <c r="N756" s="2">
        <v>4449.8</v>
      </c>
      <c r="O756" s="2">
        <v>7208.68</v>
      </c>
      <c r="P756" s="2">
        <v>101</v>
      </c>
      <c r="Q756" s="2">
        <v>47357.88</v>
      </c>
      <c r="R756" s="2" t="s">
        <v>43</v>
      </c>
      <c r="S756" s="2" t="s">
        <v>34</v>
      </c>
      <c r="T756" s="9" t="s">
        <v>1707</v>
      </c>
      <c r="U756" s="10" t="s">
        <v>1712</v>
      </c>
      <c r="V756" s="2" t="s">
        <v>53</v>
      </c>
      <c r="W756" s="2">
        <v>7</v>
      </c>
      <c r="X756" s="2" t="s">
        <v>36</v>
      </c>
      <c r="Y756" s="2">
        <v>2</v>
      </c>
      <c r="Z756" s="2" t="s">
        <v>44</v>
      </c>
    </row>
    <row r="757" spans="1:26" x14ac:dyDescent="0.35">
      <c r="A757" s="2" t="s">
        <v>1346</v>
      </c>
      <c r="B757" s="3">
        <v>45968</v>
      </c>
      <c r="C757" s="2" t="s">
        <v>1176</v>
      </c>
      <c r="D757" s="2" t="s">
        <v>28</v>
      </c>
      <c r="E757" s="2" t="s">
        <v>29</v>
      </c>
      <c r="F757" s="2">
        <v>33</v>
      </c>
      <c r="G757" s="2" t="s">
        <v>122</v>
      </c>
      <c r="H757" s="2" t="s">
        <v>31</v>
      </c>
      <c r="I757" s="2" t="s">
        <v>122</v>
      </c>
      <c r="J757" s="2" t="s">
        <v>91</v>
      </c>
      <c r="K757" s="2">
        <v>5</v>
      </c>
      <c r="L757" s="2">
        <v>31205</v>
      </c>
      <c r="M757" s="2">
        <v>10</v>
      </c>
      <c r="N757" s="2">
        <v>15602.5</v>
      </c>
      <c r="O757" s="2">
        <v>25276.05</v>
      </c>
      <c r="P757" s="2">
        <v>301</v>
      </c>
      <c r="Q757" s="2">
        <v>165999.54999999999</v>
      </c>
      <c r="R757" s="2" t="s">
        <v>51</v>
      </c>
      <c r="S757" s="2" t="s">
        <v>59</v>
      </c>
      <c r="T757" s="9" t="s">
        <v>1705</v>
      </c>
      <c r="U757" s="10" t="s">
        <v>1702</v>
      </c>
      <c r="V757" s="2" t="s">
        <v>53</v>
      </c>
      <c r="W757" s="2">
        <v>5</v>
      </c>
      <c r="X757" s="2" t="s">
        <v>36</v>
      </c>
      <c r="Y757" s="2">
        <v>3</v>
      </c>
      <c r="Z757" s="2" t="s">
        <v>37</v>
      </c>
    </row>
    <row r="758" spans="1:26" x14ac:dyDescent="0.35">
      <c r="A758" s="2" t="s">
        <v>1347</v>
      </c>
      <c r="B758" s="3">
        <v>45892</v>
      </c>
      <c r="C758" s="2" t="s">
        <v>276</v>
      </c>
      <c r="D758" s="2" t="s">
        <v>57</v>
      </c>
      <c r="E758" s="2" t="s">
        <v>41</v>
      </c>
      <c r="F758" s="2">
        <v>41</v>
      </c>
      <c r="G758" s="2" t="s">
        <v>48</v>
      </c>
      <c r="H758" s="2" t="s">
        <v>49</v>
      </c>
      <c r="I758" s="2" t="s">
        <v>48</v>
      </c>
      <c r="J758" s="2" t="s">
        <v>100</v>
      </c>
      <c r="K758" s="2">
        <v>2</v>
      </c>
      <c r="L758" s="2">
        <v>48901</v>
      </c>
      <c r="M758" s="2">
        <v>0</v>
      </c>
      <c r="N758" s="2">
        <v>0</v>
      </c>
      <c r="O758" s="2">
        <v>17604.36</v>
      </c>
      <c r="P758" s="2">
        <v>80</v>
      </c>
      <c r="Q758" s="2">
        <v>115486.36</v>
      </c>
      <c r="R758" s="2" t="s">
        <v>76</v>
      </c>
      <c r="S758" s="2" t="s">
        <v>59</v>
      </c>
      <c r="T758" s="9" t="s">
        <v>1705</v>
      </c>
      <c r="U758" s="10" t="s">
        <v>1702</v>
      </c>
      <c r="V758" s="2" t="s">
        <v>53</v>
      </c>
      <c r="W758" s="2">
        <v>8</v>
      </c>
      <c r="X758" s="2" t="s">
        <v>44</v>
      </c>
      <c r="Y758" s="2">
        <v>4</v>
      </c>
      <c r="Z758" s="2" t="s">
        <v>54</v>
      </c>
    </row>
    <row r="759" spans="1:26" x14ac:dyDescent="0.35">
      <c r="A759" s="2" t="s">
        <v>1348</v>
      </c>
      <c r="B759" s="3">
        <v>46079</v>
      </c>
      <c r="C759" s="2" t="s">
        <v>945</v>
      </c>
      <c r="D759" s="2" t="s">
        <v>28</v>
      </c>
      <c r="E759" s="2" t="s">
        <v>29</v>
      </c>
      <c r="F759" s="2">
        <v>27</v>
      </c>
      <c r="G759" s="2" t="s">
        <v>42</v>
      </c>
      <c r="H759" s="2" t="s">
        <v>31</v>
      </c>
      <c r="I759" s="2" t="s">
        <v>42</v>
      </c>
      <c r="J759" s="2" t="s">
        <v>113</v>
      </c>
      <c r="K759" s="2">
        <v>3</v>
      </c>
      <c r="L759" s="2">
        <v>2214</v>
      </c>
      <c r="M759" s="2">
        <v>20</v>
      </c>
      <c r="N759" s="2">
        <v>1328.4</v>
      </c>
      <c r="O759" s="2">
        <v>956.45</v>
      </c>
      <c r="P759" s="2">
        <v>182</v>
      </c>
      <c r="Q759" s="2">
        <v>6452.05</v>
      </c>
      <c r="R759" s="2" t="s">
        <v>76</v>
      </c>
      <c r="S759" s="2" t="s">
        <v>34</v>
      </c>
      <c r="T759" s="9" t="s">
        <v>1703</v>
      </c>
      <c r="U759" s="10" t="s">
        <v>1701</v>
      </c>
      <c r="V759" s="2" t="s">
        <v>35</v>
      </c>
      <c r="W759" s="2">
        <v>4</v>
      </c>
      <c r="X759" s="2" t="s">
        <v>44</v>
      </c>
      <c r="Y759" s="2">
        <v>2</v>
      </c>
      <c r="Z759" s="2" t="s">
        <v>82</v>
      </c>
    </row>
    <row r="760" spans="1:26" x14ac:dyDescent="0.35">
      <c r="A760" s="2" t="s">
        <v>1349</v>
      </c>
      <c r="B760" s="3">
        <v>45967</v>
      </c>
      <c r="C760" s="2" t="s">
        <v>1350</v>
      </c>
      <c r="D760" s="2" t="s">
        <v>80</v>
      </c>
      <c r="E760" s="2" t="s">
        <v>41</v>
      </c>
      <c r="F760" s="2">
        <v>59</v>
      </c>
      <c r="G760" s="2" t="s">
        <v>30</v>
      </c>
      <c r="H760" s="2" t="s">
        <v>31</v>
      </c>
      <c r="I760" s="2" t="s">
        <v>30</v>
      </c>
      <c r="J760" s="2" t="s">
        <v>50</v>
      </c>
      <c r="K760" s="2">
        <v>5</v>
      </c>
      <c r="L760" s="2">
        <v>37151</v>
      </c>
      <c r="M760" s="2">
        <v>5</v>
      </c>
      <c r="N760" s="2">
        <v>9287.75</v>
      </c>
      <c r="O760" s="2">
        <v>31764.1</v>
      </c>
      <c r="P760" s="2">
        <v>164</v>
      </c>
      <c r="Q760" s="2">
        <v>208395.36</v>
      </c>
      <c r="R760" s="2" t="s">
        <v>33</v>
      </c>
      <c r="S760" s="2" t="s">
        <v>34</v>
      </c>
      <c r="T760" s="9" t="s">
        <v>1707</v>
      </c>
      <c r="U760" s="10" t="s">
        <v>1712</v>
      </c>
      <c r="V760" s="2" t="s">
        <v>53</v>
      </c>
      <c r="W760" s="2">
        <v>4</v>
      </c>
      <c r="X760" s="2" t="s">
        <v>44</v>
      </c>
      <c r="Y760" s="2">
        <v>2</v>
      </c>
      <c r="Z760" s="2" t="s">
        <v>82</v>
      </c>
    </row>
    <row r="761" spans="1:26" x14ac:dyDescent="0.35">
      <c r="A761" s="2" t="s">
        <v>1351</v>
      </c>
      <c r="B761" s="3">
        <v>45893</v>
      </c>
      <c r="C761" s="2" t="s">
        <v>966</v>
      </c>
      <c r="D761" s="2" t="s">
        <v>62</v>
      </c>
      <c r="E761" s="2" t="s">
        <v>41</v>
      </c>
      <c r="F761" s="2">
        <v>37</v>
      </c>
      <c r="G761" s="2" t="s">
        <v>69</v>
      </c>
      <c r="H761" s="2" t="s">
        <v>31</v>
      </c>
      <c r="I761" s="2" t="s">
        <v>69</v>
      </c>
      <c r="J761" s="2" t="s">
        <v>70</v>
      </c>
      <c r="K761" s="2">
        <v>3</v>
      </c>
      <c r="L761" s="2">
        <v>37260</v>
      </c>
      <c r="M761" s="2">
        <v>0</v>
      </c>
      <c r="N761" s="2">
        <v>0</v>
      </c>
      <c r="O761" s="2">
        <v>20120.400000000001</v>
      </c>
      <c r="P761" s="2">
        <v>17</v>
      </c>
      <c r="Q761" s="2">
        <v>131917.4</v>
      </c>
      <c r="R761" s="2" t="s">
        <v>43</v>
      </c>
      <c r="S761" s="2" t="s">
        <v>34</v>
      </c>
      <c r="T761" s="9" t="s">
        <v>1709</v>
      </c>
      <c r="U761" s="10" t="s">
        <v>52</v>
      </c>
      <c r="V761" s="2" t="s">
        <v>53</v>
      </c>
      <c r="W761" s="2">
        <v>2</v>
      </c>
      <c r="X761" s="2" t="s">
        <v>36</v>
      </c>
      <c r="Y761" s="2">
        <v>3</v>
      </c>
      <c r="Z761" s="2" t="s">
        <v>54</v>
      </c>
    </row>
    <row r="762" spans="1:26" x14ac:dyDescent="0.35">
      <c r="A762" s="2" t="s">
        <v>1352</v>
      </c>
      <c r="B762" s="3">
        <v>45847</v>
      </c>
      <c r="C762" s="2" t="s">
        <v>333</v>
      </c>
      <c r="D762" s="2" t="s">
        <v>80</v>
      </c>
      <c r="E762" s="2" t="s">
        <v>29</v>
      </c>
      <c r="F762" s="2">
        <v>19</v>
      </c>
      <c r="G762" s="2" t="s">
        <v>127</v>
      </c>
      <c r="H762" s="2" t="s">
        <v>31</v>
      </c>
      <c r="I762" s="2" t="s">
        <v>127</v>
      </c>
      <c r="J762" s="2" t="s">
        <v>91</v>
      </c>
      <c r="K762" s="2">
        <v>1</v>
      </c>
      <c r="L762" s="2">
        <v>47891</v>
      </c>
      <c r="M762" s="2">
        <v>0</v>
      </c>
      <c r="N762" s="2">
        <v>0</v>
      </c>
      <c r="O762" s="2">
        <v>8620.3799999999992</v>
      </c>
      <c r="P762" s="2">
        <v>382</v>
      </c>
      <c r="Q762" s="2">
        <v>56893.38</v>
      </c>
      <c r="R762" s="2" t="s">
        <v>43</v>
      </c>
      <c r="S762" s="2" t="s">
        <v>59</v>
      </c>
      <c r="T762" s="9" t="s">
        <v>1703</v>
      </c>
      <c r="U762" s="10" t="s">
        <v>1701</v>
      </c>
      <c r="V762" s="2" t="s">
        <v>35</v>
      </c>
      <c r="W762" s="2">
        <v>3</v>
      </c>
      <c r="X762" s="2" t="s">
        <v>36</v>
      </c>
      <c r="Y762" s="2">
        <v>2</v>
      </c>
      <c r="Z762" s="2" t="s">
        <v>82</v>
      </c>
    </row>
    <row r="763" spans="1:26" x14ac:dyDescent="0.35">
      <c r="A763" s="2" t="s">
        <v>1353</v>
      </c>
      <c r="B763" s="3">
        <v>46070</v>
      </c>
      <c r="C763" s="2" t="s">
        <v>393</v>
      </c>
      <c r="D763" s="2" t="s">
        <v>73</v>
      </c>
      <c r="E763" s="2" t="s">
        <v>29</v>
      </c>
      <c r="F763" s="2">
        <v>55</v>
      </c>
      <c r="G763" s="2" t="s">
        <v>69</v>
      </c>
      <c r="H763" s="2" t="s">
        <v>31</v>
      </c>
      <c r="I763" s="2" t="s">
        <v>69</v>
      </c>
      <c r="J763" s="2" t="s">
        <v>50</v>
      </c>
      <c r="K763" s="2">
        <v>5</v>
      </c>
      <c r="L763" s="2">
        <v>16719</v>
      </c>
      <c r="M763" s="2">
        <v>5</v>
      </c>
      <c r="N763" s="2">
        <v>4179.75</v>
      </c>
      <c r="O763" s="2">
        <v>14294.74</v>
      </c>
      <c r="P763" s="2">
        <v>308</v>
      </c>
      <c r="Q763" s="2">
        <v>94017.99</v>
      </c>
      <c r="R763" s="2" t="s">
        <v>43</v>
      </c>
      <c r="S763" s="2" t="s">
        <v>34</v>
      </c>
      <c r="T763" s="9" t="s">
        <v>1706</v>
      </c>
      <c r="U763" s="10" t="s">
        <v>52</v>
      </c>
      <c r="V763" s="2" t="s">
        <v>53</v>
      </c>
      <c r="W763" s="2">
        <v>10</v>
      </c>
      <c r="X763" s="2" t="s">
        <v>36</v>
      </c>
      <c r="Y763" s="2">
        <v>2</v>
      </c>
      <c r="Z763" s="2" t="s">
        <v>44</v>
      </c>
    </row>
    <row r="764" spans="1:26" x14ac:dyDescent="0.35">
      <c r="A764" s="2" t="s">
        <v>1354</v>
      </c>
      <c r="B764" s="3">
        <v>45771</v>
      </c>
      <c r="C764" s="2" t="s">
        <v>1355</v>
      </c>
      <c r="D764" s="2" t="s">
        <v>80</v>
      </c>
      <c r="E764" s="2" t="s">
        <v>41</v>
      </c>
      <c r="F764" s="2">
        <v>29</v>
      </c>
      <c r="G764" s="2" t="s">
        <v>48</v>
      </c>
      <c r="H764" s="2" t="s">
        <v>49</v>
      </c>
      <c r="I764" s="2" t="s">
        <v>48</v>
      </c>
      <c r="J764" s="2" t="s">
        <v>91</v>
      </c>
      <c r="K764" s="2">
        <v>2</v>
      </c>
      <c r="L764" s="2">
        <v>35205</v>
      </c>
      <c r="M764" s="2">
        <v>0</v>
      </c>
      <c r="N764" s="2">
        <v>0</v>
      </c>
      <c r="O764" s="2">
        <v>12673.8</v>
      </c>
      <c r="P764" s="2">
        <v>27</v>
      </c>
      <c r="Q764" s="2">
        <v>83110.8</v>
      </c>
      <c r="R764" s="2" t="s">
        <v>51</v>
      </c>
      <c r="S764" s="2" t="s">
        <v>34</v>
      </c>
      <c r="T764" s="9" t="s">
        <v>1703</v>
      </c>
      <c r="U764" s="10" t="s">
        <v>1701</v>
      </c>
      <c r="V764" s="2" t="s">
        <v>35</v>
      </c>
      <c r="W764" s="2">
        <v>7</v>
      </c>
      <c r="X764" s="2" t="s">
        <v>36</v>
      </c>
      <c r="Y764" s="2">
        <v>1</v>
      </c>
      <c r="Z764" s="2" t="s">
        <v>44</v>
      </c>
    </row>
    <row r="765" spans="1:26" x14ac:dyDescent="0.35">
      <c r="A765" s="2" t="s">
        <v>1356</v>
      </c>
      <c r="B765" s="3">
        <v>45782</v>
      </c>
      <c r="C765" s="2" t="s">
        <v>299</v>
      </c>
      <c r="D765" s="2" t="s">
        <v>40</v>
      </c>
      <c r="E765" s="2" t="s">
        <v>29</v>
      </c>
      <c r="F765" s="2">
        <v>56</v>
      </c>
      <c r="G765" s="2" t="s">
        <v>42</v>
      </c>
      <c r="H765" s="2" t="s">
        <v>31</v>
      </c>
      <c r="I765" s="2" t="s">
        <v>42</v>
      </c>
      <c r="J765" s="2" t="s">
        <v>138</v>
      </c>
      <c r="K765" s="2">
        <v>5</v>
      </c>
      <c r="L765" s="2">
        <v>1924</v>
      </c>
      <c r="M765" s="2">
        <v>10</v>
      </c>
      <c r="N765" s="2">
        <v>962</v>
      </c>
      <c r="O765" s="2">
        <v>1558.44</v>
      </c>
      <c r="P765" s="2">
        <v>474</v>
      </c>
      <c r="Q765" s="2">
        <v>10690.44</v>
      </c>
      <c r="R765" s="2" t="s">
        <v>76</v>
      </c>
      <c r="S765" s="2" t="s">
        <v>59</v>
      </c>
      <c r="T765" s="9" t="s">
        <v>1706</v>
      </c>
      <c r="U765" s="10" t="s">
        <v>52</v>
      </c>
      <c r="V765" s="2" t="s">
        <v>53</v>
      </c>
      <c r="W765" s="2">
        <v>1</v>
      </c>
      <c r="X765" s="2" t="s">
        <v>44</v>
      </c>
      <c r="Y765" s="2">
        <v>3</v>
      </c>
      <c r="Z765" s="2" t="s">
        <v>44</v>
      </c>
    </row>
    <row r="766" spans="1:26" x14ac:dyDescent="0.35">
      <c r="A766" s="2" t="s">
        <v>1357</v>
      </c>
      <c r="B766" s="3">
        <v>45949</v>
      </c>
      <c r="C766" s="2" t="s">
        <v>1358</v>
      </c>
      <c r="D766" s="2" t="s">
        <v>47</v>
      </c>
      <c r="E766" s="2" t="s">
        <v>29</v>
      </c>
      <c r="F766" s="2">
        <v>40</v>
      </c>
      <c r="G766" s="2" t="s">
        <v>81</v>
      </c>
      <c r="H766" s="2" t="s">
        <v>31</v>
      </c>
      <c r="I766" s="2" t="s">
        <v>81</v>
      </c>
      <c r="J766" s="2" t="s">
        <v>91</v>
      </c>
      <c r="K766" s="2">
        <v>5</v>
      </c>
      <c r="L766" s="2">
        <v>1111</v>
      </c>
      <c r="M766" s="2">
        <v>10</v>
      </c>
      <c r="N766" s="2">
        <v>555.5</v>
      </c>
      <c r="O766" s="2">
        <v>899.91</v>
      </c>
      <c r="P766" s="2">
        <v>32</v>
      </c>
      <c r="Q766" s="2">
        <v>5931.41</v>
      </c>
      <c r="R766" s="2" t="s">
        <v>51</v>
      </c>
      <c r="S766" s="2" t="s">
        <v>34</v>
      </c>
      <c r="T766" s="9" t="s">
        <v>1705</v>
      </c>
      <c r="U766" s="10" t="s">
        <v>1702</v>
      </c>
      <c r="V766" s="2" t="s">
        <v>53</v>
      </c>
      <c r="W766" s="2">
        <v>2</v>
      </c>
      <c r="X766" s="2" t="s">
        <v>36</v>
      </c>
      <c r="Y766" s="2">
        <v>4</v>
      </c>
      <c r="Z766" s="2" t="s">
        <v>44</v>
      </c>
    </row>
    <row r="767" spans="1:26" x14ac:dyDescent="0.35">
      <c r="A767" s="2" t="s">
        <v>1359</v>
      </c>
      <c r="B767" s="3">
        <v>46082</v>
      </c>
      <c r="C767" s="2" t="s">
        <v>198</v>
      </c>
      <c r="D767" s="2" t="s">
        <v>68</v>
      </c>
      <c r="E767" s="2" t="s">
        <v>29</v>
      </c>
      <c r="F767" s="2">
        <v>55</v>
      </c>
      <c r="G767" s="2" t="s">
        <v>122</v>
      </c>
      <c r="H767" s="2" t="s">
        <v>31</v>
      </c>
      <c r="I767" s="2" t="s">
        <v>122</v>
      </c>
      <c r="J767" s="2" t="s">
        <v>32</v>
      </c>
      <c r="K767" s="2">
        <v>3</v>
      </c>
      <c r="L767" s="2">
        <v>4451</v>
      </c>
      <c r="M767" s="2">
        <v>10</v>
      </c>
      <c r="N767" s="2">
        <v>1335.3</v>
      </c>
      <c r="O767" s="2">
        <v>2163.19</v>
      </c>
      <c r="P767" s="2">
        <v>484</v>
      </c>
      <c r="Q767" s="2">
        <v>14664.89</v>
      </c>
      <c r="R767" s="2" t="s">
        <v>33</v>
      </c>
      <c r="S767" s="2" t="s">
        <v>59</v>
      </c>
      <c r="T767" s="9" t="s">
        <v>1709</v>
      </c>
      <c r="U767" s="10" t="s">
        <v>52</v>
      </c>
      <c r="V767" s="2" t="s">
        <v>53</v>
      </c>
      <c r="W767" s="2">
        <v>8</v>
      </c>
      <c r="X767" s="2" t="s">
        <v>36</v>
      </c>
      <c r="Y767" s="2">
        <v>1</v>
      </c>
      <c r="Z767" s="2" t="s">
        <v>82</v>
      </c>
    </row>
    <row r="768" spans="1:26" x14ac:dyDescent="0.35">
      <c r="A768" s="2" t="s">
        <v>1360</v>
      </c>
      <c r="B768" s="3">
        <v>46072</v>
      </c>
      <c r="C768" s="2" t="s">
        <v>557</v>
      </c>
      <c r="D768" s="2" t="s">
        <v>73</v>
      </c>
      <c r="E768" s="2" t="s">
        <v>29</v>
      </c>
      <c r="F768" s="2">
        <v>51</v>
      </c>
      <c r="G768" s="2" t="s">
        <v>81</v>
      </c>
      <c r="H768" s="2" t="s">
        <v>31</v>
      </c>
      <c r="I768" s="2" t="s">
        <v>81</v>
      </c>
      <c r="J768" s="2" t="s">
        <v>138</v>
      </c>
      <c r="K768" s="2">
        <v>1</v>
      </c>
      <c r="L768" s="2">
        <v>44909</v>
      </c>
      <c r="M768" s="2">
        <v>20</v>
      </c>
      <c r="N768" s="2">
        <v>8981.7999999999993</v>
      </c>
      <c r="O768" s="2">
        <v>6466.9</v>
      </c>
      <c r="P768" s="2">
        <v>384</v>
      </c>
      <c r="Q768" s="2">
        <v>42778.1</v>
      </c>
      <c r="R768" s="2" t="s">
        <v>43</v>
      </c>
      <c r="S768" s="2" t="s">
        <v>34</v>
      </c>
      <c r="T768" s="9" t="s">
        <v>1710</v>
      </c>
      <c r="U768" s="10" t="s">
        <v>1711</v>
      </c>
      <c r="V768" s="2" t="s">
        <v>53</v>
      </c>
      <c r="W768" s="2">
        <v>9</v>
      </c>
      <c r="X768" s="2" t="s">
        <v>44</v>
      </c>
      <c r="Y768" s="2">
        <v>1</v>
      </c>
      <c r="Z768" s="2" t="s">
        <v>82</v>
      </c>
    </row>
    <row r="769" spans="1:26" x14ac:dyDescent="0.35">
      <c r="A769" s="2" t="s">
        <v>1361</v>
      </c>
      <c r="B769" s="3">
        <v>45841</v>
      </c>
      <c r="C769" s="2" t="s">
        <v>647</v>
      </c>
      <c r="D769" s="2" t="s">
        <v>62</v>
      </c>
      <c r="E769" s="2" t="s">
        <v>41</v>
      </c>
      <c r="F769" s="2">
        <v>29</v>
      </c>
      <c r="G769" s="2" t="s">
        <v>81</v>
      </c>
      <c r="H769" s="2" t="s">
        <v>31</v>
      </c>
      <c r="I769" s="2" t="s">
        <v>81</v>
      </c>
      <c r="J769" s="2" t="s">
        <v>100</v>
      </c>
      <c r="K769" s="2">
        <v>4</v>
      </c>
      <c r="L769" s="2">
        <v>43820</v>
      </c>
      <c r="M769" s="2">
        <v>10</v>
      </c>
      <c r="N769" s="2">
        <v>17528</v>
      </c>
      <c r="O769" s="2">
        <v>28395.360000000001</v>
      </c>
      <c r="P769" s="2">
        <v>157</v>
      </c>
      <c r="Q769" s="2">
        <v>186304.36</v>
      </c>
      <c r="R769" s="2" t="s">
        <v>43</v>
      </c>
      <c r="S769" s="2" t="s">
        <v>59</v>
      </c>
      <c r="T769" s="9" t="s">
        <v>1708</v>
      </c>
      <c r="U769" s="10" t="s">
        <v>52</v>
      </c>
      <c r="V769" s="2" t="s">
        <v>77</v>
      </c>
      <c r="W769" s="2">
        <v>10</v>
      </c>
      <c r="X769" s="2" t="s">
        <v>44</v>
      </c>
      <c r="Y769" s="2">
        <v>4</v>
      </c>
      <c r="Z769" s="2" t="s">
        <v>82</v>
      </c>
    </row>
    <row r="770" spans="1:26" x14ac:dyDescent="0.35">
      <c r="A770" s="2" t="s">
        <v>1362</v>
      </c>
      <c r="B770" s="3">
        <v>45862</v>
      </c>
      <c r="C770" s="2" t="s">
        <v>1363</v>
      </c>
      <c r="D770" s="2" t="s">
        <v>40</v>
      </c>
      <c r="E770" s="2" t="s">
        <v>29</v>
      </c>
      <c r="F770" s="2">
        <v>40</v>
      </c>
      <c r="G770" s="2" t="s">
        <v>48</v>
      </c>
      <c r="H770" s="2" t="s">
        <v>49</v>
      </c>
      <c r="I770" s="2" t="s">
        <v>48</v>
      </c>
      <c r="J770" s="2" t="s">
        <v>190</v>
      </c>
      <c r="K770" s="2">
        <v>3</v>
      </c>
      <c r="L770" s="2">
        <v>13810</v>
      </c>
      <c r="M770" s="2">
        <v>10</v>
      </c>
      <c r="N770" s="2">
        <v>4143</v>
      </c>
      <c r="O770" s="2">
        <v>6711.66</v>
      </c>
      <c r="P770" s="2">
        <v>258</v>
      </c>
      <c r="Q770" s="2">
        <v>44256.66</v>
      </c>
      <c r="R770" s="2" t="s">
        <v>51</v>
      </c>
      <c r="S770" s="2" t="s">
        <v>34</v>
      </c>
      <c r="T770" s="9" t="s">
        <v>1709</v>
      </c>
      <c r="U770" s="10" t="s">
        <v>52</v>
      </c>
      <c r="V770" s="2" t="s">
        <v>53</v>
      </c>
      <c r="W770" s="2">
        <v>9</v>
      </c>
      <c r="X770" s="2" t="s">
        <v>36</v>
      </c>
      <c r="Y770" s="2">
        <v>1</v>
      </c>
      <c r="Z770" s="2" t="s">
        <v>37</v>
      </c>
    </row>
    <row r="771" spans="1:26" x14ac:dyDescent="0.35">
      <c r="A771" s="2" t="s">
        <v>1364</v>
      </c>
      <c r="B771" s="3">
        <v>46047</v>
      </c>
      <c r="C771" s="2" t="s">
        <v>1151</v>
      </c>
      <c r="D771" s="2" t="s">
        <v>57</v>
      </c>
      <c r="E771" s="2" t="s">
        <v>41</v>
      </c>
      <c r="F771" s="2">
        <v>40</v>
      </c>
      <c r="G771" s="2" t="s">
        <v>42</v>
      </c>
      <c r="H771" s="2" t="s">
        <v>31</v>
      </c>
      <c r="I771" s="2" t="s">
        <v>42</v>
      </c>
      <c r="J771" s="2" t="s">
        <v>32</v>
      </c>
      <c r="K771" s="2">
        <v>2</v>
      </c>
      <c r="L771" s="2">
        <v>46551</v>
      </c>
      <c r="M771" s="2">
        <v>15</v>
      </c>
      <c r="N771" s="2">
        <v>13965.3</v>
      </c>
      <c r="O771" s="2">
        <v>14244.61</v>
      </c>
      <c r="P771" s="2">
        <v>269</v>
      </c>
      <c r="Q771" s="2">
        <v>93650.31</v>
      </c>
      <c r="R771" s="2" t="s">
        <v>43</v>
      </c>
      <c r="S771" s="2" t="s">
        <v>59</v>
      </c>
      <c r="T771" s="9" t="s">
        <v>1709</v>
      </c>
      <c r="U771" s="10" t="s">
        <v>52</v>
      </c>
      <c r="V771" s="2" t="s">
        <v>53</v>
      </c>
      <c r="W771" s="2">
        <v>10</v>
      </c>
      <c r="X771" s="2" t="s">
        <v>36</v>
      </c>
      <c r="Y771" s="2">
        <v>3</v>
      </c>
      <c r="Z771" s="2" t="s">
        <v>54</v>
      </c>
    </row>
    <row r="772" spans="1:26" x14ac:dyDescent="0.35">
      <c r="A772" s="2" t="s">
        <v>1365</v>
      </c>
      <c r="B772" s="3">
        <v>46024</v>
      </c>
      <c r="C772" s="2" t="s">
        <v>354</v>
      </c>
      <c r="D772" s="2" t="s">
        <v>80</v>
      </c>
      <c r="E772" s="2" t="s">
        <v>29</v>
      </c>
      <c r="F772" s="2">
        <v>51</v>
      </c>
      <c r="G772" s="2" t="s">
        <v>30</v>
      </c>
      <c r="H772" s="2" t="s">
        <v>31</v>
      </c>
      <c r="I772" s="2" t="s">
        <v>30</v>
      </c>
      <c r="J772" s="2" t="s">
        <v>58</v>
      </c>
      <c r="K772" s="2">
        <v>1</v>
      </c>
      <c r="L772" s="2">
        <v>39927</v>
      </c>
      <c r="M772" s="2">
        <v>20</v>
      </c>
      <c r="N772" s="2">
        <v>7985.4</v>
      </c>
      <c r="O772" s="2">
        <v>5749.49</v>
      </c>
      <c r="P772" s="2">
        <v>5</v>
      </c>
      <c r="Q772" s="2">
        <v>37696.089999999997</v>
      </c>
      <c r="R772" s="2" t="s">
        <v>43</v>
      </c>
      <c r="S772" s="2" t="s">
        <v>34</v>
      </c>
      <c r="T772" s="9" t="s">
        <v>1707</v>
      </c>
      <c r="U772" s="10" t="s">
        <v>1712</v>
      </c>
      <c r="V772" s="2" t="s">
        <v>53</v>
      </c>
      <c r="W772" s="2">
        <v>1</v>
      </c>
      <c r="X772" s="2" t="s">
        <v>36</v>
      </c>
      <c r="Y772" s="2">
        <v>5</v>
      </c>
      <c r="Z772" s="2" t="s">
        <v>82</v>
      </c>
    </row>
    <row r="773" spans="1:26" x14ac:dyDescent="0.35">
      <c r="A773" s="2" t="s">
        <v>1366</v>
      </c>
      <c r="B773" s="3">
        <v>45966</v>
      </c>
      <c r="C773" s="2" t="s">
        <v>1367</v>
      </c>
      <c r="D773" s="2" t="s">
        <v>80</v>
      </c>
      <c r="E773" s="2" t="s">
        <v>29</v>
      </c>
      <c r="F773" s="2">
        <v>24</v>
      </c>
      <c r="G773" s="2" t="s">
        <v>88</v>
      </c>
      <c r="H773" s="2" t="s">
        <v>49</v>
      </c>
      <c r="I773" s="2" t="s">
        <v>88</v>
      </c>
      <c r="J773" s="2" t="s">
        <v>50</v>
      </c>
      <c r="K773" s="2">
        <v>4</v>
      </c>
      <c r="L773" s="2">
        <v>26531</v>
      </c>
      <c r="M773" s="2">
        <v>15</v>
      </c>
      <c r="N773" s="2">
        <v>15918.6</v>
      </c>
      <c r="O773" s="2">
        <v>16236.97</v>
      </c>
      <c r="P773" s="2">
        <v>424</v>
      </c>
      <c r="Q773" s="2">
        <v>106866.37</v>
      </c>
      <c r="R773" s="2" t="s">
        <v>76</v>
      </c>
      <c r="S773" s="2" t="s">
        <v>34</v>
      </c>
      <c r="T773" s="9" t="s">
        <v>1705</v>
      </c>
      <c r="U773" s="10" t="s">
        <v>1702</v>
      </c>
      <c r="V773" s="2" t="s">
        <v>53</v>
      </c>
      <c r="W773" s="2">
        <v>4</v>
      </c>
      <c r="X773" s="2" t="s">
        <v>36</v>
      </c>
      <c r="Y773" s="2">
        <v>4</v>
      </c>
      <c r="Z773" s="2" t="s">
        <v>82</v>
      </c>
    </row>
    <row r="774" spans="1:26" x14ac:dyDescent="0.35">
      <c r="A774" s="2" t="s">
        <v>1368</v>
      </c>
      <c r="B774" s="3">
        <v>45874</v>
      </c>
      <c r="C774" s="2" t="s">
        <v>512</v>
      </c>
      <c r="D774" s="2" t="s">
        <v>40</v>
      </c>
      <c r="E774" s="2" t="s">
        <v>29</v>
      </c>
      <c r="F774" s="2">
        <v>50</v>
      </c>
      <c r="G774" s="2" t="s">
        <v>63</v>
      </c>
      <c r="H774" s="2" t="s">
        <v>64</v>
      </c>
      <c r="I774" s="2" t="s">
        <v>63</v>
      </c>
      <c r="J774" s="2" t="s">
        <v>50</v>
      </c>
      <c r="K774" s="2">
        <v>3</v>
      </c>
      <c r="L774" s="2">
        <v>17924</v>
      </c>
      <c r="M774" s="2">
        <v>5</v>
      </c>
      <c r="N774" s="2">
        <v>2688.6</v>
      </c>
      <c r="O774" s="2">
        <v>9195.01</v>
      </c>
      <c r="P774" s="2">
        <v>37</v>
      </c>
      <c r="Q774" s="2">
        <v>60315.41</v>
      </c>
      <c r="R774" s="2" t="s">
        <v>43</v>
      </c>
      <c r="S774" s="2" t="s">
        <v>59</v>
      </c>
      <c r="T774" s="9" t="s">
        <v>1704</v>
      </c>
      <c r="U774" s="10" t="s">
        <v>52</v>
      </c>
      <c r="V774" s="2" t="s">
        <v>35</v>
      </c>
      <c r="W774" s="2">
        <v>8</v>
      </c>
      <c r="X774" s="2" t="s">
        <v>44</v>
      </c>
      <c r="Y774" s="2">
        <v>1</v>
      </c>
      <c r="Z774" s="2" t="s">
        <v>54</v>
      </c>
    </row>
    <row r="775" spans="1:26" x14ac:dyDescent="0.35">
      <c r="A775" s="2" t="s">
        <v>1369</v>
      </c>
      <c r="B775" s="3">
        <v>45921</v>
      </c>
      <c r="C775" s="2" t="s">
        <v>620</v>
      </c>
      <c r="D775" s="2" t="s">
        <v>28</v>
      </c>
      <c r="E775" s="2" t="s">
        <v>29</v>
      </c>
      <c r="F775" s="2">
        <v>26</v>
      </c>
      <c r="G775" s="2" t="s">
        <v>122</v>
      </c>
      <c r="H775" s="2" t="s">
        <v>31</v>
      </c>
      <c r="I775" s="2" t="s">
        <v>122</v>
      </c>
      <c r="J775" s="2" t="s">
        <v>58</v>
      </c>
      <c r="K775" s="2">
        <v>5</v>
      </c>
      <c r="L775" s="2">
        <v>14793</v>
      </c>
      <c r="M775" s="2">
        <v>0</v>
      </c>
      <c r="N775" s="2">
        <v>0</v>
      </c>
      <c r="O775" s="2">
        <v>13313.7</v>
      </c>
      <c r="P775" s="2">
        <v>61</v>
      </c>
      <c r="Q775" s="2">
        <v>87339.7</v>
      </c>
      <c r="R775" s="2" t="s">
        <v>76</v>
      </c>
      <c r="S775" s="2" t="s">
        <v>59</v>
      </c>
      <c r="T775" s="9" t="s">
        <v>1705</v>
      </c>
      <c r="U775" s="10" t="s">
        <v>1702</v>
      </c>
      <c r="V775" s="2" t="s">
        <v>53</v>
      </c>
      <c r="W775" s="2">
        <v>4</v>
      </c>
      <c r="X775" s="2" t="s">
        <v>36</v>
      </c>
      <c r="Y775" s="2">
        <v>5</v>
      </c>
      <c r="Z775" s="2" t="s">
        <v>37</v>
      </c>
    </row>
    <row r="776" spans="1:26" x14ac:dyDescent="0.35">
      <c r="A776" s="2" t="s">
        <v>1370</v>
      </c>
      <c r="B776" s="3">
        <v>45866</v>
      </c>
      <c r="C776" s="2" t="s">
        <v>711</v>
      </c>
      <c r="D776" s="2" t="s">
        <v>99</v>
      </c>
      <c r="E776" s="2" t="s">
        <v>41</v>
      </c>
      <c r="F776" s="2">
        <v>26</v>
      </c>
      <c r="G776" s="2" t="s">
        <v>42</v>
      </c>
      <c r="H776" s="2" t="s">
        <v>31</v>
      </c>
      <c r="I776" s="2" t="s">
        <v>42</v>
      </c>
      <c r="J776" s="2" t="s">
        <v>58</v>
      </c>
      <c r="K776" s="2">
        <v>5</v>
      </c>
      <c r="L776" s="2">
        <v>47888</v>
      </c>
      <c r="M776" s="2">
        <v>10</v>
      </c>
      <c r="N776" s="2">
        <v>23944</v>
      </c>
      <c r="O776" s="2">
        <v>38789.279999999999</v>
      </c>
      <c r="P776" s="2">
        <v>381</v>
      </c>
      <c r="Q776" s="2">
        <v>254666.28</v>
      </c>
      <c r="R776" s="2" t="s">
        <v>51</v>
      </c>
      <c r="S776" s="2" t="s">
        <v>59</v>
      </c>
      <c r="T776" s="9" t="s">
        <v>1704</v>
      </c>
      <c r="U776" s="10" t="s">
        <v>52</v>
      </c>
      <c r="V776" s="2" t="s">
        <v>35</v>
      </c>
      <c r="W776" s="2">
        <v>1</v>
      </c>
      <c r="X776" s="2" t="s">
        <v>36</v>
      </c>
      <c r="Y776" s="2">
        <v>3</v>
      </c>
      <c r="Z776" s="2" t="s">
        <v>54</v>
      </c>
    </row>
    <row r="777" spans="1:26" x14ac:dyDescent="0.35">
      <c r="A777" s="2" t="s">
        <v>1371</v>
      </c>
      <c r="B777" s="3">
        <v>45774</v>
      </c>
      <c r="C777" s="2" t="s">
        <v>137</v>
      </c>
      <c r="D777" s="2" t="s">
        <v>28</v>
      </c>
      <c r="E777" s="2" t="s">
        <v>41</v>
      </c>
      <c r="F777" s="2">
        <v>42</v>
      </c>
      <c r="G777" s="2" t="s">
        <v>127</v>
      </c>
      <c r="H777" s="2" t="s">
        <v>31</v>
      </c>
      <c r="I777" s="2" t="s">
        <v>127</v>
      </c>
      <c r="J777" s="2" t="s">
        <v>91</v>
      </c>
      <c r="K777" s="2">
        <v>4</v>
      </c>
      <c r="L777" s="2">
        <v>9646</v>
      </c>
      <c r="M777" s="2">
        <v>5</v>
      </c>
      <c r="N777" s="2">
        <v>1929.2</v>
      </c>
      <c r="O777" s="2">
        <v>6597.86</v>
      </c>
      <c r="P777" s="2">
        <v>331</v>
      </c>
      <c r="Q777" s="2">
        <v>43583.66</v>
      </c>
      <c r="R777" s="2" t="s">
        <v>51</v>
      </c>
      <c r="S777" s="2" t="s">
        <v>59</v>
      </c>
      <c r="T777" s="9" t="s">
        <v>1709</v>
      </c>
      <c r="U777" s="10" t="s">
        <v>52</v>
      </c>
      <c r="V777" s="2" t="s">
        <v>53</v>
      </c>
      <c r="W777" s="2">
        <v>8</v>
      </c>
      <c r="X777" s="2" t="s">
        <v>44</v>
      </c>
      <c r="Y777" s="2">
        <v>5</v>
      </c>
      <c r="Z777" s="2" t="s">
        <v>44</v>
      </c>
    </row>
    <row r="778" spans="1:26" x14ac:dyDescent="0.35">
      <c r="A778" s="2" t="s">
        <v>1372</v>
      </c>
      <c r="B778" s="3">
        <v>45805</v>
      </c>
      <c r="C778" s="2" t="s">
        <v>440</v>
      </c>
      <c r="D778" s="2" t="s">
        <v>57</v>
      </c>
      <c r="E778" s="2" t="s">
        <v>29</v>
      </c>
      <c r="F778" s="2">
        <v>38</v>
      </c>
      <c r="G778" s="2" t="s">
        <v>69</v>
      </c>
      <c r="H778" s="2" t="s">
        <v>31</v>
      </c>
      <c r="I778" s="2" t="s">
        <v>69</v>
      </c>
      <c r="J778" s="2" t="s">
        <v>91</v>
      </c>
      <c r="K778" s="2">
        <v>4</v>
      </c>
      <c r="L778" s="2">
        <v>4941</v>
      </c>
      <c r="M778" s="2">
        <v>20</v>
      </c>
      <c r="N778" s="2">
        <v>3952.8</v>
      </c>
      <c r="O778" s="2">
        <v>2846.02</v>
      </c>
      <c r="P778" s="2">
        <v>305</v>
      </c>
      <c r="Q778" s="2">
        <v>18962.22</v>
      </c>
      <c r="R778" s="2" t="s">
        <v>33</v>
      </c>
      <c r="S778" s="2" t="s">
        <v>59</v>
      </c>
      <c r="T778" s="9" t="s">
        <v>1703</v>
      </c>
      <c r="U778" s="10" t="s">
        <v>1701</v>
      </c>
      <c r="V778" s="2" t="s">
        <v>35</v>
      </c>
      <c r="W778" s="2">
        <v>9</v>
      </c>
      <c r="X778" s="2" t="s">
        <v>36</v>
      </c>
      <c r="Y778" s="2">
        <v>1</v>
      </c>
      <c r="Z778" s="2" t="s">
        <v>37</v>
      </c>
    </row>
    <row r="779" spans="1:26" x14ac:dyDescent="0.35">
      <c r="A779" s="2" t="s">
        <v>1373</v>
      </c>
      <c r="B779" s="3">
        <v>45849</v>
      </c>
      <c r="C779" s="2" t="s">
        <v>1226</v>
      </c>
      <c r="D779" s="2" t="s">
        <v>28</v>
      </c>
      <c r="E779" s="2" t="s">
        <v>29</v>
      </c>
      <c r="F779" s="2">
        <v>52</v>
      </c>
      <c r="G779" s="2" t="s">
        <v>88</v>
      </c>
      <c r="H779" s="2" t="s">
        <v>49</v>
      </c>
      <c r="I779" s="2" t="s">
        <v>88</v>
      </c>
      <c r="J779" s="2" t="s">
        <v>58</v>
      </c>
      <c r="K779" s="2">
        <v>3</v>
      </c>
      <c r="L779" s="2">
        <v>39057</v>
      </c>
      <c r="M779" s="2">
        <v>10</v>
      </c>
      <c r="N779" s="2">
        <v>11717.1</v>
      </c>
      <c r="O779" s="2">
        <v>18981.7</v>
      </c>
      <c r="P779" s="2">
        <v>493</v>
      </c>
      <c r="Q779" s="2">
        <v>124928.6</v>
      </c>
      <c r="R779" s="2" t="s">
        <v>51</v>
      </c>
      <c r="S779" s="2" t="s">
        <v>59</v>
      </c>
      <c r="T779" s="9" t="s">
        <v>1708</v>
      </c>
      <c r="U779" s="10" t="s">
        <v>52</v>
      </c>
      <c r="V779" s="2" t="s">
        <v>77</v>
      </c>
      <c r="W779" s="2">
        <v>1</v>
      </c>
      <c r="X779" s="2" t="s">
        <v>36</v>
      </c>
      <c r="Y779" s="2">
        <v>3</v>
      </c>
      <c r="Z779" s="2" t="s">
        <v>54</v>
      </c>
    </row>
    <row r="780" spans="1:26" x14ac:dyDescent="0.35">
      <c r="A780" s="2" t="s">
        <v>1374</v>
      </c>
      <c r="B780" s="3">
        <v>45840</v>
      </c>
      <c r="C780" s="2" t="s">
        <v>803</v>
      </c>
      <c r="D780" s="2" t="s">
        <v>28</v>
      </c>
      <c r="E780" s="2" t="s">
        <v>29</v>
      </c>
      <c r="F780" s="2">
        <v>49</v>
      </c>
      <c r="G780" s="2" t="s">
        <v>30</v>
      </c>
      <c r="H780" s="2" t="s">
        <v>31</v>
      </c>
      <c r="I780" s="2" t="s">
        <v>30</v>
      </c>
      <c r="J780" s="2" t="s">
        <v>113</v>
      </c>
      <c r="K780" s="2">
        <v>3</v>
      </c>
      <c r="L780" s="2">
        <v>1818</v>
      </c>
      <c r="M780" s="2">
        <v>10</v>
      </c>
      <c r="N780" s="2">
        <v>545.4</v>
      </c>
      <c r="O780" s="2">
        <v>883.55</v>
      </c>
      <c r="P780" s="2">
        <v>304</v>
      </c>
      <c r="Q780" s="2">
        <v>6096.15</v>
      </c>
      <c r="R780" s="2" t="s">
        <v>51</v>
      </c>
      <c r="S780" s="2" t="s">
        <v>59</v>
      </c>
      <c r="T780" s="9" t="s">
        <v>1706</v>
      </c>
      <c r="U780" s="10" t="s">
        <v>52</v>
      </c>
      <c r="V780" s="2" t="s">
        <v>53</v>
      </c>
      <c r="W780" s="2">
        <v>2</v>
      </c>
      <c r="X780" s="2" t="s">
        <v>36</v>
      </c>
      <c r="Y780" s="2">
        <v>4</v>
      </c>
      <c r="Z780" s="2" t="s">
        <v>82</v>
      </c>
    </row>
    <row r="781" spans="1:26" x14ac:dyDescent="0.35">
      <c r="A781" s="2" t="s">
        <v>1375</v>
      </c>
      <c r="B781" s="3">
        <v>46108</v>
      </c>
      <c r="C781" s="2" t="s">
        <v>1376</v>
      </c>
      <c r="D781" s="2" t="s">
        <v>62</v>
      </c>
      <c r="E781" s="2" t="s">
        <v>41</v>
      </c>
      <c r="F781" s="2">
        <v>18</v>
      </c>
      <c r="G781" s="2" t="s">
        <v>81</v>
      </c>
      <c r="H781" s="2" t="s">
        <v>31</v>
      </c>
      <c r="I781" s="2" t="s">
        <v>81</v>
      </c>
      <c r="J781" s="2" t="s">
        <v>91</v>
      </c>
      <c r="K781" s="2">
        <v>2</v>
      </c>
      <c r="L781" s="2">
        <v>18717</v>
      </c>
      <c r="M781" s="2">
        <v>10</v>
      </c>
      <c r="N781" s="2">
        <v>3743.4</v>
      </c>
      <c r="O781" s="2">
        <v>6064.31</v>
      </c>
      <c r="P781" s="2">
        <v>4</v>
      </c>
      <c r="Q781" s="2">
        <v>39758.910000000003</v>
      </c>
      <c r="R781" s="2" t="s">
        <v>76</v>
      </c>
      <c r="S781" s="2" t="s">
        <v>34</v>
      </c>
      <c r="T781" s="9" t="s">
        <v>1704</v>
      </c>
      <c r="U781" s="10" t="s">
        <v>52</v>
      </c>
      <c r="V781" s="2" t="s">
        <v>35</v>
      </c>
      <c r="W781" s="2">
        <v>3</v>
      </c>
      <c r="X781" s="2" t="s">
        <v>44</v>
      </c>
      <c r="Y781" s="2">
        <v>1</v>
      </c>
      <c r="Z781" s="2" t="s">
        <v>82</v>
      </c>
    </row>
    <row r="782" spans="1:26" x14ac:dyDescent="0.35">
      <c r="A782" s="2" t="s">
        <v>1377</v>
      </c>
      <c r="B782" s="3">
        <v>46054</v>
      </c>
      <c r="C782" s="2" t="s">
        <v>90</v>
      </c>
      <c r="D782" s="2" t="s">
        <v>80</v>
      </c>
      <c r="E782" s="2" t="s">
        <v>41</v>
      </c>
      <c r="F782" s="2">
        <v>21</v>
      </c>
      <c r="G782" s="2" t="s">
        <v>48</v>
      </c>
      <c r="H782" s="2" t="s">
        <v>49</v>
      </c>
      <c r="I782" s="2" t="s">
        <v>48</v>
      </c>
      <c r="J782" s="2" t="s">
        <v>65</v>
      </c>
      <c r="K782" s="2">
        <v>4</v>
      </c>
      <c r="L782" s="2">
        <v>14573</v>
      </c>
      <c r="M782" s="2">
        <v>0</v>
      </c>
      <c r="N782" s="2">
        <v>0</v>
      </c>
      <c r="O782" s="2">
        <v>10492.56</v>
      </c>
      <c r="P782" s="2">
        <v>385</v>
      </c>
      <c r="Q782" s="2">
        <v>69169.56</v>
      </c>
      <c r="R782" s="2" t="s">
        <v>51</v>
      </c>
      <c r="S782" s="2" t="s">
        <v>59</v>
      </c>
      <c r="T782" s="9" t="s">
        <v>1709</v>
      </c>
      <c r="U782" s="10" t="s">
        <v>52</v>
      </c>
      <c r="V782" s="2" t="s">
        <v>53</v>
      </c>
      <c r="W782" s="2">
        <v>10</v>
      </c>
      <c r="X782" s="2" t="s">
        <v>36</v>
      </c>
      <c r="Y782" s="2">
        <v>3</v>
      </c>
      <c r="Z782" s="2" t="s">
        <v>82</v>
      </c>
    </row>
    <row r="783" spans="1:26" x14ac:dyDescent="0.35">
      <c r="A783" s="2" t="s">
        <v>1378</v>
      </c>
      <c r="B783" s="3">
        <v>45956</v>
      </c>
      <c r="C783" s="2" t="s">
        <v>1379</v>
      </c>
      <c r="D783" s="2" t="s">
        <v>47</v>
      </c>
      <c r="E783" s="2" t="s">
        <v>41</v>
      </c>
      <c r="F783" s="2">
        <v>54</v>
      </c>
      <c r="G783" s="2" t="s">
        <v>122</v>
      </c>
      <c r="H783" s="2" t="s">
        <v>31</v>
      </c>
      <c r="I783" s="2" t="s">
        <v>122</v>
      </c>
      <c r="J783" s="2" t="s">
        <v>91</v>
      </c>
      <c r="K783" s="2">
        <v>4</v>
      </c>
      <c r="L783" s="2">
        <v>11813</v>
      </c>
      <c r="M783" s="2">
        <v>10</v>
      </c>
      <c r="N783" s="2">
        <v>4725.2</v>
      </c>
      <c r="O783" s="2">
        <v>7654.82</v>
      </c>
      <c r="P783" s="2">
        <v>205</v>
      </c>
      <c r="Q783" s="2">
        <v>50386.62</v>
      </c>
      <c r="R783" s="2" t="s">
        <v>76</v>
      </c>
      <c r="S783" s="2" t="s">
        <v>59</v>
      </c>
      <c r="T783" s="9" t="s">
        <v>1707</v>
      </c>
      <c r="U783" s="10" t="s">
        <v>1712</v>
      </c>
      <c r="V783" s="2" t="s">
        <v>53</v>
      </c>
      <c r="W783" s="2">
        <v>9</v>
      </c>
      <c r="X783" s="2" t="s">
        <v>36</v>
      </c>
      <c r="Y783" s="2">
        <v>2</v>
      </c>
      <c r="Z783" s="2" t="s">
        <v>44</v>
      </c>
    </row>
    <row r="784" spans="1:26" x14ac:dyDescent="0.35">
      <c r="A784" s="2" t="s">
        <v>1380</v>
      </c>
      <c r="B784" s="3">
        <v>45854</v>
      </c>
      <c r="C784" s="2" t="s">
        <v>1381</v>
      </c>
      <c r="D784" s="2" t="s">
        <v>96</v>
      </c>
      <c r="E784" s="2" t="s">
        <v>41</v>
      </c>
      <c r="F784" s="2">
        <v>32</v>
      </c>
      <c r="G784" s="2" t="s">
        <v>30</v>
      </c>
      <c r="H784" s="2" t="s">
        <v>31</v>
      </c>
      <c r="I784" s="2" t="s">
        <v>30</v>
      </c>
      <c r="J784" s="2" t="s">
        <v>58</v>
      </c>
      <c r="K784" s="2">
        <v>1</v>
      </c>
      <c r="L784" s="2">
        <v>8738</v>
      </c>
      <c r="M784" s="2">
        <v>5</v>
      </c>
      <c r="N784" s="2">
        <v>436.9</v>
      </c>
      <c r="O784" s="2">
        <v>1494.2</v>
      </c>
      <c r="P784" s="2">
        <v>184</v>
      </c>
      <c r="Q784" s="2">
        <v>9979.2999999999993</v>
      </c>
      <c r="R784" s="2" t="s">
        <v>76</v>
      </c>
      <c r="S784" s="2" t="s">
        <v>59</v>
      </c>
      <c r="T784" s="9" t="s">
        <v>1710</v>
      </c>
      <c r="U784" s="10" t="s">
        <v>1711</v>
      </c>
      <c r="V784" s="2" t="s">
        <v>53</v>
      </c>
      <c r="W784" s="2">
        <v>7</v>
      </c>
      <c r="X784" s="2" t="s">
        <v>36</v>
      </c>
      <c r="Y784" s="2">
        <v>4</v>
      </c>
      <c r="Z784" s="2" t="s">
        <v>82</v>
      </c>
    </row>
    <row r="785" spans="1:26" x14ac:dyDescent="0.35">
      <c r="A785" s="2" t="s">
        <v>1382</v>
      </c>
      <c r="B785" s="3">
        <v>45963</v>
      </c>
      <c r="C785" s="2" t="s">
        <v>312</v>
      </c>
      <c r="D785" s="2" t="s">
        <v>99</v>
      </c>
      <c r="E785" s="2" t="s">
        <v>41</v>
      </c>
      <c r="F785" s="2">
        <v>29</v>
      </c>
      <c r="G785" s="2" t="s">
        <v>30</v>
      </c>
      <c r="H785" s="2" t="s">
        <v>31</v>
      </c>
      <c r="I785" s="2" t="s">
        <v>30</v>
      </c>
      <c r="J785" s="2" t="s">
        <v>32</v>
      </c>
      <c r="K785" s="2">
        <v>4</v>
      </c>
      <c r="L785" s="2">
        <v>1489</v>
      </c>
      <c r="M785" s="2">
        <v>20</v>
      </c>
      <c r="N785" s="2">
        <v>1191.2</v>
      </c>
      <c r="O785" s="2">
        <v>857.66</v>
      </c>
      <c r="P785" s="2">
        <v>442</v>
      </c>
      <c r="Q785" s="2">
        <v>6064.46</v>
      </c>
      <c r="R785" s="2" t="s">
        <v>43</v>
      </c>
      <c r="S785" s="2" t="s">
        <v>59</v>
      </c>
      <c r="T785" s="9" t="s">
        <v>1707</v>
      </c>
      <c r="U785" s="10" t="s">
        <v>1712</v>
      </c>
      <c r="V785" s="2" t="s">
        <v>53</v>
      </c>
      <c r="W785" s="2">
        <v>5</v>
      </c>
      <c r="X785" s="2" t="s">
        <v>44</v>
      </c>
      <c r="Y785" s="2">
        <v>5</v>
      </c>
      <c r="Z785" s="2" t="s">
        <v>37</v>
      </c>
    </row>
    <row r="786" spans="1:26" x14ac:dyDescent="0.35">
      <c r="A786" s="2" t="s">
        <v>1383</v>
      </c>
      <c r="B786" s="3">
        <v>46083</v>
      </c>
      <c r="C786" s="2" t="s">
        <v>1052</v>
      </c>
      <c r="D786" s="2" t="s">
        <v>80</v>
      </c>
      <c r="E786" s="2" t="s">
        <v>41</v>
      </c>
      <c r="F786" s="2">
        <v>29</v>
      </c>
      <c r="G786" s="2" t="s">
        <v>88</v>
      </c>
      <c r="H786" s="2" t="s">
        <v>49</v>
      </c>
      <c r="I786" s="2" t="s">
        <v>88</v>
      </c>
      <c r="J786" s="2" t="s">
        <v>58</v>
      </c>
      <c r="K786" s="2">
        <v>1</v>
      </c>
      <c r="L786" s="2">
        <v>9101</v>
      </c>
      <c r="M786" s="2">
        <v>5</v>
      </c>
      <c r="N786" s="2">
        <v>455.05</v>
      </c>
      <c r="O786" s="2">
        <v>1556.27</v>
      </c>
      <c r="P786" s="2">
        <v>408</v>
      </c>
      <c r="Q786" s="2">
        <v>10610.22</v>
      </c>
      <c r="R786" s="2" t="s">
        <v>76</v>
      </c>
      <c r="S786" s="2" t="s">
        <v>59</v>
      </c>
      <c r="T786" s="9" t="s">
        <v>1708</v>
      </c>
      <c r="U786" s="10" t="s">
        <v>52</v>
      </c>
      <c r="V786" s="2" t="s">
        <v>77</v>
      </c>
      <c r="W786" s="2">
        <v>2</v>
      </c>
      <c r="X786" s="2" t="s">
        <v>44</v>
      </c>
      <c r="Y786" s="2">
        <v>3</v>
      </c>
      <c r="Z786" s="2" t="s">
        <v>82</v>
      </c>
    </row>
    <row r="787" spans="1:26" x14ac:dyDescent="0.35">
      <c r="A787" s="2" t="s">
        <v>1384</v>
      </c>
      <c r="B787" s="3">
        <v>46105</v>
      </c>
      <c r="C787" s="2" t="s">
        <v>510</v>
      </c>
      <c r="D787" s="2" t="s">
        <v>40</v>
      </c>
      <c r="E787" s="2" t="s">
        <v>41</v>
      </c>
      <c r="F787" s="2">
        <v>58</v>
      </c>
      <c r="G787" s="2" t="s">
        <v>48</v>
      </c>
      <c r="H787" s="2" t="s">
        <v>49</v>
      </c>
      <c r="I787" s="2" t="s">
        <v>48</v>
      </c>
      <c r="J787" s="2" t="s">
        <v>100</v>
      </c>
      <c r="K787" s="2">
        <v>3</v>
      </c>
      <c r="L787" s="2">
        <v>28364</v>
      </c>
      <c r="M787" s="2">
        <v>20</v>
      </c>
      <c r="N787" s="2">
        <v>17018.400000000001</v>
      </c>
      <c r="O787" s="2">
        <v>12253.25</v>
      </c>
      <c r="P787" s="2">
        <v>411</v>
      </c>
      <c r="Q787" s="2">
        <v>80737.850000000006</v>
      </c>
      <c r="R787" s="2" t="s">
        <v>76</v>
      </c>
      <c r="S787" s="2" t="s">
        <v>34</v>
      </c>
      <c r="T787" s="9" t="s">
        <v>1707</v>
      </c>
      <c r="U787" s="10" t="s">
        <v>1712</v>
      </c>
      <c r="V787" s="2" t="s">
        <v>53</v>
      </c>
      <c r="W787" s="2">
        <v>7</v>
      </c>
      <c r="X787" s="2" t="s">
        <v>44</v>
      </c>
      <c r="Y787" s="2">
        <v>4</v>
      </c>
      <c r="Z787" s="2" t="s">
        <v>44</v>
      </c>
    </row>
    <row r="788" spans="1:26" x14ac:dyDescent="0.35">
      <c r="A788" s="2" t="s">
        <v>1385</v>
      </c>
      <c r="B788" s="3">
        <v>46029</v>
      </c>
      <c r="C788" s="2" t="s">
        <v>1386</v>
      </c>
      <c r="D788" s="2" t="s">
        <v>40</v>
      </c>
      <c r="E788" s="2" t="s">
        <v>41</v>
      </c>
      <c r="F788" s="2">
        <v>25</v>
      </c>
      <c r="G788" s="2" t="s">
        <v>69</v>
      </c>
      <c r="H788" s="2" t="s">
        <v>31</v>
      </c>
      <c r="I788" s="2" t="s">
        <v>69</v>
      </c>
      <c r="J788" s="2" t="s">
        <v>58</v>
      </c>
      <c r="K788" s="2">
        <v>3</v>
      </c>
      <c r="L788" s="2">
        <v>26567</v>
      </c>
      <c r="M788" s="2">
        <v>20</v>
      </c>
      <c r="N788" s="2">
        <v>15940.2</v>
      </c>
      <c r="O788" s="2">
        <v>11476.94</v>
      </c>
      <c r="P788" s="2">
        <v>289</v>
      </c>
      <c r="Q788" s="2">
        <v>75526.740000000005</v>
      </c>
      <c r="R788" s="2" t="s">
        <v>51</v>
      </c>
      <c r="S788" s="2" t="s">
        <v>59</v>
      </c>
      <c r="T788" s="9" t="s">
        <v>1710</v>
      </c>
      <c r="U788" s="10" t="s">
        <v>1711</v>
      </c>
      <c r="V788" s="2" t="s">
        <v>53</v>
      </c>
      <c r="W788" s="2">
        <v>8</v>
      </c>
      <c r="X788" s="2" t="s">
        <v>44</v>
      </c>
      <c r="Y788" s="2">
        <v>2</v>
      </c>
      <c r="Z788" s="2" t="s">
        <v>44</v>
      </c>
    </row>
    <row r="789" spans="1:26" x14ac:dyDescent="0.35">
      <c r="A789" s="2" t="s">
        <v>1387</v>
      </c>
      <c r="B789" s="3">
        <v>46026</v>
      </c>
      <c r="C789" s="2" t="s">
        <v>1388</v>
      </c>
      <c r="D789" s="2" t="s">
        <v>47</v>
      </c>
      <c r="E789" s="2" t="s">
        <v>41</v>
      </c>
      <c r="F789" s="2">
        <v>40</v>
      </c>
      <c r="G789" s="2" t="s">
        <v>69</v>
      </c>
      <c r="H789" s="2" t="s">
        <v>31</v>
      </c>
      <c r="I789" s="2" t="s">
        <v>69</v>
      </c>
      <c r="J789" s="2" t="s">
        <v>32</v>
      </c>
      <c r="K789" s="2">
        <v>4</v>
      </c>
      <c r="L789" s="2">
        <v>36398</v>
      </c>
      <c r="M789" s="2">
        <v>20</v>
      </c>
      <c r="N789" s="2">
        <v>29118.400000000001</v>
      </c>
      <c r="O789" s="2">
        <v>20965.25</v>
      </c>
      <c r="P789" s="2">
        <v>62</v>
      </c>
      <c r="Q789" s="2">
        <v>137500.85</v>
      </c>
      <c r="R789" s="2" t="s">
        <v>33</v>
      </c>
      <c r="S789" s="2" t="s">
        <v>59</v>
      </c>
      <c r="T789" s="9" t="s">
        <v>1710</v>
      </c>
      <c r="U789" s="10" t="s">
        <v>1711</v>
      </c>
      <c r="V789" s="2" t="s">
        <v>53</v>
      </c>
      <c r="W789" s="2">
        <v>8</v>
      </c>
      <c r="X789" s="2" t="s">
        <v>36</v>
      </c>
      <c r="Y789" s="2">
        <v>2</v>
      </c>
      <c r="Z789" s="2" t="s">
        <v>44</v>
      </c>
    </row>
    <row r="790" spans="1:26" x14ac:dyDescent="0.35">
      <c r="A790" s="2" t="s">
        <v>1389</v>
      </c>
      <c r="B790" s="3">
        <v>45858</v>
      </c>
      <c r="C790" s="2" t="s">
        <v>1390</v>
      </c>
      <c r="D790" s="2" t="s">
        <v>40</v>
      </c>
      <c r="E790" s="2" t="s">
        <v>29</v>
      </c>
      <c r="F790" s="2">
        <v>26</v>
      </c>
      <c r="G790" s="2" t="s">
        <v>127</v>
      </c>
      <c r="H790" s="2" t="s">
        <v>31</v>
      </c>
      <c r="I790" s="2" t="s">
        <v>127</v>
      </c>
      <c r="J790" s="2" t="s">
        <v>113</v>
      </c>
      <c r="K790" s="2">
        <v>3</v>
      </c>
      <c r="L790" s="2">
        <v>5708</v>
      </c>
      <c r="M790" s="2">
        <v>10</v>
      </c>
      <c r="N790" s="2">
        <v>1712.4</v>
      </c>
      <c r="O790" s="2">
        <v>2774.09</v>
      </c>
      <c r="P790" s="2">
        <v>270</v>
      </c>
      <c r="Q790" s="2">
        <v>18455.689999999999</v>
      </c>
      <c r="R790" s="2" t="s">
        <v>76</v>
      </c>
      <c r="S790" s="2" t="s">
        <v>34</v>
      </c>
      <c r="T790" s="9" t="s">
        <v>1705</v>
      </c>
      <c r="U790" s="10" t="s">
        <v>1702</v>
      </c>
      <c r="V790" s="2" t="s">
        <v>53</v>
      </c>
      <c r="W790" s="2">
        <v>2</v>
      </c>
      <c r="X790" s="2" t="s">
        <v>44</v>
      </c>
      <c r="Y790" s="2">
        <v>1</v>
      </c>
      <c r="Z790" s="2" t="s">
        <v>82</v>
      </c>
    </row>
    <row r="791" spans="1:26" x14ac:dyDescent="0.35">
      <c r="A791" s="2" t="s">
        <v>1391</v>
      </c>
      <c r="B791" s="3">
        <v>45757</v>
      </c>
      <c r="C791" s="2" t="s">
        <v>150</v>
      </c>
      <c r="D791" s="2" t="s">
        <v>47</v>
      </c>
      <c r="E791" s="2" t="s">
        <v>41</v>
      </c>
      <c r="F791" s="2">
        <v>34</v>
      </c>
      <c r="G791" s="2" t="s">
        <v>42</v>
      </c>
      <c r="H791" s="2" t="s">
        <v>31</v>
      </c>
      <c r="I791" s="2" t="s">
        <v>42</v>
      </c>
      <c r="J791" s="2" t="s">
        <v>100</v>
      </c>
      <c r="K791" s="2">
        <v>5</v>
      </c>
      <c r="L791" s="2">
        <v>41929</v>
      </c>
      <c r="M791" s="2">
        <v>10</v>
      </c>
      <c r="N791" s="2">
        <v>20964.5</v>
      </c>
      <c r="O791" s="2">
        <v>33962.49</v>
      </c>
      <c r="P791" s="2">
        <v>167</v>
      </c>
      <c r="Q791" s="2">
        <v>222809.99</v>
      </c>
      <c r="R791" s="2" t="s">
        <v>43</v>
      </c>
      <c r="S791" s="2" t="s">
        <v>59</v>
      </c>
      <c r="T791" s="9" t="s">
        <v>1709</v>
      </c>
      <c r="U791" s="10" t="s">
        <v>52</v>
      </c>
      <c r="V791" s="2" t="s">
        <v>53</v>
      </c>
      <c r="W791" s="2">
        <v>7</v>
      </c>
      <c r="X791" s="2" t="s">
        <v>36</v>
      </c>
      <c r="Y791" s="2">
        <v>3</v>
      </c>
      <c r="Z791" s="2" t="s">
        <v>54</v>
      </c>
    </row>
    <row r="792" spans="1:26" x14ac:dyDescent="0.35">
      <c r="A792" s="2" t="s">
        <v>1392</v>
      </c>
      <c r="B792" s="3">
        <v>46081</v>
      </c>
      <c r="C792" s="2" t="s">
        <v>1393</v>
      </c>
      <c r="D792" s="2" t="s">
        <v>99</v>
      </c>
      <c r="E792" s="2" t="s">
        <v>41</v>
      </c>
      <c r="F792" s="2">
        <v>43</v>
      </c>
      <c r="G792" s="2" t="s">
        <v>127</v>
      </c>
      <c r="H792" s="2" t="s">
        <v>31</v>
      </c>
      <c r="I792" s="2" t="s">
        <v>127</v>
      </c>
      <c r="J792" s="2" t="s">
        <v>58</v>
      </c>
      <c r="K792" s="2">
        <v>4</v>
      </c>
      <c r="L792" s="2">
        <v>28575</v>
      </c>
      <c r="M792" s="2">
        <v>15</v>
      </c>
      <c r="N792" s="2">
        <v>17145</v>
      </c>
      <c r="O792" s="2">
        <v>17487.900000000001</v>
      </c>
      <c r="P792" s="2">
        <v>226</v>
      </c>
      <c r="Q792" s="2">
        <v>114868.9</v>
      </c>
      <c r="R792" s="2" t="s">
        <v>43</v>
      </c>
      <c r="S792" s="2" t="s">
        <v>59</v>
      </c>
      <c r="T792" s="9" t="s">
        <v>1707</v>
      </c>
      <c r="U792" s="10" t="s">
        <v>1712</v>
      </c>
      <c r="V792" s="2" t="s">
        <v>53</v>
      </c>
      <c r="W792" s="2">
        <v>1</v>
      </c>
      <c r="X792" s="2" t="s">
        <v>36</v>
      </c>
      <c r="Y792" s="2">
        <v>5</v>
      </c>
      <c r="Z792" s="2" t="s">
        <v>37</v>
      </c>
    </row>
    <row r="793" spans="1:26" x14ac:dyDescent="0.35">
      <c r="A793" s="2" t="s">
        <v>1394</v>
      </c>
      <c r="B793" s="3">
        <v>46052</v>
      </c>
      <c r="C793" s="2" t="s">
        <v>1325</v>
      </c>
      <c r="D793" s="2" t="s">
        <v>62</v>
      </c>
      <c r="E793" s="2" t="s">
        <v>41</v>
      </c>
      <c r="F793" s="2">
        <v>55</v>
      </c>
      <c r="G793" s="2" t="s">
        <v>42</v>
      </c>
      <c r="H793" s="2" t="s">
        <v>31</v>
      </c>
      <c r="I793" s="2" t="s">
        <v>42</v>
      </c>
      <c r="J793" s="2" t="s">
        <v>70</v>
      </c>
      <c r="K793" s="2">
        <v>3</v>
      </c>
      <c r="L793" s="2">
        <v>13660</v>
      </c>
      <c r="M793" s="2">
        <v>20</v>
      </c>
      <c r="N793" s="2">
        <v>8196</v>
      </c>
      <c r="O793" s="2">
        <v>5901.12</v>
      </c>
      <c r="P793" s="2">
        <v>12</v>
      </c>
      <c r="Q793" s="2">
        <v>38697.120000000003</v>
      </c>
      <c r="R793" s="2" t="s">
        <v>51</v>
      </c>
      <c r="S793" s="2" t="s">
        <v>59</v>
      </c>
      <c r="T793" s="9" t="s">
        <v>1708</v>
      </c>
      <c r="U793" s="10" t="s">
        <v>52</v>
      </c>
      <c r="V793" s="2" t="s">
        <v>77</v>
      </c>
      <c r="W793" s="2">
        <v>6</v>
      </c>
      <c r="X793" s="2" t="s">
        <v>44</v>
      </c>
      <c r="Y793" s="2">
        <v>1</v>
      </c>
      <c r="Z793" s="2" t="s">
        <v>44</v>
      </c>
    </row>
    <row r="794" spans="1:26" x14ac:dyDescent="0.35">
      <c r="A794" s="2" t="s">
        <v>1395</v>
      </c>
      <c r="B794" s="3">
        <v>45980</v>
      </c>
      <c r="C794" s="2" t="s">
        <v>1396</v>
      </c>
      <c r="D794" s="2" t="s">
        <v>47</v>
      </c>
      <c r="E794" s="2" t="s">
        <v>29</v>
      </c>
      <c r="F794" s="2">
        <v>23</v>
      </c>
      <c r="G794" s="2" t="s">
        <v>48</v>
      </c>
      <c r="H794" s="2" t="s">
        <v>49</v>
      </c>
      <c r="I794" s="2" t="s">
        <v>48</v>
      </c>
      <c r="J794" s="2" t="s">
        <v>100</v>
      </c>
      <c r="K794" s="2">
        <v>2</v>
      </c>
      <c r="L794" s="2">
        <v>24228</v>
      </c>
      <c r="M794" s="2">
        <v>10</v>
      </c>
      <c r="N794" s="2">
        <v>4845.6000000000004</v>
      </c>
      <c r="O794" s="2">
        <v>7849.87</v>
      </c>
      <c r="P794" s="2">
        <v>308</v>
      </c>
      <c r="Q794" s="2">
        <v>51768.27</v>
      </c>
      <c r="R794" s="2" t="s">
        <v>43</v>
      </c>
      <c r="S794" s="2" t="s">
        <v>34</v>
      </c>
      <c r="T794" s="9" t="s">
        <v>1708</v>
      </c>
      <c r="U794" s="10" t="s">
        <v>52</v>
      </c>
      <c r="V794" s="2" t="s">
        <v>77</v>
      </c>
      <c r="W794" s="2">
        <v>10</v>
      </c>
      <c r="X794" s="2" t="s">
        <v>44</v>
      </c>
      <c r="Y794" s="2">
        <v>5</v>
      </c>
      <c r="Z794" s="2" t="s">
        <v>54</v>
      </c>
    </row>
    <row r="795" spans="1:26" x14ac:dyDescent="0.35">
      <c r="A795" s="2" t="s">
        <v>1397</v>
      </c>
      <c r="B795" s="3">
        <v>45772</v>
      </c>
      <c r="C795" s="2" t="s">
        <v>1144</v>
      </c>
      <c r="D795" s="2" t="s">
        <v>96</v>
      </c>
      <c r="E795" s="2" t="s">
        <v>29</v>
      </c>
      <c r="F795" s="2">
        <v>47</v>
      </c>
      <c r="G795" s="2" t="s">
        <v>42</v>
      </c>
      <c r="H795" s="2" t="s">
        <v>31</v>
      </c>
      <c r="I795" s="2" t="s">
        <v>42</v>
      </c>
      <c r="J795" s="2" t="s">
        <v>58</v>
      </c>
      <c r="K795" s="2">
        <v>3</v>
      </c>
      <c r="L795" s="2">
        <v>39349</v>
      </c>
      <c r="M795" s="2">
        <v>20</v>
      </c>
      <c r="N795" s="2">
        <v>23609.4</v>
      </c>
      <c r="O795" s="2">
        <v>16998.77</v>
      </c>
      <c r="P795" s="2">
        <v>228</v>
      </c>
      <c r="Q795" s="2">
        <v>111664.37</v>
      </c>
      <c r="R795" s="2" t="s">
        <v>33</v>
      </c>
      <c r="S795" s="2" t="s">
        <v>34</v>
      </c>
      <c r="T795" s="9" t="s">
        <v>1704</v>
      </c>
      <c r="U795" s="10" t="s">
        <v>52</v>
      </c>
      <c r="V795" s="2" t="s">
        <v>35</v>
      </c>
      <c r="W795" s="2">
        <v>2</v>
      </c>
      <c r="X795" s="2" t="s">
        <v>44</v>
      </c>
      <c r="Y795" s="2">
        <v>2</v>
      </c>
      <c r="Z795" s="2" t="s">
        <v>82</v>
      </c>
    </row>
    <row r="796" spans="1:26" x14ac:dyDescent="0.35">
      <c r="A796" s="2" t="s">
        <v>1398</v>
      </c>
      <c r="B796" s="3">
        <v>45921</v>
      </c>
      <c r="C796" s="2" t="s">
        <v>238</v>
      </c>
      <c r="D796" s="2" t="s">
        <v>80</v>
      </c>
      <c r="E796" s="2" t="s">
        <v>29</v>
      </c>
      <c r="F796" s="2">
        <v>37</v>
      </c>
      <c r="G796" s="2" t="s">
        <v>127</v>
      </c>
      <c r="H796" s="2" t="s">
        <v>31</v>
      </c>
      <c r="I796" s="2" t="s">
        <v>127</v>
      </c>
      <c r="J796" s="2" t="s">
        <v>32</v>
      </c>
      <c r="K796" s="2">
        <v>5</v>
      </c>
      <c r="L796" s="2">
        <v>10892</v>
      </c>
      <c r="M796" s="2">
        <v>20</v>
      </c>
      <c r="N796" s="2">
        <v>10892</v>
      </c>
      <c r="O796" s="2">
        <v>7842.24</v>
      </c>
      <c r="P796" s="2">
        <v>420</v>
      </c>
      <c r="Q796" s="2">
        <v>51830.239999999998</v>
      </c>
      <c r="R796" s="2" t="s">
        <v>33</v>
      </c>
      <c r="S796" s="2" t="s">
        <v>59</v>
      </c>
      <c r="T796" s="9" t="s">
        <v>1703</v>
      </c>
      <c r="U796" s="10" t="s">
        <v>1701</v>
      </c>
      <c r="V796" s="2" t="s">
        <v>35</v>
      </c>
      <c r="W796" s="2">
        <v>7</v>
      </c>
      <c r="X796" s="2" t="s">
        <v>36</v>
      </c>
      <c r="Y796" s="2">
        <v>1</v>
      </c>
      <c r="Z796" s="2" t="s">
        <v>54</v>
      </c>
    </row>
    <row r="797" spans="1:26" x14ac:dyDescent="0.35">
      <c r="A797" s="2" t="s">
        <v>1399</v>
      </c>
      <c r="B797" s="3">
        <v>45885</v>
      </c>
      <c r="C797" s="2" t="s">
        <v>1400</v>
      </c>
      <c r="D797" s="2" t="s">
        <v>57</v>
      </c>
      <c r="E797" s="2" t="s">
        <v>41</v>
      </c>
      <c r="F797" s="2">
        <v>37</v>
      </c>
      <c r="G797" s="2" t="s">
        <v>81</v>
      </c>
      <c r="H797" s="2" t="s">
        <v>31</v>
      </c>
      <c r="I797" s="2" t="s">
        <v>81</v>
      </c>
      <c r="J797" s="2" t="s">
        <v>32</v>
      </c>
      <c r="K797" s="2">
        <v>1</v>
      </c>
      <c r="L797" s="2">
        <v>22810</v>
      </c>
      <c r="M797" s="2">
        <v>10</v>
      </c>
      <c r="N797" s="2">
        <v>2281</v>
      </c>
      <c r="O797" s="2">
        <v>3695.22</v>
      </c>
      <c r="P797" s="2">
        <v>477</v>
      </c>
      <c r="Q797" s="2">
        <v>24701.22</v>
      </c>
      <c r="R797" s="2" t="s">
        <v>51</v>
      </c>
      <c r="S797" s="2" t="s">
        <v>59</v>
      </c>
      <c r="T797" s="9" t="s">
        <v>1709</v>
      </c>
      <c r="U797" s="10" t="s">
        <v>52</v>
      </c>
      <c r="V797" s="2" t="s">
        <v>53</v>
      </c>
      <c r="W797" s="2">
        <v>5</v>
      </c>
      <c r="X797" s="2" t="s">
        <v>44</v>
      </c>
      <c r="Y797" s="2">
        <v>4</v>
      </c>
      <c r="Z797" s="2" t="s">
        <v>82</v>
      </c>
    </row>
    <row r="798" spans="1:26" x14ac:dyDescent="0.35">
      <c r="A798" s="2" t="s">
        <v>1401</v>
      </c>
      <c r="B798" s="3">
        <v>45829</v>
      </c>
      <c r="C798" s="2" t="s">
        <v>1402</v>
      </c>
      <c r="D798" s="2" t="s">
        <v>47</v>
      </c>
      <c r="E798" s="2" t="s">
        <v>29</v>
      </c>
      <c r="F798" s="2">
        <v>57</v>
      </c>
      <c r="G798" s="2" t="s">
        <v>69</v>
      </c>
      <c r="H798" s="2" t="s">
        <v>31</v>
      </c>
      <c r="I798" s="2" t="s">
        <v>69</v>
      </c>
      <c r="J798" s="2" t="s">
        <v>50</v>
      </c>
      <c r="K798" s="2">
        <v>2</v>
      </c>
      <c r="L798" s="2">
        <v>14573</v>
      </c>
      <c r="M798" s="2">
        <v>20</v>
      </c>
      <c r="N798" s="2">
        <v>5829.2</v>
      </c>
      <c r="O798" s="2">
        <v>4197.0200000000004</v>
      </c>
      <c r="P798" s="2">
        <v>237</v>
      </c>
      <c r="Q798" s="2">
        <v>27750.82</v>
      </c>
      <c r="R798" s="2" t="s">
        <v>33</v>
      </c>
      <c r="S798" s="2" t="s">
        <v>59</v>
      </c>
      <c r="T798" s="9" t="s">
        <v>1708</v>
      </c>
      <c r="U798" s="10" t="s">
        <v>52</v>
      </c>
      <c r="V798" s="2" t="s">
        <v>77</v>
      </c>
      <c r="W798" s="2">
        <v>4</v>
      </c>
      <c r="X798" s="2" t="s">
        <v>44</v>
      </c>
      <c r="Y798" s="2">
        <v>2</v>
      </c>
      <c r="Z798" s="2" t="s">
        <v>54</v>
      </c>
    </row>
    <row r="799" spans="1:26" x14ac:dyDescent="0.35">
      <c r="A799" s="2" t="s">
        <v>1403</v>
      </c>
      <c r="B799" s="3">
        <v>46088</v>
      </c>
      <c r="C799" s="2" t="s">
        <v>890</v>
      </c>
      <c r="D799" s="2" t="s">
        <v>57</v>
      </c>
      <c r="E799" s="2" t="s">
        <v>41</v>
      </c>
      <c r="F799" s="2">
        <v>31</v>
      </c>
      <c r="G799" s="2" t="s">
        <v>63</v>
      </c>
      <c r="H799" s="2" t="s">
        <v>64</v>
      </c>
      <c r="I799" s="2" t="s">
        <v>63</v>
      </c>
      <c r="J799" s="2" t="s">
        <v>70</v>
      </c>
      <c r="K799" s="2">
        <v>5</v>
      </c>
      <c r="L799" s="2">
        <v>24050</v>
      </c>
      <c r="M799" s="2">
        <v>15</v>
      </c>
      <c r="N799" s="2">
        <v>18037.5</v>
      </c>
      <c r="O799" s="2">
        <v>18398.25</v>
      </c>
      <c r="P799" s="2">
        <v>437</v>
      </c>
      <c r="Q799" s="2">
        <v>121047.75</v>
      </c>
      <c r="R799" s="2" t="s">
        <v>33</v>
      </c>
      <c r="S799" s="2" t="s">
        <v>59</v>
      </c>
      <c r="T799" s="9" t="s">
        <v>1705</v>
      </c>
      <c r="U799" s="10" t="s">
        <v>1702</v>
      </c>
      <c r="V799" s="2" t="s">
        <v>53</v>
      </c>
      <c r="W799" s="2">
        <v>4</v>
      </c>
      <c r="X799" s="2" t="s">
        <v>36</v>
      </c>
      <c r="Y799" s="2">
        <v>4</v>
      </c>
      <c r="Z799" s="2" t="s">
        <v>44</v>
      </c>
    </row>
    <row r="800" spans="1:26" x14ac:dyDescent="0.35">
      <c r="A800" s="2" t="s">
        <v>1404</v>
      </c>
      <c r="B800" s="3">
        <v>46099</v>
      </c>
      <c r="C800" s="2" t="s">
        <v>1405</v>
      </c>
      <c r="D800" s="2" t="s">
        <v>80</v>
      </c>
      <c r="E800" s="2" t="s">
        <v>29</v>
      </c>
      <c r="F800" s="2">
        <v>47</v>
      </c>
      <c r="G800" s="2" t="s">
        <v>42</v>
      </c>
      <c r="H800" s="2" t="s">
        <v>31</v>
      </c>
      <c r="I800" s="2" t="s">
        <v>42</v>
      </c>
      <c r="J800" s="2" t="s">
        <v>100</v>
      </c>
      <c r="K800" s="2">
        <v>5</v>
      </c>
      <c r="L800" s="2">
        <v>48099</v>
      </c>
      <c r="M800" s="2">
        <v>5</v>
      </c>
      <c r="N800" s="2">
        <v>12024.75</v>
      </c>
      <c r="O800" s="2">
        <v>41124.639999999999</v>
      </c>
      <c r="P800" s="2">
        <v>491</v>
      </c>
      <c r="Q800" s="2">
        <v>270085.90000000002</v>
      </c>
      <c r="R800" s="2" t="s">
        <v>43</v>
      </c>
      <c r="S800" s="2" t="s">
        <v>59</v>
      </c>
      <c r="T800" s="9" t="s">
        <v>1709</v>
      </c>
      <c r="U800" s="10" t="s">
        <v>52</v>
      </c>
      <c r="V800" s="2" t="s">
        <v>53</v>
      </c>
      <c r="W800" s="2">
        <v>2</v>
      </c>
      <c r="X800" s="2" t="s">
        <v>44</v>
      </c>
      <c r="Y800" s="2">
        <v>5</v>
      </c>
      <c r="Z800" s="2" t="s">
        <v>54</v>
      </c>
    </row>
    <row r="801" spans="1:26" x14ac:dyDescent="0.35">
      <c r="A801" s="2" t="s">
        <v>1406</v>
      </c>
      <c r="B801" s="3">
        <v>45875</v>
      </c>
      <c r="C801" s="2" t="s">
        <v>1332</v>
      </c>
      <c r="D801" s="2" t="s">
        <v>73</v>
      </c>
      <c r="E801" s="2" t="s">
        <v>41</v>
      </c>
      <c r="F801" s="2">
        <v>18</v>
      </c>
      <c r="G801" s="2" t="s">
        <v>30</v>
      </c>
      <c r="H801" s="2" t="s">
        <v>31</v>
      </c>
      <c r="I801" s="2" t="s">
        <v>30</v>
      </c>
      <c r="J801" s="2" t="s">
        <v>100</v>
      </c>
      <c r="K801" s="2">
        <v>5</v>
      </c>
      <c r="L801" s="2">
        <v>37475</v>
      </c>
      <c r="M801" s="2">
        <v>10</v>
      </c>
      <c r="N801" s="2">
        <v>18737.5</v>
      </c>
      <c r="O801" s="2">
        <v>30354.75</v>
      </c>
      <c r="P801" s="2">
        <v>279</v>
      </c>
      <c r="Q801" s="2">
        <v>199271.25</v>
      </c>
      <c r="R801" s="2" t="s">
        <v>76</v>
      </c>
      <c r="S801" s="2" t="s">
        <v>59</v>
      </c>
      <c r="T801" s="9" t="s">
        <v>1706</v>
      </c>
      <c r="U801" s="10" t="s">
        <v>52</v>
      </c>
      <c r="V801" s="2" t="s">
        <v>53</v>
      </c>
      <c r="W801" s="2">
        <v>6</v>
      </c>
      <c r="X801" s="2" t="s">
        <v>44</v>
      </c>
      <c r="Y801" s="2">
        <v>4</v>
      </c>
      <c r="Z801" s="2" t="s">
        <v>82</v>
      </c>
    </row>
    <row r="802" spans="1:26" x14ac:dyDescent="0.35">
      <c r="A802" s="2" t="s">
        <v>1407</v>
      </c>
      <c r="B802" s="3">
        <v>45840</v>
      </c>
      <c r="C802" s="2" t="s">
        <v>1076</v>
      </c>
      <c r="D802" s="2" t="s">
        <v>62</v>
      </c>
      <c r="E802" s="2" t="s">
        <v>29</v>
      </c>
      <c r="F802" s="2">
        <v>58</v>
      </c>
      <c r="G802" s="2" t="s">
        <v>81</v>
      </c>
      <c r="H802" s="2" t="s">
        <v>31</v>
      </c>
      <c r="I802" s="2" t="s">
        <v>81</v>
      </c>
      <c r="J802" s="2" t="s">
        <v>65</v>
      </c>
      <c r="K802" s="2">
        <v>2</v>
      </c>
      <c r="L802" s="2">
        <v>36204</v>
      </c>
      <c r="M802" s="2">
        <v>0</v>
      </c>
      <c r="N802" s="2">
        <v>0</v>
      </c>
      <c r="O802" s="2">
        <v>13033.44</v>
      </c>
      <c r="P802" s="2">
        <v>133</v>
      </c>
      <c r="Q802" s="2">
        <v>85574.44</v>
      </c>
      <c r="R802" s="2" t="s">
        <v>43</v>
      </c>
      <c r="S802" s="2" t="s">
        <v>59</v>
      </c>
      <c r="T802" s="9" t="s">
        <v>1704</v>
      </c>
      <c r="U802" s="10" t="s">
        <v>52</v>
      </c>
      <c r="V802" s="2" t="s">
        <v>35</v>
      </c>
      <c r="W802" s="2">
        <v>6</v>
      </c>
      <c r="X802" s="2" t="s">
        <v>36</v>
      </c>
      <c r="Y802" s="2">
        <v>3</v>
      </c>
      <c r="Z802" s="2" t="s">
        <v>54</v>
      </c>
    </row>
    <row r="803" spans="1:26" x14ac:dyDescent="0.35">
      <c r="A803" s="2" t="s">
        <v>1408</v>
      </c>
      <c r="B803" s="3">
        <v>46008</v>
      </c>
      <c r="C803" s="2" t="s">
        <v>698</v>
      </c>
      <c r="D803" s="2" t="s">
        <v>68</v>
      </c>
      <c r="E803" s="2" t="s">
        <v>29</v>
      </c>
      <c r="F803" s="2">
        <v>26</v>
      </c>
      <c r="G803" s="2" t="s">
        <v>122</v>
      </c>
      <c r="H803" s="2" t="s">
        <v>31</v>
      </c>
      <c r="I803" s="2" t="s">
        <v>122</v>
      </c>
      <c r="J803" s="2" t="s">
        <v>50</v>
      </c>
      <c r="K803" s="2">
        <v>4</v>
      </c>
      <c r="L803" s="2">
        <v>38685</v>
      </c>
      <c r="M803" s="2">
        <v>0</v>
      </c>
      <c r="N803" s="2">
        <v>0</v>
      </c>
      <c r="O803" s="2">
        <v>27853.200000000001</v>
      </c>
      <c r="P803" s="2">
        <v>454</v>
      </c>
      <c r="Q803" s="2">
        <v>183047.2</v>
      </c>
      <c r="R803" s="2" t="s">
        <v>33</v>
      </c>
      <c r="S803" s="2" t="s">
        <v>34</v>
      </c>
      <c r="T803" s="9" t="s">
        <v>1705</v>
      </c>
      <c r="U803" s="10" t="s">
        <v>1702</v>
      </c>
      <c r="V803" s="2" t="s">
        <v>53</v>
      </c>
      <c r="W803" s="2">
        <v>7</v>
      </c>
      <c r="X803" s="2" t="s">
        <v>36</v>
      </c>
      <c r="Y803" s="2">
        <v>3</v>
      </c>
      <c r="Z803" s="2" t="s">
        <v>44</v>
      </c>
    </row>
    <row r="804" spans="1:26" x14ac:dyDescent="0.35">
      <c r="A804" s="2" t="s">
        <v>1409</v>
      </c>
      <c r="B804" s="3">
        <v>45888</v>
      </c>
      <c r="C804" s="2" t="s">
        <v>1410</v>
      </c>
      <c r="D804" s="2" t="s">
        <v>73</v>
      </c>
      <c r="E804" s="2" t="s">
        <v>29</v>
      </c>
      <c r="F804" s="2">
        <v>52</v>
      </c>
      <c r="G804" s="2" t="s">
        <v>69</v>
      </c>
      <c r="H804" s="2" t="s">
        <v>31</v>
      </c>
      <c r="I804" s="2" t="s">
        <v>69</v>
      </c>
      <c r="J804" s="2" t="s">
        <v>113</v>
      </c>
      <c r="K804" s="2">
        <v>3</v>
      </c>
      <c r="L804" s="2">
        <v>14708</v>
      </c>
      <c r="M804" s="2">
        <v>10</v>
      </c>
      <c r="N804" s="2">
        <v>4412.3999999999996</v>
      </c>
      <c r="O804" s="2">
        <v>7148.09</v>
      </c>
      <c r="P804" s="2">
        <v>196</v>
      </c>
      <c r="Q804" s="2">
        <v>47055.69</v>
      </c>
      <c r="R804" s="2" t="s">
        <v>51</v>
      </c>
      <c r="S804" s="2" t="s">
        <v>34</v>
      </c>
      <c r="T804" s="9" t="s">
        <v>1703</v>
      </c>
      <c r="U804" s="10" t="s">
        <v>1701</v>
      </c>
      <c r="V804" s="2" t="s">
        <v>35</v>
      </c>
      <c r="W804" s="2">
        <v>8</v>
      </c>
      <c r="X804" s="2" t="s">
        <v>44</v>
      </c>
      <c r="Y804" s="2">
        <v>3</v>
      </c>
      <c r="Z804" s="2" t="s">
        <v>44</v>
      </c>
    </row>
    <row r="805" spans="1:26" x14ac:dyDescent="0.35">
      <c r="A805" s="2" t="s">
        <v>1411</v>
      </c>
      <c r="B805" s="3">
        <v>45990</v>
      </c>
      <c r="C805" s="2" t="s">
        <v>170</v>
      </c>
      <c r="D805" s="2" t="s">
        <v>28</v>
      </c>
      <c r="E805" s="2" t="s">
        <v>41</v>
      </c>
      <c r="F805" s="2">
        <v>24</v>
      </c>
      <c r="G805" s="2" t="s">
        <v>88</v>
      </c>
      <c r="H805" s="2" t="s">
        <v>49</v>
      </c>
      <c r="I805" s="2" t="s">
        <v>88</v>
      </c>
      <c r="J805" s="2" t="s">
        <v>32</v>
      </c>
      <c r="K805" s="2">
        <v>3</v>
      </c>
      <c r="L805" s="2">
        <v>14838</v>
      </c>
      <c r="M805" s="2">
        <v>10</v>
      </c>
      <c r="N805" s="2">
        <v>4451.3999999999996</v>
      </c>
      <c r="O805" s="2">
        <v>7211.27</v>
      </c>
      <c r="P805" s="2">
        <v>147</v>
      </c>
      <c r="Q805" s="2">
        <v>47420.87</v>
      </c>
      <c r="R805" s="2" t="s">
        <v>51</v>
      </c>
      <c r="S805" s="2" t="s">
        <v>34</v>
      </c>
      <c r="T805" s="9" t="s">
        <v>1703</v>
      </c>
      <c r="U805" s="10" t="s">
        <v>1701</v>
      </c>
      <c r="V805" s="2" t="s">
        <v>35</v>
      </c>
      <c r="W805" s="2">
        <v>10</v>
      </c>
      <c r="X805" s="2" t="s">
        <v>44</v>
      </c>
      <c r="Y805" s="2">
        <v>2</v>
      </c>
      <c r="Z805" s="2" t="s">
        <v>44</v>
      </c>
    </row>
    <row r="806" spans="1:26" x14ac:dyDescent="0.35">
      <c r="A806" s="2" t="s">
        <v>1412</v>
      </c>
      <c r="B806" s="3">
        <v>45771</v>
      </c>
      <c r="C806" s="2" t="s">
        <v>805</v>
      </c>
      <c r="D806" s="2" t="s">
        <v>62</v>
      </c>
      <c r="E806" s="2" t="s">
        <v>29</v>
      </c>
      <c r="F806" s="2">
        <v>26</v>
      </c>
      <c r="G806" s="2" t="s">
        <v>30</v>
      </c>
      <c r="H806" s="2" t="s">
        <v>31</v>
      </c>
      <c r="I806" s="2" t="s">
        <v>30</v>
      </c>
      <c r="J806" s="2" t="s">
        <v>91</v>
      </c>
      <c r="K806" s="2">
        <v>4</v>
      </c>
      <c r="L806" s="2">
        <v>34698</v>
      </c>
      <c r="M806" s="2">
        <v>10</v>
      </c>
      <c r="N806" s="2">
        <v>13879.2</v>
      </c>
      <c r="O806" s="2">
        <v>22484.3</v>
      </c>
      <c r="P806" s="2">
        <v>304</v>
      </c>
      <c r="Q806" s="2">
        <v>147701.1</v>
      </c>
      <c r="R806" s="2" t="s">
        <v>51</v>
      </c>
      <c r="S806" s="2" t="s">
        <v>34</v>
      </c>
      <c r="T806" s="9" t="s">
        <v>1708</v>
      </c>
      <c r="U806" s="10" t="s">
        <v>52</v>
      </c>
      <c r="V806" s="2" t="s">
        <v>77</v>
      </c>
      <c r="W806" s="2">
        <v>1</v>
      </c>
      <c r="X806" s="2" t="s">
        <v>44</v>
      </c>
      <c r="Y806" s="2">
        <v>2</v>
      </c>
      <c r="Z806" s="2" t="s">
        <v>54</v>
      </c>
    </row>
    <row r="807" spans="1:26" x14ac:dyDescent="0.35">
      <c r="A807" s="2" t="s">
        <v>1413</v>
      </c>
      <c r="B807" s="3">
        <v>45963</v>
      </c>
      <c r="C807" s="2" t="s">
        <v>708</v>
      </c>
      <c r="D807" s="2" t="s">
        <v>62</v>
      </c>
      <c r="E807" s="2" t="s">
        <v>29</v>
      </c>
      <c r="F807" s="2">
        <v>47</v>
      </c>
      <c r="G807" s="2" t="s">
        <v>69</v>
      </c>
      <c r="H807" s="2" t="s">
        <v>31</v>
      </c>
      <c r="I807" s="2" t="s">
        <v>69</v>
      </c>
      <c r="J807" s="2" t="s">
        <v>50</v>
      </c>
      <c r="K807" s="2">
        <v>5</v>
      </c>
      <c r="L807" s="2">
        <v>46766</v>
      </c>
      <c r="M807" s="2">
        <v>10</v>
      </c>
      <c r="N807" s="2">
        <v>23383</v>
      </c>
      <c r="O807" s="2">
        <v>37880.46</v>
      </c>
      <c r="P807" s="2">
        <v>163</v>
      </c>
      <c r="Q807" s="2">
        <v>248490.46</v>
      </c>
      <c r="R807" s="2" t="s">
        <v>76</v>
      </c>
      <c r="S807" s="2" t="s">
        <v>34</v>
      </c>
      <c r="T807" s="9" t="s">
        <v>1704</v>
      </c>
      <c r="U807" s="10" t="s">
        <v>52</v>
      </c>
      <c r="V807" s="2" t="s">
        <v>35</v>
      </c>
      <c r="W807" s="2">
        <v>4</v>
      </c>
      <c r="X807" s="2" t="s">
        <v>36</v>
      </c>
      <c r="Y807" s="2">
        <v>3</v>
      </c>
      <c r="Z807" s="2" t="s">
        <v>44</v>
      </c>
    </row>
    <row r="808" spans="1:26" x14ac:dyDescent="0.35">
      <c r="A808" s="2" t="s">
        <v>1414</v>
      </c>
      <c r="B808" s="3">
        <v>45786</v>
      </c>
      <c r="C808" s="2" t="s">
        <v>1415</v>
      </c>
      <c r="D808" s="2" t="s">
        <v>40</v>
      </c>
      <c r="E808" s="2" t="s">
        <v>29</v>
      </c>
      <c r="F808" s="2">
        <v>30</v>
      </c>
      <c r="G808" s="2" t="s">
        <v>69</v>
      </c>
      <c r="H808" s="2" t="s">
        <v>31</v>
      </c>
      <c r="I808" s="2" t="s">
        <v>69</v>
      </c>
      <c r="J808" s="2" t="s">
        <v>91</v>
      </c>
      <c r="K808" s="2">
        <v>3</v>
      </c>
      <c r="L808" s="2">
        <v>644</v>
      </c>
      <c r="M808" s="2">
        <v>5</v>
      </c>
      <c r="N808" s="2">
        <v>96.6</v>
      </c>
      <c r="O808" s="2">
        <v>330.37</v>
      </c>
      <c r="P808" s="2">
        <v>253</v>
      </c>
      <c r="Q808" s="2">
        <v>2418.77</v>
      </c>
      <c r="R808" s="2" t="s">
        <v>33</v>
      </c>
      <c r="S808" s="2" t="s">
        <v>59</v>
      </c>
      <c r="T808" s="9" t="s">
        <v>1707</v>
      </c>
      <c r="U808" s="10" t="s">
        <v>1712</v>
      </c>
      <c r="V808" s="2" t="s">
        <v>53</v>
      </c>
      <c r="W808" s="2">
        <v>10</v>
      </c>
      <c r="X808" s="2" t="s">
        <v>36</v>
      </c>
      <c r="Y808" s="2">
        <v>1</v>
      </c>
      <c r="Z808" s="2" t="s">
        <v>54</v>
      </c>
    </row>
    <row r="809" spans="1:26" x14ac:dyDescent="0.35">
      <c r="A809" s="2" t="s">
        <v>1416</v>
      </c>
      <c r="B809" s="3">
        <v>45966</v>
      </c>
      <c r="C809" s="2" t="s">
        <v>1417</v>
      </c>
      <c r="D809" s="2" t="s">
        <v>40</v>
      </c>
      <c r="E809" s="2" t="s">
        <v>29</v>
      </c>
      <c r="F809" s="2">
        <v>49</v>
      </c>
      <c r="G809" s="2" t="s">
        <v>122</v>
      </c>
      <c r="H809" s="2" t="s">
        <v>31</v>
      </c>
      <c r="I809" s="2" t="s">
        <v>122</v>
      </c>
      <c r="J809" s="2" t="s">
        <v>91</v>
      </c>
      <c r="K809" s="2">
        <v>1</v>
      </c>
      <c r="L809" s="2">
        <v>7604</v>
      </c>
      <c r="M809" s="2">
        <v>10</v>
      </c>
      <c r="N809" s="2">
        <v>760.4</v>
      </c>
      <c r="O809" s="2">
        <v>1231.8499999999999</v>
      </c>
      <c r="P809" s="2">
        <v>405</v>
      </c>
      <c r="Q809" s="2">
        <v>8480.4500000000007</v>
      </c>
      <c r="R809" s="2" t="s">
        <v>51</v>
      </c>
      <c r="S809" s="2" t="s">
        <v>59</v>
      </c>
      <c r="T809" s="9" t="s">
        <v>1709</v>
      </c>
      <c r="U809" s="10" t="s">
        <v>52</v>
      </c>
      <c r="V809" s="2" t="s">
        <v>53</v>
      </c>
      <c r="W809" s="2">
        <v>8</v>
      </c>
      <c r="X809" s="2" t="s">
        <v>36</v>
      </c>
      <c r="Y809" s="2">
        <v>2</v>
      </c>
      <c r="Z809" s="2" t="s">
        <v>54</v>
      </c>
    </row>
    <row r="810" spans="1:26" x14ac:dyDescent="0.35">
      <c r="A810" s="2" t="s">
        <v>1418</v>
      </c>
      <c r="B810" s="3">
        <v>45993</v>
      </c>
      <c r="C810" s="2" t="s">
        <v>264</v>
      </c>
      <c r="D810" s="2" t="s">
        <v>73</v>
      </c>
      <c r="E810" s="2" t="s">
        <v>29</v>
      </c>
      <c r="F810" s="2">
        <v>25</v>
      </c>
      <c r="G810" s="2" t="s">
        <v>88</v>
      </c>
      <c r="H810" s="2" t="s">
        <v>49</v>
      </c>
      <c r="I810" s="2" t="s">
        <v>88</v>
      </c>
      <c r="J810" s="2" t="s">
        <v>100</v>
      </c>
      <c r="K810" s="2">
        <v>5</v>
      </c>
      <c r="L810" s="2">
        <v>19653</v>
      </c>
      <c r="M810" s="2">
        <v>0</v>
      </c>
      <c r="N810" s="2">
        <v>0</v>
      </c>
      <c r="O810" s="2">
        <v>17687.7</v>
      </c>
      <c r="P810" s="2">
        <v>309</v>
      </c>
      <c r="Q810" s="2">
        <v>116261.7</v>
      </c>
      <c r="R810" s="2" t="s">
        <v>43</v>
      </c>
      <c r="S810" s="2" t="s">
        <v>34</v>
      </c>
      <c r="T810" s="9" t="s">
        <v>1704</v>
      </c>
      <c r="U810" s="10" t="s">
        <v>52</v>
      </c>
      <c r="V810" s="2" t="s">
        <v>35</v>
      </c>
      <c r="W810" s="2">
        <v>4</v>
      </c>
      <c r="X810" s="2" t="s">
        <v>44</v>
      </c>
      <c r="Y810" s="2">
        <v>3</v>
      </c>
      <c r="Z810" s="2" t="s">
        <v>44</v>
      </c>
    </row>
    <row r="811" spans="1:26" x14ac:dyDescent="0.35">
      <c r="A811" s="2" t="s">
        <v>1419</v>
      </c>
      <c r="B811" s="3">
        <v>46035</v>
      </c>
      <c r="C811" s="2" t="s">
        <v>1420</v>
      </c>
      <c r="D811" s="2" t="s">
        <v>62</v>
      </c>
      <c r="E811" s="2" t="s">
        <v>29</v>
      </c>
      <c r="F811" s="2">
        <v>37</v>
      </c>
      <c r="G811" s="2" t="s">
        <v>69</v>
      </c>
      <c r="H811" s="2" t="s">
        <v>31</v>
      </c>
      <c r="I811" s="2" t="s">
        <v>69</v>
      </c>
      <c r="J811" s="2" t="s">
        <v>113</v>
      </c>
      <c r="K811" s="2">
        <v>2</v>
      </c>
      <c r="L811" s="2">
        <v>42230</v>
      </c>
      <c r="M811" s="2">
        <v>10</v>
      </c>
      <c r="N811" s="2">
        <v>8446</v>
      </c>
      <c r="O811" s="2">
        <v>13682.52</v>
      </c>
      <c r="P811" s="2">
        <v>156</v>
      </c>
      <c r="Q811" s="2">
        <v>89852.52</v>
      </c>
      <c r="R811" s="2" t="s">
        <v>76</v>
      </c>
      <c r="S811" s="2" t="s">
        <v>59</v>
      </c>
      <c r="T811" s="9" t="s">
        <v>1707</v>
      </c>
      <c r="U811" s="10" t="s">
        <v>1712</v>
      </c>
      <c r="V811" s="2" t="s">
        <v>53</v>
      </c>
      <c r="W811" s="2">
        <v>1</v>
      </c>
      <c r="X811" s="2" t="s">
        <v>44</v>
      </c>
      <c r="Y811" s="2">
        <v>2</v>
      </c>
      <c r="Z811" s="2" t="s">
        <v>37</v>
      </c>
    </row>
    <row r="812" spans="1:26" x14ac:dyDescent="0.35">
      <c r="A812" s="2" t="s">
        <v>1421</v>
      </c>
      <c r="B812" s="3">
        <v>45847</v>
      </c>
      <c r="C812" s="2" t="s">
        <v>1422</v>
      </c>
      <c r="D812" s="2" t="s">
        <v>47</v>
      </c>
      <c r="E812" s="2" t="s">
        <v>29</v>
      </c>
      <c r="F812" s="2">
        <v>23</v>
      </c>
      <c r="G812" s="2" t="s">
        <v>88</v>
      </c>
      <c r="H812" s="2" t="s">
        <v>49</v>
      </c>
      <c r="I812" s="2" t="s">
        <v>88</v>
      </c>
      <c r="J812" s="2" t="s">
        <v>50</v>
      </c>
      <c r="K812" s="2">
        <v>2</v>
      </c>
      <c r="L812" s="2">
        <v>29934</v>
      </c>
      <c r="M812" s="2">
        <v>20</v>
      </c>
      <c r="N812" s="2">
        <v>11973.6</v>
      </c>
      <c r="O812" s="2">
        <v>8620.99</v>
      </c>
      <c r="P812" s="2">
        <v>362</v>
      </c>
      <c r="Q812" s="2">
        <v>56877.39</v>
      </c>
      <c r="R812" s="2" t="s">
        <v>33</v>
      </c>
      <c r="S812" s="2" t="s">
        <v>59</v>
      </c>
      <c r="T812" s="9" t="s">
        <v>1703</v>
      </c>
      <c r="U812" s="10" t="s">
        <v>1701</v>
      </c>
      <c r="V812" s="2" t="s">
        <v>35</v>
      </c>
      <c r="W812" s="2">
        <v>6</v>
      </c>
      <c r="X812" s="2" t="s">
        <v>36</v>
      </c>
      <c r="Y812" s="2">
        <v>5</v>
      </c>
      <c r="Z812" s="2" t="s">
        <v>54</v>
      </c>
    </row>
    <row r="813" spans="1:26" x14ac:dyDescent="0.35">
      <c r="A813" s="2" t="s">
        <v>1423</v>
      </c>
      <c r="B813" s="3">
        <v>45817</v>
      </c>
      <c r="C813" s="2" t="s">
        <v>248</v>
      </c>
      <c r="D813" s="2" t="s">
        <v>99</v>
      </c>
      <c r="E813" s="2" t="s">
        <v>29</v>
      </c>
      <c r="F813" s="2">
        <v>27</v>
      </c>
      <c r="G813" s="2" t="s">
        <v>63</v>
      </c>
      <c r="H813" s="2" t="s">
        <v>64</v>
      </c>
      <c r="I813" s="2" t="s">
        <v>63</v>
      </c>
      <c r="J813" s="2" t="s">
        <v>58</v>
      </c>
      <c r="K813" s="2">
        <v>1</v>
      </c>
      <c r="L813" s="2">
        <v>28168</v>
      </c>
      <c r="M813" s="2">
        <v>10</v>
      </c>
      <c r="N813" s="2">
        <v>2816.8</v>
      </c>
      <c r="O813" s="2">
        <v>4563.22</v>
      </c>
      <c r="P813" s="2">
        <v>158</v>
      </c>
      <c r="Q813" s="2">
        <v>30072.42</v>
      </c>
      <c r="R813" s="2" t="s">
        <v>33</v>
      </c>
      <c r="S813" s="2" t="s">
        <v>59</v>
      </c>
      <c r="T813" s="9" t="s">
        <v>1709</v>
      </c>
      <c r="U813" s="10" t="s">
        <v>52</v>
      </c>
      <c r="V813" s="2" t="s">
        <v>53</v>
      </c>
      <c r="W813" s="2">
        <v>5</v>
      </c>
      <c r="X813" s="2" t="s">
        <v>44</v>
      </c>
      <c r="Y813" s="2">
        <v>2</v>
      </c>
      <c r="Z813" s="2" t="s">
        <v>44</v>
      </c>
    </row>
    <row r="814" spans="1:26" x14ac:dyDescent="0.35">
      <c r="A814" s="2" t="s">
        <v>1424</v>
      </c>
      <c r="B814" s="3">
        <v>45977</v>
      </c>
      <c r="C814" s="2" t="s">
        <v>1425</v>
      </c>
      <c r="D814" s="2" t="s">
        <v>47</v>
      </c>
      <c r="E814" s="2" t="s">
        <v>41</v>
      </c>
      <c r="F814" s="2">
        <v>36</v>
      </c>
      <c r="G814" s="2" t="s">
        <v>30</v>
      </c>
      <c r="H814" s="2" t="s">
        <v>31</v>
      </c>
      <c r="I814" s="2" t="s">
        <v>30</v>
      </c>
      <c r="J814" s="2" t="s">
        <v>138</v>
      </c>
      <c r="K814" s="2">
        <v>4</v>
      </c>
      <c r="L814" s="2">
        <v>35314</v>
      </c>
      <c r="M814" s="2">
        <v>5</v>
      </c>
      <c r="N814" s="2">
        <v>7062.8</v>
      </c>
      <c r="O814" s="2">
        <v>24154.78</v>
      </c>
      <c r="P814" s="2">
        <v>456</v>
      </c>
      <c r="Q814" s="2">
        <v>158803.98000000001</v>
      </c>
      <c r="R814" s="2" t="s">
        <v>51</v>
      </c>
      <c r="S814" s="2" t="s">
        <v>34</v>
      </c>
      <c r="T814" s="9" t="s">
        <v>1706</v>
      </c>
      <c r="U814" s="10" t="s">
        <v>52</v>
      </c>
      <c r="V814" s="2" t="s">
        <v>53</v>
      </c>
      <c r="W814" s="2">
        <v>2</v>
      </c>
      <c r="X814" s="2" t="s">
        <v>36</v>
      </c>
      <c r="Y814" s="2">
        <v>5</v>
      </c>
      <c r="Z814" s="2" t="s">
        <v>82</v>
      </c>
    </row>
    <row r="815" spans="1:26" x14ac:dyDescent="0.35">
      <c r="A815" s="2" t="s">
        <v>1426</v>
      </c>
      <c r="B815" s="3">
        <v>45949</v>
      </c>
      <c r="C815" s="2" t="s">
        <v>148</v>
      </c>
      <c r="D815" s="2" t="s">
        <v>47</v>
      </c>
      <c r="E815" s="2" t="s">
        <v>41</v>
      </c>
      <c r="F815" s="2">
        <v>55</v>
      </c>
      <c r="G815" s="2" t="s">
        <v>85</v>
      </c>
      <c r="H815" s="2" t="s">
        <v>31</v>
      </c>
      <c r="I815" s="2" t="s">
        <v>85</v>
      </c>
      <c r="J815" s="2" t="s">
        <v>70</v>
      </c>
      <c r="K815" s="2">
        <v>1</v>
      </c>
      <c r="L815" s="2">
        <v>27249</v>
      </c>
      <c r="M815" s="2">
        <v>20</v>
      </c>
      <c r="N815" s="2">
        <v>5449.8</v>
      </c>
      <c r="O815" s="2">
        <v>3923.86</v>
      </c>
      <c r="P815" s="2">
        <v>475</v>
      </c>
      <c r="Q815" s="2">
        <v>26198.06</v>
      </c>
      <c r="R815" s="2" t="s">
        <v>33</v>
      </c>
      <c r="S815" s="2" t="s">
        <v>59</v>
      </c>
      <c r="T815" s="9" t="s">
        <v>1710</v>
      </c>
      <c r="U815" s="10" t="s">
        <v>1711</v>
      </c>
      <c r="V815" s="2" t="s">
        <v>53</v>
      </c>
      <c r="W815" s="2">
        <v>5</v>
      </c>
      <c r="X815" s="2" t="s">
        <v>36</v>
      </c>
      <c r="Y815" s="2">
        <v>1</v>
      </c>
      <c r="Z815" s="2" t="s">
        <v>37</v>
      </c>
    </row>
    <row r="816" spans="1:26" x14ac:dyDescent="0.35">
      <c r="A816" s="2" t="s">
        <v>1427</v>
      </c>
      <c r="B816" s="3">
        <v>45761</v>
      </c>
      <c r="C816" s="2" t="s">
        <v>319</v>
      </c>
      <c r="D816" s="2" t="s">
        <v>57</v>
      </c>
      <c r="E816" s="2" t="s">
        <v>41</v>
      </c>
      <c r="F816" s="2">
        <v>29</v>
      </c>
      <c r="G816" s="2" t="s">
        <v>48</v>
      </c>
      <c r="H816" s="2" t="s">
        <v>49</v>
      </c>
      <c r="I816" s="2" t="s">
        <v>48</v>
      </c>
      <c r="J816" s="2" t="s">
        <v>138</v>
      </c>
      <c r="K816" s="2">
        <v>3</v>
      </c>
      <c r="L816" s="2">
        <v>49236</v>
      </c>
      <c r="M816" s="2">
        <v>10</v>
      </c>
      <c r="N816" s="2">
        <v>14770.8</v>
      </c>
      <c r="O816" s="2">
        <v>23928.7</v>
      </c>
      <c r="P816" s="2">
        <v>256</v>
      </c>
      <c r="Q816" s="2">
        <v>157121.9</v>
      </c>
      <c r="R816" s="2" t="s">
        <v>51</v>
      </c>
      <c r="S816" s="2" t="s">
        <v>34</v>
      </c>
      <c r="T816" s="9" t="s">
        <v>1705</v>
      </c>
      <c r="U816" s="10" t="s">
        <v>1702</v>
      </c>
      <c r="V816" s="2" t="s">
        <v>53</v>
      </c>
      <c r="W816" s="2">
        <v>3</v>
      </c>
      <c r="X816" s="2" t="s">
        <v>36</v>
      </c>
      <c r="Y816" s="2">
        <v>3</v>
      </c>
      <c r="Z816" s="2" t="s">
        <v>82</v>
      </c>
    </row>
    <row r="817" spans="1:26" x14ac:dyDescent="0.35">
      <c r="A817" s="2" t="s">
        <v>1428</v>
      </c>
      <c r="B817" s="3">
        <v>46003</v>
      </c>
      <c r="C817" s="2" t="s">
        <v>775</v>
      </c>
      <c r="D817" s="2" t="s">
        <v>57</v>
      </c>
      <c r="E817" s="2" t="s">
        <v>41</v>
      </c>
      <c r="F817" s="2">
        <v>26</v>
      </c>
      <c r="G817" s="2" t="s">
        <v>63</v>
      </c>
      <c r="H817" s="2" t="s">
        <v>64</v>
      </c>
      <c r="I817" s="2" t="s">
        <v>63</v>
      </c>
      <c r="J817" s="2" t="s">
        <v>113</v>
      </c>
      <c r="K817" s="2">
        <v>1</v>
      </c>
      <c r="L817" s="2">
        <v>30859</v>
      </c>
      <c r="M817" s="2">
        <v>5</v>
      </c>
      <c r="N817" s="2">
        <v>1542.95</v>
      </c>
      <c r="O817" s="2">
        <v>5276.89</v>
      </c>
      <c r="P817" s="2">
        <v>480</v>
      </c>
      <c r="Q817" s="2">
        <v>35072.94</v>
      </c>
      <c r="R817" s="2" t="s">
        <v>51</v>
      </c>
      <c r="S817" s="2" t="s">
        <v>59</v>
      </c>
      <c r="T817" s="9" t="s">
        <v>1703</v>
      </c>
      <c r="U817" s="10" t="s">
        <v>1701</v>
      </c>
      <c r="V817" s="2" t="s">
        <v>35</v>
      </c>
      <c r="W817" s="2">
        <v>4</v>
      </c>
      <c r="X817" s="2" t="s">
        <v>36</v>
      </c>
      <c r="Y817" s="2">
        <v>4</v>
      </c>
      <c r="Z817" s="2" t="s">
        <v>54</v>
      </c>
    </row>
    <row r="818" spans="1:26" x14ac:dyDescent="0.35">
      <c r="A818" s="2" t="s">
        <v>1429</v>
      </c>
      <c r="B818" s="3">
        <v>45825</v>
      </c>
      <c r="C818" s="2" t="s">
        <v>910</v>
      </c>
      <c r="D818" s="2" t="s">
        <v>80</v>
      </c>
      <c r="E818" s="2" t="s">
        <v>41</v>
      </c>
      <c r="F818" s="2">
        <v>44</v>
      </c>
      <c r="G818" s="2" t="s">
        <v>88</v>
      </c>
      <c r="H818" s="2" t="s">
        <v>49</v>
      </c>
      <c r="I818" s="2" t="s">
        <v>88</v>
      </c>
      <c r="J818" s="2" t="s">
        <v>70</v>
      </c>
      <c r="K818" s="2">
        <v>4</v>
      </c>
      <c r="L818" s="2">
        <v>37642</v>
      </c>
      <c r="M818" s="2">
        <v>15</v>
      </c>
      <c r="N818" s="2">
        <v>22585.200000000001</v>
      </c>
      <c r="O818" s="2">
        <v>23036.9</v>
      </c>
      <c r="P818" s="2">
        <v>32</v>
      </c>
      <c r="Q818" s="2">
        <v>151051.70000000001</v>
      </c>
      <c r="R818" s="2" t="s">
        <v>43</v>
      </c>
      <c r="S818" s="2" t="s">
        <v>34</v>
      </c>
      <c r="T818" s="9" t="s">
        <v>1706</v>
      </c>
      <c r="U818" s="10" t="s">
        <v>52</v>
      </c>
      <c r="V818" s="2" t="s">
        <v>53</v>
      </c>
      <c r="W818" s="2">
        <v>1</v>
      </c>
      <c r="X818" s="2" t="s">
        <v>36</v>
      </c>
      <c r="Y818" s="2">
        <v>5</v>
      </c>
      <c r="Z818" s="2" t="s">
        <v>37</v>
      </c>
    </row>
    <row r="819" spans="1:26" x14ac:dyDescent="0.35">
      <c r="A819" s="2" t="s">
        <v>1430</v>
      </c>
      <c r="B819" s="3">
        <v>45857</v>
      </c>
      <c r="C819" s="2" t="s">
        <v>1431</v>
      </c>
      <c r="D819" s="2" t="s">
        <v>96</v>
      </c>
      <c r="E819" s="2" t="s">
        <v>29</v>
      </c>
      <c r="F819" s="2">
        <v>23</v>
      </c>
      <c r="G819" s="2" t="s">
        <v>85</v>
      </c>
      <c r="H819" s="2" t="s">
        <v>31</v>
      </c>
      <c r="I819" s="2" t="s">
        <v>85</v>
      </c>
      <c r="J819" s="2" t="s">
        <v>91</v>
      </c>
      <c r="K819" s="2">
        <v>5</v>
      </c>
      <c r="L819" s="2">
        <v>48628</v>
      </c>
      <c r="M819" s="2">
        <v>15</v>
      </c>
      <c r="N819" s="2">
        <v>36471</v>
      </c>
      <c r="O819" s="2">
        <v>37200.42</v>
      </c>
      <c r="P819" s="2">
        <v>224</v>
      </c>
      <c r="Q819" s="2">
        <v>244093.42</v>
      </c>
      <c r="R819" s="2" t="s">
        <v>51</v>
      </c>
      <c r="S819" s="2" t="s">
        <v>34</v>
      </c>
      <c r="T819" s="9" t="s">
        <v>1705</v>
      </c>
      <c r="U819" s="10" t="s">
        <v>1702</v>
      </c>
      <c r="V819" s="2" t="s">
        <v>53</v>
      </c>
      <c r="W819" s="2">
        <v>9</v>
      </c>
      <c r="X819" s="2" t="s">
        <v>44</v>
      </c>
      <c r="Y819" s="2">
        <v>2</v>
      </c>
      <c r="Z819" s="2" t="s">
        <v>37</v>
      </c>
    </row>
    <row r="820" spans="1:26" x14ac:dyDescent="0.35">
      <c r="A820" s="2" t="s">
        <v>1432</v>
      </c>
      <c r="B820" s="3">
        <v>45786</v>
      </c>
      <c r="C820" s="2" t="s">
        <v>414</v>
      </c>
      <c r="D820" s="2" t="s">
        <v>99</v>
      </c>
      <c r="E820" s="2" t="s">
        <v>29</v>
      </c>
      <c r="F820" s="2">
        <v>49</v>
      </c>
      <c r="G820" s="2" t="s">
        <v>127</v>
      </c>
      <c r="H820" s="2" t="s">
        <v>31</v>
      </c>
      <c r="I820" s="2" t="s">
        <v>127</v>
      </c>
      <c r="J820" s="2" t="s">
        <v>32</v>
      </c>
      <c r="K820" s="2">
        <v>5</v>
      </c>
      <c r="L820" s="2">
        <v>16368</v>
      </c>
      <c r="M820" s="2">
        <v>15</v>
      </c>
      <c r="N820" s="2">
        <v>12276</v>
      </c>
      <c r="O820" s="2">
        <v>12521.52</v>
      </c>
      <c r="P820" s="2">
        <v>443</v>
      </c>
      <c r="Q820" s="2">
        <v>82528.52</v>
      </c>
      <c r="R820" s="2" t="s">
        <v>43</v>
      </c>
      <c r="S820" s="2" t="s">
        <v>59</v>
      </c>
      <c r="T820" s="9" t="s">
        <v>1706</v>
      </c>
      <c r="U820" s="10" t="s">
        <v>52</v>
      </c>
      <c r="V820" s="2" t="s">
        <v>53</v>
      </c>
      <c r="W820" s="2">
        <v>8</v>
      </c>
      <c r="X820" s="2" t="s">
        <v>44</v>
      </c>
      <c r="Y820" s="2">
        <v>2</v>
      </c>
      <c r="Z820" s="2" t="s">
        <v>44</v>
      </c>
    </row>
    <row r="821" spans="1:26" x14ac:dyDescent="0.35">
      <c r="A821" s="2" t="s">
        <v>1433</v>
      </c>
      <c r="B821" s="3">
        <v>45913</v>
      </c>
      <c r="C821" s="2" t="s">
        <v>1169</v>
      </c>
      <c r="D821" s="2" t="s">
        <v>28</v>
      </c>
      <c r="E821" s="2" t="s">
        <v>29</v>
      </c>
      <c r="F821" s="2">
        <v>37</v>
      </c>
      <c r="G821" s="2" t="s">
        <v>42</v>
      </c>
      <c r="H821" s="2" t="s">
        <v>31</v>
      </c>
      <c r="I821" s="2" t="s">
        <v>42</v>
      </c>
      <c r="J821" s="2" t="s">
        <v>100</v>
      </c>
      <c r="K821" s="2">
        <v>2</v>
      </c>
      <c r="L821" s="2">
        <v>31757</v>
      </c>
      <c r="M821" s="2">
        <v>0</v>
      </c>
      <c r="N821" s="2">
        <v>0</v>
      </c>
      <c r="O821" s="2">
        <v>11432.52</v>
      </c>
      <c r="P821" s="2">
        <v>191</v>
      </c>
      <c r="Q821" s="2">
        <v>75137.52</v>
      </c>
      <c r="R821" s="2" t="s">
        <v>43</v>
      </c>
      <c r="S821" s="2" t="s">
        <v>34</v>
      </c>
      <c r="T821" s="9" t="s">
        <v>1705</v>
      </c>
      <c r="U821" s="10" t="s">
        <v>1702</v>
      </c>
      <c r="V821" s="2" t="s">
        <v>53</v>
      </c>
      <c r="W821" s="2">
        <v>3</v>
      </c>
      <c r="X821" s="2" t="s">
        <v>36</v>
      </c>
      <c r="Y821" s="2">
        <v>3</v>
      </c>
      <c r="Z821" s="2" t="s">
        <v>44</v>
      </c>
    </row>
    <row r="822" spans="1:26" x14ac:dyDescent="0.35">
      <c r="A822" s="2" t="s">
        <v>1434</v>
      </c>
      <c r="B822" s="3">
        <v>45853</v>
      </c>
      <c r="C822" s="2" t="s">
        <v>1435</v>
      </c>
      <c r="D822" s="2" t="s">
        <v>68</v>
      </c>
      <c r="E822" s="2" t="s">
        <v>41</v>
      </c>
      <c r="F822" s="2">
        <v>29</v>
      </c>
      <c r="G822" s="2" t="s">
        <v>81</v>
      </c>
      <c r="H822" s="2" t="s">
        <v>31</v>
      </c>
      <c r="I822" s="2" t="s">
        <v>81</v>
      </c>
      <c r="J822" s="2" t="s">
        <v>70</v>
      </c>
      <c r="K822" s="2">
        <v>4</v>
      </c>
      <c r="L822" s="2">
        <v>37757</v>
      </c>
      <c r="M822" s="2">
        <v>10</v>
      </c>
      <c r="N822" s="2">
        <v>15102.8</v>
      </c>
      <c r="O822" s="2">
        <v>24466.54</v>
      </c>
      <c r="P822" s="2">
        <v>430</v>
      </c>
      <c r="Q822" s="2">
        <v>160821.74</v>
      </c>
      <c r="R822" s="2" t="s">
        <v>76</v>
      </c>
      <c r="S822" s="2" t="s">
        <v>59</v>
      </c>
      <c r="T822" s="9" t="s">
        <v>1706</v>
      </c>
      <c r="U822" s="10" t="s">
        <v>52</v>
      </c>
      <c r="V822" s="2" t="s">
        <v>53</v>
      </c>
      <c r="W822" s="2">
        <v>3</v>
      </c>
      <c r="X822" s="2" t="s">
        <v>44</v>
      </c>
      <c r="Y822" s="2">
        <v>4</v>
      </c>
      <c r="Z822" s="2" t="s">
        <v>44</v>
      </c>
    </row>
    <row r="823" spans="1:26" x14ac:dyDescent="0.35">
      <c r="A823" s="2" t="s">
        <v>1436</v>
      </c>
      <c r="B823" s="3">
        <v>46020</v>
      </c>
      <c r="C823" s="2" t="s">
        <v>202</v>
      </c>
      <c r="D823" s="2" t="s">
        <v>47</v>
      </c>
      <c r="E823" s="2" t="s">
        <v>41</v>
      </c>
      <c r="F823" s="2">
        <v>55</v>
      </c>
      <c r="G823" s="2" t="s">
        <v>127</v>
      </c>
      <c r="H823" s="2" t="s">
        <v>31</v>
      </c>
      <c r="I823" s="2" t="s">
        <v>127</v>
      </c>
      <c r="J823" s="2" t="s">
        <v>138</v>
      </c>
      <c r="K823" s="2">
        <v>2</v>
      </c>
      <c r="L823" s="2">
        <v>42743</v>
      </c>
      <c r="M823" s="2">
        <v>5</v>
      </c>
      <c r="N823" s="2">
        <v>4274.3</v>
      </c>
      <c r="O823" s="2">
        <v>14618.11</v>
      </c>
      <c r="P823" s="2">
        <v>473</v>
      </c>
      <c r="Q823" s="2">
        <v>96302.81</v>
      </c>
      <c r="R823" s="2" t="s">
        <v>51</v>
      </c>
      <c r="S823" s="2" t="s">
        <v>59</v>
      </c>
      <c r="T823" s="9" t="s">
        <v>1706</v>
      </c>
      <c r="U823" s="10" t="s">
        <v>52</v>
      </c>
      <c r="V823" s="2" t="s">
        <v>53</v>
      </c>
      <c r="W823" s="2">
        <v>9</v>
      </c>
      <c r="X823" s="2" t="s">
        <v>44</v>
      </c>
      <c r="Y823" s="2">
        <v>4</v>
      </c>
      <c r="Z823" s="2" t="s">
        <v>82</v>
      </c>
    </row>
    <row r="824" spans="1:26" x14ac:dyDescent="0.35">
      <c r="A824" s="2" t="s">
        <v>1437</v>
      </c>
      <c r="B824" s="3">
        <v>45849</v>
      </c>
      <c r="C824" s="2" t="s">
        <v>645</v>
      </c>
      <c r="D824" s="2" t="s">
        <v>57</v>
      </c>
      <c r="E824" s="2" t="s">
        <v>29</v>
      </c>
      <c r="F824" s="2">
        <v>58</v>
      </c>
      <c r="G824" s="2" t="s">
        <v>69</v>
      </c>
      <c r="H824" s="2" t="s">
        <v>31</v>
      </c>
      <c r="I824" s="2" t="s">
        <v>69</v>
      </c>
      <c r="J824" s="2" t="s">
        <v>91</v>
      </c>
      <c r="K824" s="2">
        <v>3</v>
      </c>
      <c r="L824" s="2">
        <v>20225</v>
      </c>
      <c r="M824" s="2">
        <v>10</v>
      </c>
      <c r="N824" s="2">
        <v>6067.5</v>
      </c>
      <c r="O824" s="2">
        <v>9829.35</v>
      </c>
      <c r="P824" s="2">
        <v>463</v>
      </c>
      <c r="Q824" s="2">
        <v>64899.85</v>
      </c>
      <c r="R824" s="2" t="s">
        <v>43</v>
      </c>
      <c r="S824" s="2" t="s">
        <v>59</v>
      </c>
      <c r="T824" s="9" t="s">
        <v>1706</v>
      </c>
      <c r="U824" s="10" t="s">
        <v>52</v>
      </c>
      <c r="V824" s="2" t="s">
        <v>53</v>
      </c>
      <c r="W824" s="2">
        <v>9</v>
      </c>
      <c r="X824" s="2" t="s">
        <v>44</v>
      </c>
      <c r="Y824" s="2">
        <v>1</v>
      </c>
      <c r="Z824" s="2" t="s">
        <v>54</v>
      </c>
    </row>
    <row r="825" spans="1:26" x14ac:dyDescent="0.35">
      <c r="A825" s="2" t="s">
        <v>1438</v>
      </c>
      <c r="B825" s="3">
        <v>46063</v>
      </c>
      <c r="C825" s="2" t="s">
        <v>766</v>
      </c>
      <c r="D825" s="2" t="s">
        <v>28</v>
      </c>
      <c r="E825" s="2" t="s">
        <v>41</v>
      </c>
      <c r="F825" s="2">
        <v>49</v>
      </c>
      <c r="G825" s="2" t="s">
        <v>48</v>
      </c>
      <c r="H825" s="2" t="s">
        <v>49</v>
      </c>
      <c r="I825" s="2" t="s">
        <v>48</v>
      </c>
      <c r="J825" s="2" t="s">
        <v>100</v>
      </c>
      <c r="K825" s="2">
        <v>2</v>
      </c>
      <c r="L825" s="2">
        <v>8375</v>
      </c>
      <c r="M825" s="2">
        <v>15</v>
      </c>
      <c r="N825" s="2">
        <v>2512.5</v>
      </c>
      <c r="O825" s="2">
        <v>2562.75</v>
      </c>
      <c r="P825" s="2">
        <v>470</v>
      </c>
      <c r="Q825" s="2">
        <v>17270.25</v>
      </c>
      <c r="R825" s="2" t="s">
        <v>43</v>
      </c>
      <c r="S825" s="2" t="s">
        <v>34</v>
      </c>
      <c r="T825" s="9" t="s">
        <v>1708</v>
      </c>
      <c r="U825" s="10" t="s">
        <v>52</v>
      </c>
      <c r="V825" s="2" t="s">
        <v>77</v>
      </c>
      <c r="W825" s="2">
        <v>1</v>
      </c>
      <c r="X825" s="2" t="s">
        <v>36</v>
      </c>
      <c r="Y825" s="2">
        <v>3</v>
      </c>
      <c r="Z825" s="2" t="s">
        <v>82</v>
      </c>
    </row>
    <row r="826" spans="1:26" x14ac:dyDescent="0.35">
      <c r="A826" s="2" t="s">
        <v>1439</v>
      </c>
      <c r="B826" s="3">
        <v>45803</v>
      </c>
      <c r="C826" s="2" t="s">
        <v>1440</v>
      </c>
      <c r="D826" s="2" t="s">
        <v>68</v>
      </c>
      <c r="E826" s="2" t="s">
        <v>41</v>
      </c>
      <c r="F826" s="2">
        <v>58</v>
      </c>
      <c r="G826" s="2" t="s">
        <v>81</v>
      </c>
      <c r="H826" s="2" t="s">
        <v>31</v>
      </c>
      <c r="I826" s="2" t="s">
        <v>81</v>
      </c>
      <c r="J826" s="2" t="s">
        <v>50</v>
      </c>
      <c r="K826" s="2">
        <v>1</v>
      </c>
      <c r="L826" s="2">
        <v>5347</v>
      </c>
      <c r="M826" s="2">
        <v>10</v>
      </c>
      <c r="N826" s="2">
        <v>534.70000000000005</v>
      </c>
      <c r="O826" s="2">
        <v>866.21</v>
      </c>
      <c r="P826" s="2">
        <v>428</v>
      </c>
      <c r="Q826" s="2">
        <v>6106.51</v>
      </c>
      <c r="R826" s="2" t="s">
        <v>76</v>
      </c>
      <c r="S826" s="2" t="s">
        <v>59</v>
      </c>
      <c r="T826" s="9" t="s">
        <v>1709</v>
      </c>
      <c r="U826" s="10" t="s">
        <v>52</v>
      </c>
      <c r="V826" s="2" t="s">
        <v>53</v>
      </c>
      <c r="W826" s="2">
        <v>2</v>
      </c>
      <c r="X826" s="2" t="s">
        <v>36</v>
      </c>
      <c r="Y826" s="2">
        <v>4</v>
      </c>
      <c r="Z826" s="2" t="s">
        <v>82</v>
      </c>
    </row>
    <row r="827" spans="1:26" x14ac:dyDescent="0.35">
      <c r="A827" s="2" t="s">
        <v>1441</v>
      </c>
      <c r="B827" s="3">
        <v>46092</v>
      </c>
      <c r="C827" s="2" t="s">
        <v>1442</v>
      </c>
      <c r="D827" s="2" t="s">
        <v>68</v>
      </c>
      <c r="E827" s="2" t="s">
        <v>41</v>
      </c>
      <c r="F827" s="2">
        <v>19</v>
      </c>
      <c r="G827" s="2" t="s">
        <v>88</v>
      </c>
      <c r="H827" s="2" t="s">
        <v>49</v>
      </c>
      <c r="I827" s="2" t="s">
        <v>88</v>
      </c>
      <c r="J827" s="2" t="s">
        <v>91</v>
      </c>
      <c r="K827" s="2">
        <v>2</v>
      </c>
      <c r="L827" s="2">
        <v>24967</v>
      </c>
      <c r="M827" s="2">
        <v>10</v>
      </c>
      <c r="N827" s="2">
        <v>4993.3999999999996</v>
      </c>
      <c r="O827" s="2">
        <v>8089.31</v>
      </c>
      <c r="P827" s="2">
        <v>104</v>
      </c>
      <c r="Q827" s="2">
        <v>53133.91</v>
      </c>
      <c r="R827" s="2" t="s">
        <v>51</v>
      </c>
      <c r="S827" s="2" t="s">
        <v>34</v>
      </c>
      <c r="T827" s="9" t="s">
        <v>1707</v>
      </c>
      <c r="U827" s="10" t="s">
        <v>1712</v>
      </c>
      <c r="V827" s="2" t="s">
        <v>53</v>
      </c>
      <c r="W827" s="2">
        <v>1</v>
      </c>
      <c r="X827" s="2" t="s">
        <v>36</v>
      </c>
      <c r="Y827" s="2">
        <v>4</v>
      </c>
      <c r="Z827" s="2" t="s">
        <v>54</v>
      </c>
    </row>
    <row r="828" spans="1:26" x14ac:dyDescent="0.35">
      <c r="A828" s="2" t="s">
        <v>1443</v>
      </c>
      <c r="B828" s="3">
        <v>46043</v>
      </c>
      <c r="C828" s="2" t="s">
        <v>863</v>
      </c>
      <c r="D828" s="2" t="s">
        <v>73</v>
      </c>
      <c r="E828" s="2" t="s">
        <v>41</v>
      </c>
      <c r="F828" s="2">
        <v>38</v>
      </c>
      <c r="G828" s="2" t="s">
        <v>48</v>
      </c>
      <c r="H828" s="2" t="s">
        <v>49</v>
      </c>
      <c r="I828" s="2" t="s">
        <v>48</v>
      </c>
      <c r="J828" s="2" t="s">
        <v>50</v>
      </c>
      <c r="K828" s="2">
        <v>4</v>
      </c>
      <c r="L828" s="2">
        <v>33363</v>
      </c>
      <c r="M828" s="2">
        <v>0</v>
      </c>
      <c r="N828" s="2">
        <v>0</v>
      </c>
      <c r="O828" s="2">
        <v>24021.360000000001</v>
      </c>
      <c r="P828" s="2">
        <v>353</v>
      </c>
      <c r="Q828" s="2">
        <v>157826.35999999999</v>
      </c>
      <c r="R828" s="2" t="s">
        <v>76</v>
      </c>
      <c r="S828" s="2" t="s">
        <v>59</v>
      </c>
      <c r="T828" s="9" t="s">
        <v>1706</v>
      </c>
      <c r="U828" s="10" t="s">
        <v>52</v>
      </c>
      <c r="V828" s="2" t="s">
        <v>53</v>
      </c>
      <c r="W828" s="2">
        <v>1</v>
      </c>
      <c r="X828" s="2" t="s">
        <v>36</v>
      </c>
      <c r="Y828" s="2">
        <v>2</v>
      </c>
      <c r="Z828" s="2" t="s">
        <v>82</v>
      </c>
    </row>
    <row r="829" spans="1:26" x14ac:dyDescent="0.35">
      <c r="A829" s="2" t="s">
        <v>1444</v>
      </c>
      <c r="B829" s="3">
        <v>45887</v>
      </c>
      <c r="C829" s="2" t="s">
        <v>119</v>
      </c>
      <c r="D829" s="2" t="s">
        <v>40</v>
      </c>
      <c r="E829" s="2" t="s">
        <v>41</v>
      </c>
      <c r="F829" s="2">
        <v>38</v>
      </c>
      <c r="G829" s="2" t="s">
        <v>48</v>
      </c>
      <c r="H829" s="2" t="s">
        <v>49</v>
      </c>
      <c r="I829" s="2" t="s">
        <v>48</v>
      </c>
      <c r="J829" s="2" t="s">
        <v>190</v>
      </c>
      <c r="K829" s="2">
        <v>3</v>
      </c>
      <c r="L829" s="2">
        <v>11118</v>
      </c>
      <c r="M829" s="2">
        <v>15</v>
      </c>
      <c r="N829" s="2">
        <v>5003.1000000000004</v>
      </c>
      <c r="O829" s="2">
        <v>5103.16</v>
      </c>
      <c r="P829" s="2">
        <v>443</v>
      </c>
      <c r="Q829" s="2">
        <v>33897.06</v>
      </c>
      <c r="R829" s="2" t="s">
        <v>76</v>
      </c>
      <c r="S829" s="2" t="s">
        <v>59</v>
      </c>
      <c r="T829" s="9" t="s">
        <v>1708</v>
      </c>
      <c r="U829" s="10" t="s">
        <v>52</v>
      </c>
      <c r="V829" s="2" t="s">
        <v>77</v>
      </c>
      <c r="W829" s="2">
        <v>8</v>
      </c>
      <c r="X829" s="2" t="s">
        <v>36</v>
      </c>
      <c r="Y829" s="2">
        <v>3</v>
      </c>
      <c r="Z829" s="2" t="s">
        <v>82</v>
      </c>
    </row>
    <row r="830" spans="1:26" x14ac:dyDescent="0.35">
      <c r="A830" s="2" t="s">
        <v>1445</v>
      </c>
      <c r="B830" s="3">
        <v>45763</v>
      </c>
      <c r="C830" s="2" t="s">
        <v>1446</v>
      </c>
      <c r="D830" s="2" t="s">
        <v>62</v>
      </c>
      <c r="E830" s="2" t="s">
        <v>41</v>
      </c>
      <c r="F830" s="2">
        <v>59</v>
      </c>
      <c r="G830" s="2" t="s">
        <v>88</v>
      </c>
      <c r="H830" s="2" t="s">
        <v>49</v>
      </c>
      <c r="I830" s="2" t="s">
        <v>88</v>
      </c>
      <c r="J830" s="2" t="s">
        <v>32</v>
      </c>
      <c r="K830" s="2">
        <v>1</v>
      </c>
      <c r="L830" s="2">
        <v>34518</v>
      </c>
      <c r="M830" s="2">
        <v>0</v>
      </c>
      <c r="N830" s="2">
        <v>0</v>
      </c>
      <c r="O830" s="2">
        <v>6213.24</v>
      </c>
      <c r="P830" s="2">
        <v>91</v>
      </c>
      <c r="Q830" s="2">
        <v>40822.239999999998</v>
      </c>
      <c r="R830" s="2" t="s">
        <v>51</v>
      </c>
      <c r="S830" s="2" t="s">
        <v>59</v>
      </c>
      <c r="T830" s="9" t="s">
        <v>1707</v>
      </c>
      <c r="U830" s="10" t="s">
        <v>1712</v>
      </c>
      <c r="V830" s="2" t="s">
        <v>53</v>
      </c>
      <c r="W830" s="2">
        <v>8</v>
      </c>
      <c r="X830" s="2" t="s">
        <v>44</v>
      </c>
      <c r="Y830" s="2">
        <v>5</v>
      </c>
      <c r="Z830" s="2" t="s">
        <v>82</v>
      </c>
    </row>
    <row r="831" spans="1:26" x14ac:dyDescent="0.35">
      <c r="A831" s="2" t="s">
        <v>1447</v>
      </c>
      <c r="B831" s="3">
        <v>45942</v>
      </c>
      <c r="C831" s="2" t="s">
        <v>220</v>
      </c>
      <c r="D831" s="2" t="s">
        <v>99</v>
      </c>
      <c r="E831" s="2" t="s">
        <v>29</v>
      </c>
      <c r="F831" s="2">
        <v>56</v>
      </c>
      <c r="G831" s="2" t="s">
        <v>30</v>
      </c>
      <c r="H831" s="2" t="s">
        <v>31</v>
      </c>
      <c r="I831" s="2" t="s">
        <v>30</v>
      </c>
      <c r="J831" s="2" t="s">
        <v>50</v>
      </c>
      <c r="K831" s="2">
        <v>3</v>
      </c>
      <c r="L831" s="2">
        <v>30273</v>
      </c>
      <c r="M831" s="2">
        <v>10</v>
      </c>
      <c r="N831" s="2">
        <v>9081.9</v>
      </c>
      <c r="O831" s="2">
        <v>14712.68</v>
      </c>
      <c r="P831" s="2">
        <v>294</v>
      </c>
      <c r="Q831" s="2">
        <v>96743.78</v>
      </c>
      <c r="R831" s="2" t="s">
        <v>33</v>
      </c>
      <c r="S831" s="2" t="s">
        <v>59</v>
      </c>
      <c r="T831" s="9" t="s">
        <v>1704</v>
      </c>
      <c r="U831" s="10" t="s">
        <v>52</v>
      </c>
      <c r="V831" s="2" t="s">
        <v>35</v>
      </c>
      <c r="W831" s="2">
        <v>8</v>
      </c>
      <c r="X831" s="2" t="s">
        <v>44</v>
      </c>
      <c r="Y831" s="2">
        <v>5</v>
      </c>
      <c r="Z831" s="2" t="s">
        <v>44</v>
      </c>
    </row>
    <row r="832" spans="1:26" x14ac:dyDescent="0.35">
      <c r="A832" s="2" t="s">
        <v>1448</v>
      </c>
      <c r="B832" s="3">
        <v>46049</v>
      </c>
      <c r="C832" s="2" t="s">
        <v>700</v>
      </c>
      <c r="D832" s="2" t="s">
        <v>68</v>
      </c>
      <c r="E832" s="2" t="s">
        <v>29</v>
      </c>
      <c r="F832" s="2">
        <v>42</v>
      </c>
      <c r="G832" s="2" t="s">
        <v>69</v>
      </c>
      <c r="H832" s="2" t="s">
        <v>31</v>
      </c>
      <c r="I832" s="2" t="s">
        <v>69</v>
      </c>
      <c r="J832" s="2" t="s">
        <v>100</v>
      </c>
      <c r="K832" s="2">
        <v>2</v>
      </c>
      <c r="L832" s="2">
        <v>11342</v>
      </c>
      <c r="M832" s="2">
        <v>10</v>
      </c>
      <c r="N832" s="2">
        <v>2268.4</v>
      </c>
      <c r="O832" s="2">
        <v>3674.81</v>
      </c>
      <c r="P832" s="2">
        <v>459</v>
      </c>
      <c r="Q832" s="2">
        <v>24549.41</v>
      </c>
      <c r="R832" s="2" t="s">
        <v>33</v>
      </c>
      <c r="S832" s="2" t="s">
        <v>34</v>
      </c>
      <c r="T832" s="9" t="s">
        <v>1709</v>
      </c>
      <c r="U832" s="10" t="s">
        <v>52</v>
      </c>
      <c r="V832" s="2" t="s">
        <v>53</v>
      </c>
      <c r="W832" s="2">
        <v>7</v>
      </c>
      <c r="X832" s="2" t="s">
        <v>36</v>
      </c>
      <c r="Y832" s="2">
        <v>1</v>
      </c>
      <c r="Z832" s="2" t="s">
        <v>54</v>
      </c>
    </row>
    <row r="833" spans="1:26" x14ac:dyDescent="0.35">
      <c r="A833" s="2" t="s">
        <v>1449</v>
      </c>
      <c r="B833" s="3">
        <v>45892</v>
      </c>
      <c r="C833" s="2" t="s">
        <v>870</v>
      </c>
      <c r="D833" s="2" t="s">
        <v>47</v>
      </c>
      <c r="E833" s="2" t="s">
        <v>41</v>
      </c>
      <c r="F833" s="2">
        <v>58</v>
      </c>
      <c r="G833" s="2" t="s">
        <v>85</v>
      </c>
      <c r="H833" s="2" t="s">
        <v>31</v>
      </c>
      <c r="I833" s="2" t="s">
        <v>85</v>
      </c>
      <c r="J833" s="2" t="s">
        <v>70</v>
      </c>
      <c r="K833" s="2">
        <v>1</v>
      </c>
      <c r="L833" s="2">
        <v>48064</v>
      </c>
      <c r="M833" s="2">
        <v>20</v>
      </c>
      <c r="N833" s="2">
        <v>9612.7999999999993</v>
      </c>
      <c r="O833" s="2">
        <v>6921.22</v>
      </c>
      <c r="P833" s="2">
        <v>115</v>
      </c>
      <c r="Q833" s="2">
        <v>45487.42</v>
      </c>
      <c r="R833" s="2" t="s">
        <v>33</v>
      </c>
      <c r="S833" s="2" t="s">
        <v>34</v>
      </c>
      <c r="T833" s="9" t="s">
        <v>1710</v>
      </c>
      <c r="U833" s="10" t="s">
        <v>1711</v>
      </c>
      <c r="V833" s="2" t="s">
        <v>53</v>
      </c>
      <c r="W833" s="2">
        <v>1</v>
      </c>
      <c r="X833" s="2" t="s">
        <v>44</v>
      </c>
      <c r="Y833" s="2">
        <v>3</v>
      </c>
      <c r="Z833" s="2" t="s">
        <v>37</v>
      </c>
    </row>
    <row r="834" spans="1:26" x14ac:dyDescent="0.35">
      <c r="A834" s="2" t="s">
        <v>1450</v>
      </c>
      <c r="B834" s="3">
        <v>46014</v>
      </c>
      <c r="C834" s="2" t="s">
        <v>115</v>
      </c>
      <c r="D834" s="2" t="s">
        <v>80</v>
      </c>
      <c r="E834" s="2" t="s">
        <v>41</v>
      </c>
      <c r="F834" s="2">
        <v>35</v>
      </c>
      <c r="G834" s="2" t="s">
        <v>81</v>
      </c>
      <c r="H834" s="2" t="s">
        <v>31</v>
      </c>
      <c r="I834" s="2" t="s">
        <v>81</v>
      </c>
      <c r="J834" s="2" t="s">
        <v>190</v>
      </c>
      <c r="K834" s="2">
        <v>5</v>
      </c>
      <c r="L834" s="2">
        <v>32836</v>
      </c>
      <c r="M834" s="2">
        <v>15</v>
      </c>
      <c r="N834" s="2">
        <v>24627</v>
      </c>
      <c r="O834" s="2">
        <v>25119.54</v>
      </c>
      <c r="P834" s="2">
        <v>464</v>
      </c>
      <c r="Q834" s="2">
        <v>165136.54</v>
      </c>
      <c r="R834" s="2" t="s">
        <v>33</v>
      </c>
      <c r="S834" s="2" t="s">
        <v>59</v>
      </c>
      <c r="T834" s="9" t="s">
        <v>1703</v>
      </c>
      <c r="U834" s="10" t="s">
        <v>1701</v>
      </c>
      <c r="V834" s="2" t="s">
        <v>35</v>
      </c>
      <c r="W834" s="2">
        <v>3</v>
      </c>
      <c r="X834" s="2" t="s">
        <v>36</v>
      </c>
      <c r="Y834" s="2">
        <v>2</v>
      </c>
      <c r="Z834" s="2" t="s">
        <v>44</v>
      </c>
    </row>
    <row r="835" spans="1:26" x14ac:dyDescent="0.35">
      <c r="A835" s="2" t="s">
        <v>1451</v>
      </c>
      <c r="B835" s="3">
        <v>46094</v>
      </c>
      <c r="C835" s="2" t="s">
        <v>512</v>
      </c>
      <c r="D835" s="2" t="s">
        <v>68</v>
      </c>
      <c r="E835" s="2" t="s">
        <v>41</v>
      </c>
      <c r="F835" s="2">
        <v>40</v>
      </c>
      <c r="G835" s="2" t="s">
        <v>42</v>
      </c>
      <c r="H835" s="2" t="s">
        <v>31</v>
      </c>
      <c r="I835" s="2" t="s">
        <v>42</v>
      </c>
      <c r="J835" s="2" t="s">
        <v>50</v>
      </c>
      <c r="K835" s="2">
        <v>5</v>
      </c>
      <c r="L835" s="2">
        <v>43163</v>
      </c>
      <c r="M835" s="2">
        <v>10</v>
      </c>
      <c r="N835" s="2">
        <v>21581.5</v>
      </c>
      <c r="O835" s="2">
        <v>34962.03</v>
      </c>
      <c r="P835" s="2">
        <v>202</v>
      </c>
      <c r="Q835" s="2">
        <v>229397.53</v>
      </c>
      <c r="R835" s="2" t="s">
        <v>51</v>
      </c>
      <c r="S835" s="2" t="s">
        <v>59</v>
      </c>
      <c r="T835" s="9" t="s">
        <v>1704</v>
      </c>
      <c r="U835" s="10" t="s">
        <v>52</v>
      </c>
      <c r="V835" s="2" t="s">
        <v>35</v>
      </c>
      <c r="W835" s="2">
        <v>1</v>
      </c>
      <c r="X835" s="2" t="s">
        <v>36</v>
      </c>
      <c r="Y835" s="2">
        <v>5</v>
      </c>
      <c r="Z835" s="2" t="s">
        <v>82</v>
      </c>
    </row>
    <row r="836" spans="1:26" x14ac:dyDescent="0.35">
      <c r="A836" s="2" t="s">
        <v>1452</v>
      </c>
      <c r="B836" s="3">
        <v>45792</v>
      </c>
      <c r="C836" s="2" t="s">
        <v>1453</v>
      </c>
      <c r="D836" s="2" t="s">
        <v>96</v>
      </c>
      <c r="E836" s="2" t="s">
        <v>29</v>
      </c>
      <c r="F836" s="2">
        <v>29</v>
      </c>
      <c r="G836" s="2" t="s">
        <v>85</v>
      </c>
      <c r="H836" s="2" t="s">
        <v>31</v>
      </c>
      <c r="I836" s="2" t="s">
        <v>85</v>
      </c>
      <c r="J836" s="2" t="s">
        <v>70</v>
      </c>
      <c r="K836" s="2">
        <v>1</v>
      </c>
      <c r="L836" s="2">
        <v>31573</v>
      </c>
      <c r="M836" s="2">
        <v>10</v>
      </c>
      <c r="N836" s="2">
        <v>3157.3</v>
      </c>
      <c r="O836" s="2">
        <v>5114.83</v>
      </c>
      <c r="P836" s="2">
        <v>152</v>
      </c>
      <c r="Q836" s="2">
        <v>33682.53</v>
      </c>
      <c r="R836" s="2" t="s">
        <v>51</v>
      </c>
      <c r="S836" s="2" t="s">
        <v>34</v>
      </c>
      <c r="T836" s="9" t="s">
        <v>1705</v>
      </c>
      <c r="U836" s="10" t="s">
        <v>1702</v>
      </c>
      <c r="V836" s="2" t="s">
        <v>53</v>
      </c>
      <c r="W836" s="2">
        <v>4</v>
      </c>
      <c r="X836" s="2" t="s">
        <v>44</v>
      </c>
      <c r="Y836" s="2">
        <v>1</v>
      </c>
      <c r="Z836" s="2" t="s">
        <v>37</v>
      </c>
    </row>
    <row r="837" spans="1:26" x14ac:dyDescent="0.35">
      <c r="A837" s="2" t="s">
        <v>1454</v>
      </c>
      <c r="B837" s="3">
        <v>45956</v>
      </c>
      <c r="C837" s="2" t="s">
        <v>1455</v>
      </c>
      <c r="D837" s="2" t="s">
        <v>80</v>
      </c>
      <c r="E837" s="2" t="s">
        <v>41</v>
      </c>
      <c r="F837" s="2">
        <v>29</v>
      </c>
      <c r="G837" s="2" t="s">
        <v>63</v>
      </c>
      <c r="H837" s="2" t="s">
        <v>64</v>
      </c>
      <c r="I837" s="2" t="s">
        <v>63</v>
      </c>
      <c r="J837" s="2" t="s">
        <v>138</v>
      </c>
      <c r="K837" s="2">
        <v>1</v>
      </c>
      <c r="L837" s="2">
        <v>48245</v>
      </c>
      <c r="M837" s="2">
        <v>20</v>
      </c>
      <c r="N837" s="2">
        <v>9649</v>
      </c>
      <c r="O837" s="2">
        <v>6947.28</v>
      </c>
      <c r="P837" s="2">
        <v>5</v>
      </c>
      <c r="Q837" s="2">
        <v>45548.28</v>
      </c>
      <c r="R837" s="2" t="s">
        <v>43</v>
      </c>
      <c r="S837" s="2" t="s">
        <v>34</v>
      </c>
      <c r="T837" s="9" t="s">
        <v>1706</v>
      </c>
      <c r="U837" s="10" t="s">
        <v>52</v>
      </c>
      <c r="V837" s="2" t="s">
        <v>53</v>
      </c>
      <c r="W837" s="2">
        <v>6</v>
      </c>
      <c r="X837" s="2" t="s">
        <v>36</v>
      </c>
      <c r="Y837" s="2">
        <v>3</v>
      </c>
      <c r="Z837" s="2" t="s">
        <v>82</v>
      </c>
    </row>
    <row r="838" spans="1:26" x14ac:dyDescent="0.35">
      <c r="A838" s="2" t="s">
        <v>1456</v>
      </c>
      <c r="B838" s="3">
        <v>45968</v>
      </c>
      <c r="C838" s="2" t="s">
        <v>923</v>
      </c>
      <c r="D838" s="2" t="s">
        <v>62</v>
      </c>
      <c r="E838" s="2" t="s">
        <v>41</v>
      </c>
      <c r="F838" s="2">
        <v>27</v>
      </c>
      <c r="G838" s="2" t="s">
        <v>122</v>
      </c>
      <c r="H838" s="2" t="s">
        <v>31</v>
      </c>
      <c r="I838" s="2" t="s">
        <v>122</v>
      </c>
      <c r="J838" s="2" t="s">
        <v>65</v>
      </c>
      <c r="K838" s="2">
        <v>4</v>
      </c>
      <c r="L838" s="2">
        <v>47145</v>
      </c>
      <c r="M838" s="2">
        <v>20</v>
      </c>
      <c r="N838" s="2">
        <v>37716</v>
      </c>
      <c r="O838" s="2">
        <v>27155.52</v>
      </c>
      <c r="P838" s="2">
        <v>457</v>
      </c>
      <c r="Q838" s="2">
        <v>178476.52</v>
      </c>
      <c r="R838" s="2" t="s">
        <v>51</v>
      </c>
      <c r="S838" s="2" t="s">
        <v>59</v>
      </c>
      <c r="T838" s="9" t="s">
        <v>1710</v>
      </c>
      <c r="U838" s="10" t="s">
        <v>1711</v>
      </c>
      <c r="V838" s="2" t="s">
        <v>53</v>
      </c>
      <c r="W838" s="2">
        <v>1</v>
      </c>
      <c r="X838" s="2" t="s">
        <v>44</v>
      </c>
      <c r="Y838" s="2">
        <v>5</v>
      </c>
      <c r="Z838" s="2" t="s">
        <v>44</v>
      </c>
    </row>
    <row r="839" spans="1:26" x14ac:dyDescent="0.35">
      <c r="A839" s="2" t="s">
        <v>1457</v>
      </c>
      <c r="B839" s="3">
        <v>45982</v>
      </c>
      <c r="C839" s="2" t="s">
        <v>612</v>
      </c>
      <c r="D839" s="2" t="s">
        <v>62</v>
      </c>
      <c r="E839" s="2" t="s">
        <v>41</v>
      </c>
      <c r="F839" s="2">
        <v>56</v>
      </c>
      <c r="G839" s="2" t="s">
        <v>48</v>
      </c>
      <c r="H839" s="2" t="s">
        <v>49</v>
      </c>
      <c r="I839" s="2" t="s">
        <v>48</v>
      </c>
      <c r="J839" s="2" t="s">
        <v>113</v>
      </c>
      <c r="K839" s="2">
        <v>5</v>
      </c>
      <c r="L839" s="2">
        <v>25380</v>
      </c>
      <c r="M839" s="2">
        <v>0</v>
      </c>
      <c r="N839" s="2">
        <v>0</v>
      </c>
      <c r="O839" s="2">
        <v>22842</v>
      </c>
      <c r="P839" s="2">
        <v>309</v>
      </c>
      <c r="Q839" s="2">
        <v>150051</v>
      </c>
      <c r="R839" s="2" t="s">
        <v>43</v>
      </c>
      <c r="S839" s="2" t="s">
        <v>34</v>
      </c>
      <c r="T839" s="9" t="s">
        <v>1704</v>
      </c>
      <c r="U839" s="10" t="s">
        <v>52</v>
      </c>
      <c r="V839" s="2" t="s">
        <v>35</v>
      </c>
      <c r="W839" s="2">
        <v>1</v>
      </c>
      <c r="X839" s="2" t="s">
        <v>44</v>
      </c>
      <c r="Y839" s="2">
        <v>2</v>
      </c>
      <c r="Z839" s="2" t="s">
        <v>54</v>
      </c>
    </row>
    <row r="840" spans="1:26" x14ac:dyDescent="0.35">
      <c r="A840" s="2" t="s">
        <v>1458</v>
      </c>
      <c r="B840" s="3">
        <v>45911</v>
      </c>
      <c r="C840" s="2" t="s">
        <v>954</v>
      </c>
      <c r="D840" s="2" t="s">
        <v>28</v>
      </c>
      <c r="E840" s="2" t="s">
        <v>29</v>
      </c>
      <c r="F840" s="2">
        <v>22</v>
      </c>
      <c r="G840" s="2" t="s">
        <v>122</v>
      </c>
      <c r="H840" s="2" t="s">
        <v>31</v>
      </c>
      <c r="I840" s="2" t="s">
        <v>122</v>
      </c>
      <c r="J840" s="2" t="s">
        <v>32</v>
      </c>
      <c r="K840" s="2">
        <v>1</v>
      </c>
      <c r="L840" s="2">
        <v>40566</v>
      </c>
      <c r="M840" s="2">
        <v>10</v>
      </c>
      <c r="N840" s="2">
        <v>4056.6</v>
      </c>
      <c r="O840" s="2">
        <v>6571.69</v>
      </c>
      <c r="P840" s="2">
        <v>112</v>
      </c>
      <c r="Q840" s="2">
        <v>43193.09</v>
      </c>
      <c r="R840" s="2" t="s">
        <v>43</v>
      </c>
      <c r="S840" s="2" t="s">
        <v>59</v>
      </c>
      <c r="T840" s="9" t="s">
        <v>1705</v>
      </c>
      <c r="U840" s="10" t="s">
        <v>1702</v>
      </c>
      <c r="V840" s="2" t="s">
        <v>53</v>
      </c>
      <c r="W840" s="2">
        <v>8</v>
      </c>
      <c r="X840" s="2" t="s">
        <v>44</v>
      </c>
      <c r="Y840" s="2">
        <v>2</v>
      </c>
      <c r="Z840" s="2" t="s">
        <v>44</v>
      </c>
    </row>
    <row r="841" spans="1:26" x14ac:dyDescent="0.35">
      <c r="A841" s="2" t="s">
        <v>1459</v>
      </c>
      <c r="B841" s="3">
        <v>45969</v>
      </c>
      <c r="C841" s="2" t="s">
        <v>403</v>
      </c>
      <c r="D841" s="2" t="s">
        <v>62</v>
      </c>
      <c r="E841" s="2" t="s">
        <v>41</v>
      </c>
      <c r="F841" s="2">
        <v>37</v>
      </c>
      <c r="G841" s="2" t="s">
        <v>30</v>
      </c>
      <c r="H841" s="2" t="s">
        <v>31</v>
      </c>
      <c r="I841" s="2" t="s">
        <v>30</v>
      </c>
      <c r="J841" s="2" t="s">
        <v>190</v>
      </c>
      <c r="K841" s="2">
        <v>1</v>
      </c>
      <c r="L841" s="2">
        <v>6815</v>
      </c>
      <c r="M841" s="2">
        <v>20</v>
      </c>
      <c r="N841" s="2">
        <v>1363</v>
      </c>
      <c r="O841" s="2">
        <v>981.36</v>
      </c>
      <c r="P841" s="2">
        <v>338</v>
      </c>
      <c r="Q841" s="2">
        <v>6771.36</v>
      </c>
      <c r="R841" s="2" t="s">
        <v>33</v>
      </c>
      <c r="S841" s="2" t="s">
        <v>34</v>
      </c>
      <c r="T841" s="9" t="s">
        <v>1709</v>
      </c>
      <c r="U841" s="10" t="s">
        <v>52</v>
      </c>
      <c r="V841" s="2" t="s">
        <v>53</v>
      </c>
      <c r="W841" s="2">
        <v>8</v>
      </c>
      <c r="X841" s="2" t="s">
        <v>44</v>
      </c>
      <c r="Y841" s="2">
        <v>5</v>
      </c>
      <c r="Z841" s="2" t="s">
        <v>44</v>
      </c>
    </row>
    <row r="842" spans="1:26" x14ac:dyDescent="0.35">
      <c r="A842" s="2" t="s">
        <v>1460</v>
      </c>
      <c r="B842" s="3">
        <v>45931</v>
      </c>
      <c r="C842" s="2" t="s">
        <v>1461</v>
      </c>
      <c r="D842" s="2" t="s">
        <v>28</v>
      </c>
      <c r="E842" s="2" t="s">
        <v>29</v>
      </c>
      <c r="F842" s="2">
        <v>51</v>
      </c>
      <c r="G842" s="2" t="s">
        <v>30</v>
      </c>
      <c r="H842" s="2" t="s">
        <v>31</v>
      </c>
      <c r="I842" s="2" t="s">
        <v>30</v>
      </c>
      <c r="J842" s="2" t="s">
        <v>65</v>
      </c>
      <c r="K842" s="2">
        <v>3</v>
      </c>
      <c r="L842" s="2">
        <v>49678</v>
      </c>
      <c r="M842" s="2">
        <v>15</v>
      </c>
      <c r="N842" s="2">
        <v>22355.1</v>
      </c>
      <c r="O842" s="2">
        <v>22802.2</v>
      </c>
      <c r="P842" s="2">
        <v>277</v>
      </c>
      <c r="Q842" s="2">
        <v>149758.1</v>
      </c>
      <c r="R842" s="2" t="s">
        <v>43</v>
      </c>
      <c r="S842" s="2" t="s">
        <v>34</v>
      </c>
      <c r="T842" s="9" t="s">
        <v>1705</v>
      </c>
      <c r="U842" s="10" t="s">
        <v>1702</v>
      </c>
      <c r="V842" s="2" t="s">
        <v>53</v>
      </c>
      <c r="W842" s="2">
        <v>8</v>
      </c>
      <c r="X842" s="2" t="s">
        <v>36</v>
      </c>
      <c r="Y842" s="2">
        <v>5</v>
      </c>
      <c r="Z842" s="2" t="s">
        <v>44</v>
      </c>
    </row>
    <row r="843" spans="1:26" x14ac:dyDescent="0.35">
      <c r="A843" s="2" t="s">
        <v>1462</v>
      </c>
      <c r="B843" s="3">
        <v>45940</v>
      </c>
      <c r="C843" s="2" t="s">
        <v>1463</v>
      </c>
      <c r="D843" s="2" t="s">
        <v>96</v>
      </c>
      <c r="E843" s="2" t="s">
        <v>41</v>
      </c>
      <c r="F843" s="2">
        <v>46</v>
      </c>
      <c r="G843" s="2" t="s">
        <v>127</v>
      </c>
      <c r="H843" s="2" t="s">
        <v>31</v>
      </c>
      <c r="I843" s="2" t="s">
        <v>127</v>
      </c>
      <c r="J843" s="2" t="s">
        <v>58</v>
      </c>
      <c r="K843" s="2">
        <v>4</v>
      </c>
      <c r="L843" s="2">
        <v>21247</v>
      </c>
      <c r="M843" s="2">
        <v>5</v>
      </c>
      <c r="N843" s="2">
        <v>4249.3999999999996</v>
      </c>
      <c r="O843" s="2">
        <v>14532.95</v>
      </c>
      <c r="P843" s="2">
        <v>439</v>
      </c>
      <c r="Q843" s="2">
        <v>95710.55</v>
      </c>
      <c r="R843" s="2" t="s">
        <v>76</v>
      </c>
      <c r="S843" s="2" t="s">
        <v>59</v>
      </c>
      <c r="T843" s="9" t="s">
        <v>1706</v>
      </c>
      <c r="U843" s="10" t="s">
        <v>52</v>
      </c>
      <c r="V843" s="2" t="s">
        <v>53</v>
      </c>
      <c r="W843" s="2">
        <v>5</v>
      </c>
      <c r="X843" s="2" t="s">
        <v>36</v>
      </c>
      <c r="Y843" s="2">
        <v>2</v>
      </c>
      <c r="Z843" s="2" t="s">
        <v>44</v>
      </c>
    </row>
    <row r="844" spans="1:26" x14ac:dyDescent="0.35">
      <c r="A844" s="2" t="s">
        <v>1464</v>
      </c>
      <c r="B844" s="3">
        <v>45897</v>
      </c>
      <c r="C844" s="2" t="s">
        <v>1355</v>
      </c>
      <c r="D844" s="2" t="s">
        <v>99</v>
      </c>
      <c r="E844" s="2" t="s">
        <v>41</v>
      </c>
      <c r="F844" s="2">
        <v>31</v>
      </c>
      <c r="G844" s="2" t="s">
        <v>48</v>
      </c>
      <c r="H844" s="2" t="s">
        <v>49</v>
      </c>
      <c r="I844" s="2" t="s">
        <v>48</v>
      </c>
      <c r="J844" s="2" t="s">
        <v>100</v>
      </c>
      <c r="K844" s="2">
        <v>2</v>
      </c>
      <c r="L844" s="2">
        <v>10921</v>
      </c>
      <c r="M844" s="2">
        <v>5</v>
      </c>
      <c r="N844" s="2">
        <v>1092.0999999999999</v>
      </c>
      <c r="O844" s="2">
        <v>3734.98</v>
      </c>
      <c r="P844" s="2">
        <v>395</v>
      </c>
      <c r="Q844" s="2">
        <v>24879.88</v>
      </c>
      <c r="R844" s="2" t="s">
        <v>76</v>
      </c>
      <c r="S844" s="2" t="s">
        <v>34</v>
      </c>
      <c r="T844" s="9" t="s">
        <v>1706</v>
      </c>
      <c r="U844" s="10" t="s">
        <v>52</v>
      </c>
      <c r="V844" s="2" t="s">
        <v>53</v>
      </c>
      <c r="W844" s="2">
        <v>6</v>
      </c>
      <c r="X844" s="2" t="s">
        <v>36</v>
      </c>
      <c r="Y844" s="2">
        <v>2</v>
      </c>
      <c r="Z844" s="2" t="s">
        <v>54</v>
      </c>
    </row>
    <row r="845" spans="1:26" x14ac:dyDescent="0.35">
      <c r="A845" s="2" t="s">
        <v>1465</v>
      </c>
      <c r="B845" s="3">
        <v>45879</v>
      </c>
      <c r="C845" s="2" t="s">
        <v>978</v>
      </c>
      <c r="D845" s="2" t="s">
        <v>47</v>
      </c>
      <c r="E845" s="2" t="s">
        <v>41</v>
      </c>
      <c r="F845" s="2">
        <v>20</v>
      </c>
      <c r="G845" s="2" t="s">
        <v>63</v>
      </c>
      <c r="H845" s="2" t="s">
        <v>64</v>
      </c>
      <c r="I845" s="2" t="s">
        <v>63</v>
      </c>
      <c r="J845" s="2" t="s">
        <v>32</v>
      </c>
      <c r="K845" s="2">
        <v>2</v>
      </c>
      <c r="L845" s="2">
        <v>41264</v>
      </c>
      <c r="M845" s="2">
        <v>5</v>
      </c>
      <c r="N845" s="2">
        <v>4126.3999999999996</v>
      </c>
      <c r="O845" s="2">
        <v>14112.29</v>
      </c>
      <c r="P845" s="2">
        <v>7</v>
      </c>
      <c r="Q845" s="2">
        <v>92520.89</v>
      </c>
      <c r="R845" s="2" t="s">
        <v>51</v>
      </c>
      <c r="S845" s="2" t="s">
        <v>34</v>
      </c>
      <c r="T845" s="9" t="s">
        <v>1710</v>
      </c>
      <c r="U845" s="10" t="s">
        <v>1711</v>
      </c>
      <c r="V845" s="2" t="s">
        <v>53</v>
      </c>
      <c r="W845" s="2">
        <v>6</v>
      </c>
      <c r="X845" s="2" t="s">
        <v>44</v>
      </c>
      <c r="Y845" s="2">
        <v>5</v>
      </c>
      <c r="Z845" s="2" t="s">
        <v>82</v>
      </c>
    </row>
    <row r="846" spans="1:26" x14ac:dyDescent="0.35">
      <c r="A846" s="2" t="s">
        <v>1466</v>
      </c>
      <c r="B846" s="3">
        <v>46006</v>
      </c>
      <c r="C846" s="2" t="s">
        <v>1467</v>
      </c>
      <c r="D846" s="2" t="s">
        <v>96</v>
      </c>
      <c r="E846" s="2" t="s">
        <v>41</v>
      </c>
      <c r="F846" s="2">
        <v>37</v>
      </c>
      <c r="G846" s="2" t="s">
        <v>127</v>
      </c>
      <c r="H846" s="2" t="s">
        <v>31</v>
      </c>
      <c r="I846" s="2" t="s">
        <v>127</v>
      </c>
      <c r="J846" s="2" t="s">
        <v>100</v>
      </c>
      <c r="K846" s="2">
        <v>5</v>
      </c>
      <c r="L846" s="2">
        <v>15722</v>
      </c>
      <c r="M846" s="2">
        <v>20</v>
      </c>
      <c r="N846" s="2">
        <v>15722</v>
      </c>
      <c r="O846" s="2">
        <v>11319.84</v>
      </c>
      <c r="P846" s="2">
        <v>333</v>
      </c>
      <c r="Q846" s="2">
        <v>74540.84</v>
      </c>
      <c r="R846" s="2" t="s">
        <v>76</v>
      </c>
      <c r="S846" s="2" t="s">
        <v>34</v>
      </c>
      <c r="T846" s="9" t="s">
        <v>1708</v>
      </c>
      <c r="U846" s="10" t="s">
        <v>52</v>
      </c>
      <c r="V846" s="2" t="s">
        <v>77</v>
      </c>
      <c r="W846" s="2">
        <v>7</v>
      </c>
      <c r="X846" s="2" t="s">
        <v>36</v>
      </c>
      <c r="Y846" s="2">
        <v>3</v>
      </c>
      <c r="Z846" s="2" t="s">
        <v>37</v>
      </c>
    </row>
    <row r="847" spans="1:26" x14ac:dyDescent="0.35">
      <c r="A847" s="2" t="s">
        <v>1468</v>
      </c>
      <c r="B847" s="3">
        <v>45819</v>
      </c>
      <c r="C847" s="2" t="s">
        <v>1469</v>
      </c>
      <c r="D847" s="2" t="s">
        <v>68</v>
      </c>
      <c r="E847" s="2" t="s">
        <v>29</v>
      </c>
      <c r="F847" s="2">
        <v>26</v>
      </c>
      <c r="G847" s="2" t="s">
        <v>30</v>
      </c>
      <c r="H847" s="2" t="s">
        <v>31</v>
      </c>
      <c r="I847" s="2" t="s">
        <v>30</v>
      </c>
      <c r="J847" s="2" t="s">
        <v>190</v>
      </c>
      <c r="K847" s="2">
        <v>4</v>
      </c>
      <c r="L847" s="2">
        <v>48345</v>
      </c>
      <c r="M847" s="2">
        <v>5</v>
      </c>
      <c r="N847" s="2">
        <v>9669</v>
      </c>
      <c r="O847" s="2">
        <v>33067.980000000003</v>
      </c>
      <c r="P847" s="2">
        <v>107</v>
      </c>
      <c r="Q847" s="2">
        <v>216885.98</v>
      </c>
      <c r="R847" s="2" t="s">
        <v>43</v>
      </c>
      <c r="S847" s="2" t="s">
        <v>59</v>
      </c>
      <c r="T847" s="9" t="s">
        <v>1703</v>
      </c>
      <c r="U847" s="10" t="s">
        <v>1701</v>
      </c>
      <c r="V847" s="2" t="s">
        <v>35</v>
      </c>
      <c r="W847" s="2">
        <v>9</v>
      </c>
      <c r="X847" s="2" t="s">
        <v>36</v>
      </c>
      <c r="Y847" s="2">
        <v>3</v>
      </c>
      <c r="Z847" s="2" t="s">
        <v>44</v>
      </c>
    </row>
    <row r="848" spans="1:26" x14ac:dyDescent="0.35">
      <c r="A848" s="2" t="s">
        <v>1470</v>
      </c>
      <c r="B848" s="3">
        <v>45891</v>
      </c>
      <c r="C848" s="2" t="s">
        <v>456</v>
      </c>
      <c r="D848" s="2" t="s">
        <v>73</v>
      </c>
      <c r="E848" s="2" t="s">
        <v>41</v>
      </c>
      <c r="F848" s="2">
        <v>59</v>
      </c>
      <c r="G848" s="2" t="s">
        <v>69</v>
      </c>
      <c r="H848" s="2" t="s">
        <v>31</v>
      </c>
      <c r="I848" s="2" t="s">
        <v>69</v>
      </c>
      <c r="J848" s="2" t="s">
        <v>190</v>
      </c>
      <c r="K848" s="2">
        <v>2</v>
      </c>
      <c r="L848" s="2">
        <v>32961</v>
      </c>
      <c r="M848" s="2">
        <v>0</v>
      </c>
      <c r="N848" s="2">
        <v>0</v>
      </c>
      <c r="O848" s="2">
        <v>11865.96</v>
      </c>
      <c r="P848" s="2">
        <v>103</v>
      </c>
      <c r="Q848" s="2">
        <v>77890.960000000006</v>
      </c>
      <c r="R848" s="2" t="s">
        <v>76</v>
      </c>
      <c r="S848" s="2" t="s">
        <v>34</v>
      </c>
      <c r="T848" s="9" t="s">
        <v>1710</v>
      </c>
      <c r="U848" s="10" t="s">
        <v>1711</v>
      </c>
      <c r="V848" s="2" t="s">
        <v>53</v>
      </c>
      <c r="W848" s="2">
        <v>8</v>
      </c>
      <c r="X848" s="2" t="s">
        <v>36</v>
      </c>
      <c r="Y848" s="2">
        <v>1</v>
      </c>
      <c r="Z848" s="2" t="s">
        <v>44</v>
      </c>
    </row>
    <row r="849" spans="1:26" x14ac:dyDescent="0.35">
      <c r="A849" s="2" t="s">
        <v>1471</v>
      </c>
      <c r="B849" s="3">
        <v>45965</v>
      </c>
      <c r="C849" s="2" t="s">
        <v>1472</v>
      </c>
      <c r="D849" s="2" t="s">
        <v>47</v>
      </c>
      <c r="E849" s="2" t="s">
        <v>41</v>
      </c>
      <c r="F849" s="2">
        <v>36</v>
      </c>
      <c r="G849" s="2" t="s">
        <v>88</v>
      </c>
      <c r="H849" s="2" t="s">
        <v>49</v>
      </c>
      <c r="I849" s="2" t="s">
        <v>88</v>
      </c>
      <c r="J849" s="2" t="s">
        <v>32</v>
      </c>
      <c r="K849" s="2">
        <v>3</v>
      </c>
      <c r="L849" s="2">
        <v>20711</v>
      </c>
      <c r="M849" s="2">
        <v>20</v>
      </c>
      <c r="N849" s="2">
        <v>12426.6</v>
      </c>
      <c r="O849" s="2">
        <v>8947.15</v>
      </c>
      <c r="P849" s="2">
        <v>216</v>
      </c>
      <c r="Q849" s="2">
        <v>58869.55</v>
      </c>
      <c r="R849" s="2" t="s">
        <v>33</v>
      </c>
      <c r="S849" s="2" t="s">
        <v>59</v>
      </c>
      <c r="T849" s="9" t="s">
        <v>1703</v>
      </c>
      <c r="U849" s="10" t="s">
        <v>1701</v>
      </c>
      <c r="V849" s="2" t="s">
        <v>35</v>
      </c>
      <c r="W849" s="2">
        <v>5</v>
      </c>
      <c r="X849" s="2" t="s">
        <v>44</v>
      </c>
      <c r="Y849" s="2">
        <v>5</v>
      </c>
      <c r="Z849" s="2" t="s">
        <v>82</v>
      </c>
    </row>
    <row r="850" spans="1:26" x14ac:dyDescent="0.35">
      <c r="A850" s="2" t="s">
        <v>1473</v>
      </c>
      <c r="B850" s="3">
        <v>45965</v>
      </c>
      <c r="C850" s="2" t="s">
        <v>1474</v>
      </c>
      <c r="D850" s="2" t="s">
        <v>57</v>
      </c>
      <c r="E850" s="2" t="s">
        <v>29</v>
      </c>
      <c r="F850" s="2">
        <v>49</v>
      </c>
      <c r="G850" s="2" t="s">
        <v>122</v>
      </c>
      <c r="H850" s="2" t="s">
        <v>31</v>
      </c>
      <c r="I850" s="2" t="s">
        <v>122</v>
      </c>
      <c r="J850" s="2" t="s">
        <v>58</v>
      </c>
      <c r="K850" s="2">
        <v>5</v>
      </c>
      <c r="L850" s="2">
        <v>19707</v>
      </c>
      <c r="M850" s="2">
        <v>10</v>
      </c>
      <c r="N850" s="2">
        <v>9853.5</v>
      </c>
      <c r="O850" s="2">
        <v>15962.67</v>
      </c>
      <c r="P850" s="2">
        <v>346</v>
      </c>
      <c r="Q850" s="2">
        <v>104990.17</v>
      </c>
      <c r="R850" s="2" t="s">
        <v>76</v>
      </c>
      <c r="S850" s="2" t="s">
        <v>59</v>
      </c>
      <c r="T850" s="9" t="s">
        <v>1707</v>
      </c>
      <c r="U850" s="10" t="s">
        <v>1712</v>
      </c>
      <c r="V850" s="2" t="s">
        <v>53</v>
      </c>
      <c r="W850" s="2">
        <v>4</v>
      </c>
      <c r="X850" s="2" t="s">
        <v>44</v>
      </c>
      <c r="Y850" s="2">
        <v>1</v>
      </c>
      <c r="Z850" s="2" t="s">
        <v>44</v>
      </c>
    </row>
    <row r="851" spans="1:26" x14ac:dyDescent="0.35">
      <c r="A851" s="2" t="s">
        <v>1475</v>
      </c>
      <c r="B851" s="3">
        <v>46029</v>
      </c>
      <c r="C851" s="2" t="s">
        <v>310</v>
      </c>
      <c r="D851" s="2" t="s">
        <v>68</v>
      </c>
      <c r="E851" s="2" t="s">
        <v>41</v>
      </c>
      <c r="F851" s="2">
        <v>45</v>
      </c>
      <c r="G851" s="2" t="s">
        <v>63</v>
      </c>
      <c r="H851" s="2" t="s">
        <v>64</v>
      </c>
      <c r="I851" s="2" t="s">
        <v>63</v>
      </c>
      <c r="J851" s="2" t="s">
        <v>190</v>
      </c>
      <c r="K851" s="2">
        <v>1</v>
      </c>
      <c r="L851" s="2">
        <v>37289</v>
      </c>
      <c r="M851" s="2">
        <v>20</v>
      </c>
      <c r="N851" s="2">
        <v>7457.8</v>
      </c>
      <c r="O851" s="2">
        <v>5369.62</v>
      </c>
      <c r="P851" s="2">
        <v>297</v>
      </c>
      <c r="Q851" s="2">
        <v>35497.82</v>
      </c>
      <c r="R851" s="2" t="s">
        <v>43</v>
      </c>
      <c r="S851" s="2" t="s">
        <v>59</v>
      </c>
      <c r="T851" s="9" t="s">
        <v>1708</v>
      </c>
      <c r="U851" s="10" t="s">
        <v>52</v>
      </c>
      <c r="V851" s="2" t="s">
        <v>77</v>
      </c>
      <c r="W851" s="2">
        <v>6</v>
      </c>
      <c r="X851" s="2" t="s">
        <v>36</v>
      </c>
      <c r="Y851" s="2">
        <v>2</v>
      </c>
      <c r="Z851" s="2" t="s">
        <v>37</v>
      </c>
    </row>
    <row r="852" spans="1:26" x14ac:dyDescent="0.35">
      <c r="A852" s="2" t="s">
        <v>1476</v>
      </c>
      <c r="B852" s="3">
        <v>46066</v>
      </c>
      <c r="C852" s="2" t="s">
        <v>749</v>
      </c>
      <c r="D852" s="2" t="s">
        <v>28</v>
      </c>
      <c r="E852" s="2" t="s">
        <v>29</v>
      </c>
      <c r="F852" s="2">
        <v>53</v>
      </c>
      <c r="G852" s="2" t="s">
        <v>63</v>
      </c>
      <c r="H852" s="2" t="s">
        <v>64</v>
      </c>
      <c r="I852" s="2" t="s">
        <v>63</v>
      </c>
      <c r="J852" s="2" t="s">
        <v>190</v>
      </c>
      <c r="K852" s="2">
        <v>5</v>
      </c>
      <c r="L852" s="2">
        <v>35009</v>
      </c>
      <c r="M852" s="2">
        <v>0</v>
      </c>
      <c r="N852" s="2">
        <v>0</v>
      </c>
      <c r="O852" s="2">
        <v>31508.1</v>
      </c>
      <c r="P852" s="2">
        <v>316</v>
      </c>
      <c r="Q852" s="2">
        <v>206869.1</v>
      </c>
      <c r="R852" s="2" t="s">
        <v>43</v>
      </c>
      <c r="S852" s="2" t="s">
        <v>34</v>
      </c>
      <c r="T852" s="9" t="s">
        <v>1704</v>
      </c>
      <c r="U852" s="10" t="s">
        <v>52</v>
      </c>
      <c r="V852" s="2" t="s">
        <v>35</v>
      </c>
      <c r="W852" s="2">
        <v>1</v>
      </c>
      <c r="X852" s="2" t="s">
        <v>44</v>
      </c>
      <c r="Y852" s="2">
        <v>3</v>
      </c>
      <c r="Z852" s="2" t="s">
        <v>54</v>
      </c>
    </row>
    <row r="853" spans="1:26" x14ac:dyDescent="0.35">
      <c r="A853" s="2" t="s">
        <v>1477</v>
      </c>
      <c r="B853" s="3">
        <v>45894</v>
      </c>
      <c r="C853" s="2" t="s">
        <v>1478</v>
      </c>
      <c r="D853" s="2" t="s">
        <v>73</v>
      </c>
      <c r="E853" s="2" t="s">
        <v>29</v>
      </c>
      <c r="F853" s="2">
        <v>30</v>
      </c>
      <c r="G853" s="2" t="s">
        <v>122</v>
      </c>
      <c r="H853" s="2" t="s">
        <v>31</v>
      </c>
      <c r="I853" s="2" t="s">
        <v>122</v>
      </c>
      <c r="J853" s="2" t="s">
        <v>138</v>
      </c>
      <c r="K853" s="2">
        <v>3</v>
      </c>
      <c r="L853" s="2">
        <v>26210</v>
      </c>
      <c r="M853" s="2">
        <v>20</v>
      </c>
      <c r="N853" s="2">
        <v>15726</v>
      </c>
      <c r="O853" s="2">
        <v>11322.72</v>
      </c>
      <c r="P853" s="2">
        <v>459</v>
      </c>
      <c r="Q853" s="2">
        <v>74685.72</v>
      </c>
      <c r="R853" s="2" t="s">
        <v>76</v>
      </c>
      <c r="S853" s="2" t="s">
        <v>34</v>
      </c>
      <c r="T853" s="9" t="s">
        <v>1703</v>
      </c>
      <c r="U853" s="10" t="s">
        <v>1701</v>
      </c>
      <c r="V853" s="2" t="s">
        <v>35</v>
      </c>
      <c r="W853" s="2">
        <v>2</v>
      </c>
      <c r="X853" s="2" t="s">
        <v>36</v>
      </c>
      <c r="Y853" s="2">
        <v>1</v>
      </c>
      <c r="Z853" s="2" t="s">
        <v>44</v>
      </c>
    </row>
    <row r="854" spans="1:26" x14ac:dyDescent="0.35">
      <c r="A854" s="2" t="s">
        <v>1479</v>
      </c>
      <c r="B854" s="3">
        <v>45877</v>
      </c>
      <c r="C854" s="2" t="s">
        <v>1174</v>
      </c>
      <c r="D854" s="2" t="s">
        <v>62</v>
      </c>
      <c r="E854" s="2" t="s">
        <v>29</v>
      </c>
      <c r="F854" s="2">
        <v>49</v>
      </c>
      <c r="G854" s="2" t="s">
        <v>48</v>
      </c>
      <c r="H854" s="2" t="s">
        <v>49</v>
      </c>
      <c r="I854" s="2" t="s">
        <v>48</v>
      </c>
      <c r="J854" s="2" t="s">
        <v>32</v>
      </c>
      <c r="K854" s="2">
        <v>4</v>
      </c>
      <c r="L854" s="2">
        <v>13804</v>
      </c>
      <c r="M854" s="2">
        <v>5</v>
      </c>
      <c r="N854" s="2">
        <v>2760.8</v>
      </c>
      <c r="O854" s="2">
        <v>9441.94</v>
      </c>
      <c r="P854" s="2">
        <v>349</v>
      </c>
      <c r="Q854" s="2">
        <v>62246.14</v>
      </c>
      <c r="R854" s="2" t="s">
        <v>33</v>
      </c>
      <c r="S854" s="2" t="s">
        <v>34</v>
      </c>
      <c r="T854" s="9" t="s">
        <v>1706</v>
      </c>
      <c r="U854" s="10" t="s">
        <v>52</v>
      </c>
      <c r="V854" s="2" t="s">
        <v>53</v>
      </c>
      <c r="W854" s="2">
        <v>7</v>
      </c>
      <c r="X854" s="2" t="s">
        <v>44</v>
      </c>
      <c r="Y854" s="2">
        <v>5</v>
      </c>
      <c r="Z854" s="2" t="s">
        <v>44</v>
      </c>
    </row>
    <row r="855" spans="1:26" x14ac:dyDescent="0.35">
      <c r="A855" s="2" t="s">
        <v>1480</v>
      </c>
      <c r="B855" s="3">
        <v>45958</v>
      </c>
      <c r="C855" s="2" t="s">
        <v>401</v>
      </c>
      <c r="D855" s="2" t="s">
        <v>80</v>
      </c>
      <c r="E855" s="2" t="s">
        <v>41</v>
      </c>
      <c r="F855" s="2">
        <v>59</v>
      </c>
      <c r="G855" s="2" t="s">
        <v>42</v>
      </c>
      <c r="H855" s="2" t="s">
        <v>31</v>
      </c>
      <c r="I855" s="2" t="s">
        <v>42</v>
      </c>
      <c r="J855" s="2" t="s">
        <v>100</v>
      </c>
      <c r="K855" s="2">
        <v>2</v>
      </c>
      <c r="L855" s="2">
        <v>20640</v>
      </c>
      <c r="M855" s="2">
        <v>0</v>
      </c>
      <c r="N855" s="2">
        <v>0</v>
      </c>
      <c r="O855" s="2">
        <v>7430.4</v>
      </c>
      <c r="P855" s="2">
        <v>97</v>
      </c>
      <c r="Q855" s="2">
        <v>48807.4</v>
      </c>
      <c r="R855" s="2" t="s">
        <v>43</v>
      </c>
      <c r="S855" s="2" t="s">
        <v>34</v>
      </c>
      <c r="T855" s="9" t="s">
        <v>1703</v>
      </c>
      <c r="U855" s="10" t="s">
        <v>1701</v>
      </c>
      <c r="V855" s="2" t="s">
        <v>35</v>
      </c>
      <c r="W855" s="2">
        <v>6</v>
      </c>
      <c r="X855" s="2" t="s">
        <v>44</v>
      </c>
      <c r="Y855" s="2">
        <v>1</v>
      </c>
      <c r="Z855" s="2" t="s">
        <v>44</v>
      </c>
    </row>
    <row r="856" spans="1:26" x14ac:dyDescent="0.35">
      <c r="A856" s="2" t="s">
        <v>1481</v>
      </c>
      <c r="B856" s="3">
        <v>46085</v>
      </c>
      <c r="C856" s="2" t="s">
        <v>1482</v>
      </c>
      <c r="D856" s="2" t="s">
        <v>28</v>
      </c>
      <c r="E856" s="2" t="s">
        <v>41</v>
      </c>
      <c r="F856" s="2">
        <v>47</v>
      </c>
      <c r="G856" s="2" t="s">
        <v>63</v>
      </c>
      <c r="H856" s="2" t="s">
        <v>64</v>
      </c>
      <c r="I856" s="2" t="s">
        <v>63</v>
      </c>
      <c r="J856" s="2" t="s">
        <v>32</v>
      </c>
      <c r="K856" s="2">
        <v>4</v>
      </c>
      <c r="L856" s="2">
        <v>32637</v>
      </c>
      <c r="M856" s="2">
        <v>15</v>
      </c>
      <c r="N856" s="2">
        <v>19582.2</v>
      </c>
      <c r="O856" s="2">
        <v>19973.84</v>
      </c>
      <c r="P856" s="2">
        <v>162</v>
      </c>
      <c r="Q856" s="2">
        <v>131101.64000000001</v>
      </c>
      <c r="R856" s="2" t="s">
        <v>43</v>
      </c>
      <c r="S856" s="2" t="s">
        <v>59</v>
      </c>
      <c r="T856" s="9" t="s">
        <v>1706</v>
      </c>
      <c r="U856" s="10" t="s">
        <v>52</v>
      </c>
      <c r="V856" s="2" t="s">
        <v>53</v>
      </c>
      <c r="W856" s="2">
        <v>3</v>
      </c>
      <c r="X856" s="2" t="s">
        <v>36</v>
      </c>
      <c r="Y856" s="2">
        <v>4</v>
      </c>
      <c r="Z856" s="2" t="s">
        <v>82</v>
      </c>
    </row>
    <row r="857" spans="1:26" x14ac:dyDescent="0.35">
      <c r="A857" s="2" t="s">
        <v>1483</v>
      </c>
      <c r="B857" s="3">
        <v>46105</v>
      </c>
      <c r="C857" s="2" t="s">
        <v>1484</v>
      </c>
      <c r="D857" s="2" t="s">
        <v>96</v>
      </c>
      <c r="E857" s="2" t="s">
        <v>29</v>
      </c>
      <c r="F857" s="2">
        <v>18</v>
      </c>
      <c r="G857" s="2" t="s">
        <v>63</v>
      </c>
      <c r="H857" s="2" t="s">
        <v>64</v>
      </c>
      <c r="I857" s="2" t="s">
        <v>63</v>
      </c>
      <c r="J857" s="2" t="s">
        <v>70</v>
      </c>
      <c r="K857" s="2">
        <v>5</v>
      </c>
      <c r="L857" s="2">
        <v>30196</v>
      </c>
      <c r="M857" s="2">
        <v>5</v>
      </c>
      <c r="N857" s="2">
        <v>7549</v>
      </c>
      <c r="O857" s="2">
        <v>25817.58</v>
      </c>
      <c r="P857" s="2">
        <v>472</v>
      </c>
      <c r="Q857" s="2">
        <v>169720.58</v>
      </c>
      <c r="R857" s="2" t="s">
        <v>51</v>
      </c>
      <c r="S857" s="2" t="s">
        <v>59</v>
      </c>
      <c r="T857" s="9" t="s">
        <v>1706</v>
      </c>
      <c r="U857" s="10" t="s">
        <v>52</v>
      </c>
      <c r="V857" s="2" t="s">
        <v>53</v>
      </c>
      <c r="W857" s="2">
        <v>6</v>
      </c>
      <c r="X857" s="2" t="s">
        <v>36</v>
      </c>
      <c r="Y857" s="2">
        <v>1</v>
      </c>
      <c r="Z857" s="2" t="s">
        <v>44</v>
      </c>
    </row>
    <row r="858" spans="1:26" x14ac:dyDescent="0.35">
      <c r="A858" s="2" t="s">
        <v>1485</v>
      </c>
      <c r="B858" s="3">
        <v>45844</v>
      </c>
      <c r="C858" s="2" t="s">
        <v>1486</v>
      </c>
      <c r="D858" s="2" t="s">
        <v>96</v>
      </c>
      <c r="E858" s="2" t="s">
        <v>41</v>
      </c>
      <c r="F858" s="2">
        <v>21</v>
      </c>
      <c r="G858" s="2" t="s">
        <v>85</v>
      </c>
      <c r="H858" s="2" t="s">
        <v>31</v>
      </c>
      <c r="I858" s="2" t="s">
        <v>85</v>
      </c>
      <c r="J858" s="2" t="s">
        <v>138</v>
      </c>
      <c r="K858" s="2">
        <v>2</v>
      </c>
      <c r="L858" s="2">
        <v>22407</v>
      </c>
      <c r="M858" s="2">
        <v>5</v>
      </c>
      <c r="N858" s="2">
        <v>2240.6999999999998</v>
      </c>
      <c r="O858" s="2">
        <v>7663.19</v>
      </c>
      <c r="P858" s="2">
        <v>46</v>
      </c>
      <c r="Q858" s="2">
        <v>50282.49</v>
      </c>
      <c r="R858" s="2" t="s">
        <v>51</v>
      </c>
      <c r="S858" s="2" t="s">
        <v>34</v>
      </c>
      <c r="T858" s="9" t="s">
        <v>1709</v>
      </c>
      <c r="U858" s="10" t="s">
        <v>52</v>
      </c>
      <c r="V858" s="2" t="s">
        <v>53</v>
      </c>
      <c r="W858" s="2">
        <v>4</v>
      </c>
      <c r="X858" s="2" t="s">
        <v>36</v>
      </c>
      <c r="Y858" s="2">
        <v>1</v>
      </c>
      <c r="Z858" s="2" t="s">
        <v>44</v>
      </c>
    </row>
    <row r="859" spans="1:26" x14ac:dyDescent="0.35">
      <c r="A859" s="2" t="s">
        <v>1487</v>
      </c>
      <c r="B859" s="3">
        <v>45767</v>
      </c>
      <c r="C859" s="2" t="s">
        <v>1488</v>
      </c>
      <c r="D859" s="2" t="s">
        <v>28</v>
      </c>
      <c r="E859" s="2" t="s">
        <v>41</v>
      </c>
      <c r="F859" s="2">
        <v>25</v>
      </c>
      <c r="G859" s="2" t="s">
        <v>122</v>
      </c>
      <c r="H859" s="2" t="s">
        <v>31</v>
      </c>
      <c r="I859" s="2" t="s">
        <v>122</v>
      </c>
      <c r="J859" s="2" t="s">
        <v>113</v>
      </c>
      <c r="K859" s="2">
        <v>4</v>
      </c>
      <c r="L859" s="2">
        <v>21850</v>
      </c>
      <c r="M859" s="2">
        <v>15</v>
      </c>
      <c r="N859" s="2">
        <v>13110</v>
      </c>
      <c r="O859" s="2">
        <v>13372.2</v>
      </c>
      <c r="P859" s="2">
        <v>303</v>
      </c>
      <c r="Q859" s="2">
        <v>87965.2</v>
      </c>
      <c r="R859" s="2" t="s">
        <v>43</v>
      </c>
      <c r="S859" s="2" t="s">
        <v>34</v>
      </c>
      <c r="T859" s="9" t="s">
        <v>1709</v>
      </c>
      <c r="U859" s="10" t="s">
        <v>52</v>
      </c>
      <c r="V859" s="2" t="s">
        <v>53</v>
      </c>
      <c r="W859" s="2">
        <v>9</v>
      </c>
      <c r="X859" s="2" t="s">
        <v>44</v>
      </c>
      <c r="Y859" s="2">
        <v>3</v>
      </c>
      <c r="Z859" s="2" t="s">
        <v>82</v>
      </c>
    </row>
    <row r="860" spans="1:26" x14ac:dyDescent="0.35">
      <c r="A860" s="2" t="s">
        <v>1489</v>
      </c>
      <c r="B860" s="3">
        <v>45927</v>
      </c>
      <c r="C860" s="2" t="s">
        <v>1490</v>
      </c>
      <c r="D860" s="2" t="s">
        <v>99</v>
      </c>
      <c r="E860" s="2" t="s">
        <v>29</v>
      </c>
      <c r="F860" s="2">
        <v>31</v>
      </c>
      <c r="G860" s="2" t="s">
        <v>81</v>
      </c>
      <c r="H860" s="2" t="s">
        <v>31</v>
      </c>
      <c r="I860" s="2" t="s">
        <v>81</v>
      </c>
      <c r="J860" s="2" t="s">
        <v>65</v>
      </c>
      <c r="K860" s="2">
        <v>1</v>
      </c>
      <c r="L860" s="2">
        <v>24965</v>
      </c>
      <c r="M860" s="2">
        <v>20</v>
      </c>
      <c r="N860" s="2">
        <v>4993</v>
      </c>
      <c r="O860" s="2">
        <v>3594.96</v>
      </c>
      <c r="P860" s="2">
        <v>431</v>
      </c>
      <c r="Q860" s="2">
        <v>23997.96</v>
      </c>
      <c r="R860" s="2" t="s">
        <v>33</v>
      </c>
      <c r="S860" s="2" t="s">
        <v>34</v>
      </c>
      <c r="T860" s="9" t="s">
        <v>1706</v>
      </c>
      <c r="U860" s="10" t="s">
        <v>52</v>
      </c>
      <c r="V860" s="2" t="s">
        <v>53</v>
      </c>
      <c r="W860" s="2">
        <v>1</v>
      </c>
      <c r="X860" s="2" t="s">
        <v>44</v>
      </c>
      <c r="Y860" s="2">
        <v>1</v>
      </c>
      <c r="Z860" s="2" t="s">
        <v>37</v>
      </c>
    </row>
    <row r="861" spans="1:26" x14ac:dyDescent="0.35">
      <c r="A861" s="2" t="s">
        <v>1491</v>
      </c>
      <c r="B861" s="3">
        <v>45993</v>
      </c>
      <c r="C861" s="2" t="s">
        <v>542</v>
      </c>
      <c r="D861" s="2" t="s">
        <v>68</v>
      </c>
      <c r="E861" s="2" t="s">
        <v>41</v>
      </c>
      <c r="F861" s="2">
        <v>24</v>
      </c>
      <c r="G861" s="2" t="s">
        <v>122</v>
      </c>
      <c r="H861" s="2" t="s">
        <v>31</v>
      </c>
      <c r="I861" s="2" t="s">
        <v>122</v>
      </c>
      <c r="J861" s="2" t="s">
        <v>138</v>
      </c>
      <c r="K861" s="2">
        <v>2</v>
      </c>
      <c r="L861" s="2">
        <v>44956</v>
      </c>
      <c r="M861" s="2">
        <v>15</v>
      </c>
      <c r="N861" s="2">
        <v>13486.8</v>
      </c>
      <c r="O861" s="2">
        <v>13756.54</v>
      </c>
      <c r="P861" s="2">
        <v>136</v>
      </c>
      <c r="Q861" s="2">
        <v>90317.74</v>
      </c>
      <c r="R861" s="2" t="s">
        <v>51</v>
      </c>
      <c r="S861" s="2" t="s">
        <v>59</v>
      </c>
      <c r="T861" s="9" t="s">
        <v>1703</v>
      </c>
      <c r="U861" s="10" t="s">
        <v>1701</v>
      </c>
      <c r="V861" s="2" t="s">
        <v>35</v>
      </c>
      <c r="W861" s="2">
        <v>1</v>
      </c>
      <c r="X861" s="2" t="s">
        <v>36</v>
      </c>
      <c r="Y861" s="2">
        <v>2</v>
      </c>
      <c r="Z861" s="2" t="s">
        <v>37</v>
      </c>
    </row>
    <row r="862" spans="1:26" x14ac:dyDescent="0.35">
      <c r="A862" s="2" t="s">
        <v>1492</v>
      </c>
      <c r="B862" s="3">
        <v>45792</v>
      </c>
      <c r="C862" s="2" t="s">
        <v>1493</v>
      </c>
      <c r="D862" s="2" t="s">
        <v>99</v>
      </c>
      <c r="E862" s="2" t="s">
        <v>29</v>
      </c>
      <c r="F862" s="2">
        <v>57</v>
      </c>
      <c r="G862" s="2" t="s">
        <v>81</v>
      </c>
      <c r="H862" s="2" t="s">
        <v>31</v>
      </c>
      <c r="I862" s="2" t="s">
        <v>81</v>
      </c>
      <c r="J862" s="2" t="s">
        <v>32</v>
      </c>
      <c r="K862" s="2">
        <v>3</v>
      </c>
      <c r="L862" s="2">
        <v>42360</v>
      </c>
      <c r="M862" s="2">
        <v>15</v>
      </c>
      <c r="N862" s="2">
        <v>19062</v>
      </c>
      <c r="O862" s="2">
        <v>19443.240000000002</v>
      </c>
      <c r="P862" s="2">
        <v>46</v>
      </c>
      <c r="Q862" s="2">
        <v>127507.24</v>
      </c>
      <c r="R862" s="2" t="s">
        <v>43</v>
      </c>
      <c r="S862" s="2" t="s">
        <v>34</v>
      </c>
      <c r="T862" s="9" t="s">
        <v>1706</v>
      </c>
      <c r="U862" s="10" t="s">
        <v>52</v>
      </c>
      <c r="V862" s="2" t="s">
        <v>53</v>
      </c>
      <c r="W862" s="2">
        <v>6</v>
      </c>
      <c r="X862" s="2" t="s">
        <v>44</v>
      </c>
      <c r="Y862" s="2">
        <v>1</v>
      </c>
      <c r="Z862" s="2" t="s">
        <v>82</v>
      </c>
    </row>
    <row r="863" spans="1:26" x14ac:dyDescent="0.35">
      <c r="A863" s="2" t="s">
        <v>1494</v>
      </c>
      <c r="B863" s="3">
        <v>46065</v>
      </c>
      <c r="C863" s="2" t="s">
        <v>1066</v>
      </c>
      <c r="D863" s="2" t="s">
        <v>57</v>
      </c>
      <c r="E863" s="2" t="s">
        <v>41</v>
      </c>
      <c r="F863" s="2">
        <v>39</v>
      </c>
      <c r="G863" s="2" t="s">
        <v>88</v>
      </c>
      <c r="H863" s="2" t="s">
        <v>49</v>
      </c>
      <c r="I863" s="2" t="s">
        <v>88</v>
      </c>
      <c r="J863" s="2" t="s">
        <v>58</v>
      </c>
      <c r="K863" s="2">
        <v>2</v>
      </c>
      <c r="L863" s="2">
        <v>26834</v>
      </c>
      <c r="M863" s="2">
        <v>20</v>
      </c>
      <c r="N863" s="2">
        <v>10733.6</v>
      </c>
      <c r="O863" s="2">
        <v>7728.19</v>
      </c>
      <c r="P863" s="2">
        <v>488</v>
      </c>
      <c r="Q863" s="2">
        <v>51150.59</v>
      </c>
      <c r="R863" s="2" t="s">
        <v>51</v>
      </c>
      <c r="S863" s="2" t="s">
        <v>34</v>
      </c>
      <c r="T863" s="9" t="s">
        <v>1703</v>
      </c>
      <c r="U863" s="10" t="s">
        <v>1701</v>
      </c>
      <c r="V863" s="2" t="s">
        <v>35</v>
      </c>
      <c r="W863" s="2">
        <v>8</v>
      </c>
      <c r="X863" s="2" t="s">
        <v>44</v>
      </c>
      <c r="Y863" s="2">
        <v>4</v>
      </c>
      <c r="Z863" s="2" t="s">
        <v>82</v>
      </c>
    </row>
    <row r="864" spans="1:26" x14ac:dyDescent="0.35">
      <c r="A864" s="2" t="s">
        <v>1495</v>
      </c>
      <c r="B864" s="3">
        <v>45801</v>
      </c>
      <c r="C864" s="2" t="s">
        <v>364</v>
      </c>
      <c r="D864" s="2" t="s">
        <v>99</v>
      </c>
      <c r="E864" s="2" t="s">
        <v>41</v>
      </c>
      <c r="F864" s="2">
        <v>52</v>
      </c>
      <c r="G864" s="2" t="s">
        <v>42</v>
      </c>
      <c r="H864" s="2" t="s">
        <v>31</v>
      </c>
      <c r="I864" s="2" t="s">
        <v>42</v>
      </c>
      <c r="J864" s="2" t="s">
        <v>32</v>
      </c>
      <c r="K864" s="2">
        <v>4</v>
      </c>
      <c r="L864" s="2">
        <v>43417</v>
      </c>
      <c r="M864" s="2">
        <v>20</v>
      </c>
      <c r="N864" s="2">
        <v>34733.599999999999</v>
      </c>
      <c r="O864" s="2">
        <v>25008.19</v>
      </c>
      <c r="P864" s="2">
        <v>360</v>
      </c>
      <c r="Q864" s="2">
        <v>164302.59</v>
      </c>
      <c r="R864" s="2" t="s">
        <v>33</v>
      </c>
      <c r="S864" s="2" t="s">
        <v>59</v>
      </c>
      <c r="T864" s="9" t="s">
        <v>1703</v>
      </c>
      <c r="U864" s="10" t="s">
        <v>1701</v>
      </c>
      <c r="V864" s="2" t="s">
        <v>35</v>
      </c>
      <c r="W864" s="2">
        <v>5</v>
      </c>
      <c r="X864" s="2" t="s">
        <v>36</v>
      </c>
      <c r="Y864" s="2">
        <v>1</v>
      </c>
      <c r="Z864" s="2" t="s">
        <v>82</v>
      </c>
    </row>
    <row r="865" spans="1:26" x14ac:dyDescent="0.35">
      <c r="A865" s="2" t="s">
        <v>1496</v>
      </c>
      <c r="B865" s="3">
        <v>46078</v>
      </c>
      <c r="C865" s="2" t="s">
        <v>1497</v>
      </c>
      <c r="D865" s="2" t="s">
        <v>96</v>
      </c>
      <c r="E865" s="2" t="s">
        <v>29</v>
      </c>
      <c r="F865" s="2">
        <v>33</v>
      </c>
      <c r="G865" s="2" t="s">
        <v>63</v>
      </c>
      <c r="H865" s="2" t="s">
        <v>64</v>
      </c>
      <c r="I865" s="2" t="s">
        <v>63</v>
      </c>
      <c r="J865" s="2" t="s">
        <v>70</v>
      </c>
      <c r="K865" s="2">
        <v>5</v>
      </c>
      <c r="L865" s="2">
        <v>36728</v>
      </c>
      <c r="M865" s="2">
        <v>10</v>
      </c>
      <c r="N865" s="2">
        <v>18364</v>
      </c>
      <c r="O865" s="2">
        <v>29749.68</v>
      </c>
      <c r="P865" s="2">
        <v>119</v>
      </c>
      <c r="Q865" s="2">
        <v>195144.68</v>
      </c>
      <c r="R865" s="2" t="s">
        <v>51</v>
      </c>
      <c r="S865" s="2" t="s">
        <v>59</v>
      </c>
      <c r="T865" s="9" t="s">
        <v>1710</v>
      </c>
      <c r="U865" s="10" t="s">
        <v>1711</v>
      </c>
      <c r="V865" s="2" t="s">
        <v>53</v>
      </c>
      <c r="W865" s="2">
        <v>1</v>
      </c>
      <c r="X865" s="2" t="s">
        <v>44</v>
      </c>
      <c r="Y865" s="2">
        <v>4</v>
      </c>
      <c r="Z865" s="2" t="s">
        <v>37</v>
      </c>
    </row>
    <row r="866" spans="1:26" x14ac:dyDescent="0.35">
      <c r="A866" s="2" t="s">
        <v>1498</v>
      </c>
      <c r="B866" s="3">
        <v>45792</v>
      </c>
      <c r="C866" s="2" t="s">
        <v>1280</v>
      </c>
      <c r="D866" s="2" t="s">
        <v>96</v>
      </c>
      <c r="E866" s="2" t="s">
        <v>29</v>
      </c>
      <c r="F866" s="2">
        <v>25</v>
      </c>
      <c r="G866" s="2" t="s">
        <v>85</v>
      </c>
      <c r="H866" s="2" t="s">
        <v>31</v>
      </c>
      <c r="I866" s="2" t="s">
        <v>85</v>
      </c>
      <c r="J866" s="2" t="s">
        <v>113</v>
      </c>
      <c r="K866" s="2">
        <v>1</v>
      </c>
      <c r="L866" s="2">
        <v>41533</v>
      </c>
      <c r="M866" s="2">
        <v>0</v>
      </c>
      <c r="N866" s="2">
        <v>0</v>
      </c>
      <c r="O866" s="2">
        <v>7475.94</v>
      </c>
      <c r="P866" s="2">
        <v>229</v>
      </c>
      <c r="Q866" s="2">
        <v>49237.94</v>
      </c>
      <c r="R866" s="2" t="s">
        <v>76</v>
      </c>
      <c r="S866" s="2" t="s">
        <v>34</v>
      </c>
      <c r="T866" s="9" t="s">
        <v>1704</v>
      </c>
      <c r="U866" s="10" t="s">
        <v>52</v>
      </c>
      <c r="V866" s="2" t="s">
        <v>35</v>
      </c>
      <c r="W866" s="2">
        <v>2</v>
      </c>
      <c r="X866" s="2" t="s">
        <v>44</v>
      </c>
      <c r="Y866" s="2">
        <v>5</v>
      </c>
      <c r="Z866" s="2" t="s">
        <v>82</v>
      </c>
    </row>
    <row r="867" spans="1:26" x14ac:dyDescent="0.35">
      <c r="A867" s="2" t="s">
        <v>1499</v>
      </c>
      <c r="B867" s="3">
        <v>46116</v>
      </c>
      <c r="C867" s="2" t="s">
        <v>1500</v>
      </c>
      <c r="D867" s="2" t="s">
        <v>28</v>
      </c>
      <c r="E867" s="2" t="s">
        <v>29</v>
      </c>
      <c r="F867" s="2">
        <v>55</v>
      </c>
      <c r="G867" s="2" t="s">
        <v>81</v>
      </c>
      <c r="H867" s="2" t="s">
        <v>31</v>
      </c>
      <c r="I867" s="2" t="s">
        <v>81</v>
      </c>
      <c r="J867" s="2" t="s">
        <v>100</v>
      </c>
      <c r="K867" s="2">
        <v>5</v>
      </c>
      <c r="L867" s="2">
        <v>30419</v>
      </c>
      <c r="M867" s="2">
        <v>10</v>
      </c>
      <c r="N867" s="2">
        <v>15209.5</v>
      </c>
      <c r="O867" s="2">
        <v>24639.39</v>
      </c>
      <c r="P867" s="2">
        <v>45</v>
      </c>
      <c r="Q867" s="2">
        <v>161569.89000000001</v>
      </c>
      <c r="R867" s="2" t="s">
        <v>43</v>
      </c>
      <c r="S867" s="2" t="s">
        <v>34</v>
      </c>
      <c r="T867" s="9" t="s">
        <v>1704</v>
      </c>
      <c r="U867" s="10" t="s">
        <v>52</v>
      </c>
      <c r="V867" s="2" t="s">
        <v>35</v>
      </c>
      <c r="W867" s="2">
        <v>3</v>
      </c>
      <c r="X867" s="2" t="s">
        <v>36</v>
      </c>
      <c r="Y867" s="2">
        <v>4</v>
      </c>
      <c r="Z867" s="2" t="s">
        <v>82</v>
      </c>
    </row>
    <row r="868" spans="1:26" x14ac:dyDescent="0.35">
      <c r="A868" s="2" t="s">
        <v>1501</v>
      </c>
      <c r="B868" s="3">
        <v>45774</v>
      </c>
      <c r="C868" s="2" t="s">
        <v>1502</v>
      </c>
      <c r="D868" s="2" t="s">
        <v>68</v>
      </c>
      <c r="E868" s="2" t="s">
        <v>41</v>
      </c>
      <c r="F868" s="2">
        <v>24</v>
      </c>
      <c r="G868" s="2" t="s">
        <v>69</v>
      </c>
      <c r="H868" s="2" t="s">
        <v>31</v>
      </c>
      <c r="I868" s="2" t="s">
        <v>69</v>
      </c>
      <c r="J868" s="2" t="s">
        <v>91</v>
      </c>
      <c r="K868" s="2">
        <v>3</v>
      </c>
      <c r="L868" s="2">
        <v>41505</v>
      </c>
      <c r="M868" s="2">
        <v>20</v>
      </c>
      <c r="N868" s="2">
        <v>24903</v>
      </c>
      <c r="O868" s="2">
        <v>17930.16</v>
      </c>
      <c r="P868" s="2">
        <v>297</v>
      </c>
      <c r="Q868" s="2">
        <v>117839.16</v>
      </c>
      <c r="R868" s="2" t="s">
        <v>33</v>
      </c>
      <c r="S868" s="2" t="s">
        <v>59</v>
      </c>
      <c r="T868" s="9" t="s">
        <v>1703</v>
      </c>
      <c r="U868" s="10" t="s">
        <v>1701</v>
      </c>
      <c r="V868" s="2" t="s">
        <v>35</v>
      </c>
      <c r="W868" s="2">
        <v>1</v>
      </c>
      <c r="X868" s="2" t="s">
        <v>36</v>
      </c>
      <c r="Y868" s="2">
        <v>3</v>
      </c>
      <c r="Z868" s="2" t="s">
        <v>37</v>
      </c>
    </row>
    <row r="869" spans="1:26" x14ac:dyDescent="0.35">
      <c r="A869" s="2" t="s">
        <v>1503</v>
      </c>
      <c r="B869" s="3">
        <v>45759</v>
      </c>
      <c r="C869" s="2" t="s">
        <v>1504</v>
      </c>
      <c r="D869" s="2" t="s">
        <v>40</v>
      </c>
      <c r="E869" s="2" t="s">
        <v>29</v>
      </c>
      <c r="F869" s="2">
        <v>49</v>
      </c>
      <c r="G869" s="2" t="s">
        <v>48</v>
      </c>
      <c r="H869" s="2" t="s">
        <v>49</v>
      </c>
      <c r="I869" s="2" t="s">
        <v>48</v>
      </c>
      <c r="J869" s="2" t="s">
        <v>32</v>
      </c>
      <c r="K869" s="2">
        <v>3</v>
      </c>
      <c r="L869" s="2">
        <v>5310</v>
      </c>
      <c r="M869" s="2">
        <v>10</v>
      </c>
      <c r="N869" s="2">
        <v>1593</v>
      </c>
      <c r="O869" s="2">
        <v>2580.66</v>
      </c>
      <c r="P869" s="2">
        <v>400</v>
      </c>
      <c r="Q869" s="2">
        <v>17317.66</v>
      </c>
      <c r="R869" s="2" t="s">
        <v>33</v>
      </c>
      <c r="S869" s="2" t="s">
        <v>59</v>
      </c>
      <c r="T869" s="9" t="s">
        <v>1710</v>
      </c>
      <c r="U869" s="10" t="s">
        <v>1711</v>
      </c>
      <c r="V869" s="2" t="s">
        <v>53</v>
      </c>
      <c r="W869" s="2">
        <v>6</v>
      </c>
      <c r="X869" s="2" t="s">
        <v>36</v>
      </c>
      <c r="Y869" s="2">
        <v>5</v>
      </c>
      <c r="Z869" s="2" t="s">
        <v>44</v>
      </c>
    </row>
    <row r="870" spans="1:26" x14ac:dyDescent="0.35">
      <c r="A870" s="2" t="s">
        <v>1505</v>
      </c>
      <c r="B870" s="3">
        <v>46012</v>
      </c>
      <c r="C870" s="2" t="s">
        <v>228</v>
      </c>
      <c r="D870" s="2" t="s">
        <v>96</v>
      </c>
      <c r="E870" s="2" t="s">
        <v>41</v>
      </c>
      <c r="F870" s="2">
        <v>32</v>
      </c>
      <c r="G870" s="2" t="s">
        <v>122</v>
      </c>
      <c r="H870" s="2" t="s">
        <v>31</v>
      </c>
      <c r="I870" s="2" t="s">
        <v>122</v>
      </c>
      <c r="J870" s="2" t="s">
        <v>138</v>
      </c>
      <c r="K870" s="2">
        <v>4</v>
      </c>
      <c r="L870" s="2">
        <v>14528</v>
      </c>
      <c r="M870" s="2">
        <v>20</v>
      </c>
      <c r="N870" s="2">
        <v>11622.4</v>
      </c>
      <c r="O870" s="2">
        <v>8368.1299999999992</v>
      </c>
      <c r="P870" s="2">
        <v>121</v>
      </c>
      <c r="Q870" s="2">
        <v>54978.73</v>
      </c>
      <c r="R870" s="2" t="s">
        <v>43</v>
      </c>
      <c r="S870" s="2" t="s">
        <v>34</v>
      </c>
      <c r="T870" s="9" t="s">
        <v>1705</v>
      </c>
      <c r="U870" s="10" t="s">
        <v>1702</v>
      </c>
      <c r="V870" s="2" t="s">
        <v>53</v>
      </c>
      <c r="W870" s="2">
        <v>7</v>
      </c>
      <c r="X870" s="2" t="s">
        <v>36</v>
      </c>
      <c r="Y870" s="2">
        <v>5</v>
      </c>
      <c r="Z870" s="2" t="s">
        <v>54</v>
      </c>
    </row>
    <row r="871" spans="1:26" x14ac:dyDescent="0.35">
      <c r="A871" s="2" t="s">
        <v>1506</v>
      </c>
      <c r="B871" s="3">
        <v>45890</v>
      </c>
      <c r="C871" s="2" t="s">
        <v>1507</v>
      </c>
      <c r="D871" s="2" t="s">
        <v>57</v>
      </c>
      <c r="E871" s="2" t="s">
        <v>41</v>
      </c>
      <c r="F871" s="2">
        <v>34</v>
      </c>
      <c r="G871" s="2" t="s">
        <v>88</v>
      </c>
      <c r="H871" s="2" t="s">
        <v>49</v>
      </c>
      <c r="I871" s="2" t="s">
        <v>88</v>
      </c>
      <c r="J871" s="2" t="s">
        <v>138</v>
      </c>
      <c r="K871" s="2">
        <v>4</v>
      </c>
      <c r="L871" s="2">
        <v>29992</v>
      </c>
      <c r="M871" s="2">
        <v>5</v>
      </c>
      <c r="N871" s="2">
        <v>5998.4</v>
      </c>
      <c r="O871" s="2">
        <v>20514.53</v>
      </c>
      <c r="P871" s="2">
        <v>338</v>
      </c>
      <c r="Q871" s="2">
        <v>134822.13</v>
      </c>
      <c r="R871" s="2" t="s">
        <v>76</v>
      </c>
      <c r="S871" s="2" t="s">
        <v>59</v>
      </c>
      <c r="T871" s="9" t="s">
        <v>1706</v>
      </c>
      <c r="U871" s="10" t="s">
        <v>52</v>
      </c>
      <c r="V871" s="2" t="s">
        <v>53</v>
      </c>
      <c r="W871" s="2">
        <v>4</v>
      </c>
      <c r="X871" s="2" t="s">
        <v>44</v>
      </c>
      <c r="Y871" s="2">
        <v>2</v>
      </c>
      <c r="Z871" s="2" t="s">
        <v>54</v>
      </c>
    </row>
    <row r="872" spans="1:26" x14ac:dyDescent="0.35">
      <c r="A872" s="2" t="s">
        <v>1508</v>
      </c>
      <c r="B872" s="3">
        <v>46009</v>
      </c>
      <c r="C872" s="2" t="s">
        <v>434</v>
      </c>
      <c r="D872" s="2" t="s">
        <v>47</v>
      </c>
      <c r="E872" s="2" t="s">
        <v>29</v>
      </c>
      <c r="F872" s="2">
        <v>28</v>
      </c>
      <c r="G872" s="2" t="s">
        <v>42</v>
      </c>
      <c r="H872" s="2" t="s">
        <v>31</v>
      </c>
      <c r="I872" s="2" t="s">
        <v>42</v>
      </c>
      <c r="J872" s="2" t="s">
        <v>138</v>
      </c>
      <c r="K872" s="2">
        <v>4</v>
      </c>
      <c r="L872" s="2">
        <v>29117</v>
      </c>
      <c r="M872" s="2">
        <v>15</v>
      </c>
      <c r="N872" s="2">
        <v>17470.2</v>
      </c>
      <c r="O872" s="2">
        <v>17819.599999999999</v>
      </c>
      <c r="P872" s="2">
        <v>300</v>
      </c>
      <c r="Q872" s="2">
        <v>117117.4</v>
      </c>
      <c r="R872" s="2" t="s">
        <v>43</v>
      </c>
      <c r="S872" s="2" t="s">
        <v>34</v>
      </c>
      <c r="T872" s="9" t="s">
        <v>1704</v>
      </c>
      <c r="U872" s="10" t="s">
        <v>52</v>
      </c>
      <c r="V872" s="2" t="s">
        <v>35</v>
      </c>
      <c r="W872" s="2">
        <v>9</v>
      </c>
      <c r="X872" s="2" t="s">
        <v>36</v>
      </c>
      <c r="Y872" s="2">
        <v>5</v>
      </c>
      <c r="Z872" s="2" t="s">
        <v>54</v>
      </c>
    </row>
    <row r="873" spans="1:26" x14ac:dyDescent="0.35">
      <c r="A873" s="2" t="s">
        <v>1509</v>
      </c>
      <c r="B873" s="3">
        <v>45983</v>
      </c>
      <c r="C873" s="2" t="s">
        <v>1510</v>
      </c>
      <c r="D873" s="2" t="s">
        <v>28</v>
      </c>
      <c r="E873" s="2" t="s">
        <v>29</v>
      </c>
      <c r="F873" s="2">
        <v>32</v>
      </c>
      <c r="G873" s="2" t="s">
        <v>42</v>
      </c>
      <c r="H873" s="2" t="s">
        <v>31</v>
      </c>
      <c r="I873" s="2" t="s">
        <v>42</v>
      </c>
      <c r="J873" s="2" t="s">
        <v>32</v>
      </c>
      <c r="K873" s="2">
        <v>1</v>
      </c>
      <c r="L873" s="2">
        <v>6441</v>
      </c>
      <c r="M873" s="2">
        <v>20</v>
      </c>
      <c r="N873" s="2">
        <v>1288.2</v>
      </c>
      <c r="O873" s="2">
        <v>927.5</v>
      </c>
      <c r="P873" s="2">
        <v>124</v>
      </c>
      <c r="Q873" s="2">
        <v>6204.3</v>
      </c>
      <c r="R873" s="2" t="s">
        <v>43</v>
      </c>
      <c r="S873" s="2" t="s">
        <v>34</v>
      </c>
      <c r="T873" s="9" t="s">
        <v>1707</v>
      </c>
      <c r="U873" s="10" t="s">
        <v>1712</v>
      </c>
      <c r="V873" s="2" t="s">
        <v>53</v>
      </c>
      <c r="W873" s="2">
        <v>7</v>
      </c>
      <c r="X873" s="2" t="s">
        <v>36</v>
      </c>
      <c r="Y873" s="2">
        <v>3</v>
      </c>
      <c r="Z873" s="2" t="s">
        <v>82</v>
      </c>
    </row>
    <row r="874" spans="1:26" x14ac:dyDescent="0.35">
      <c r="A874" s="2" t="s">
        <v>1511</v>
      </c>
      <c r="B874" s="3">
        <v>45844</v>
      </c>
      <c r="C874" s="2" t="s">
        <v>1113</v>
      </c>
      <c r="D874" s="2" t="s">
        <v>62</v>
      </c>
      <c r="E874" s="2" t="s">
        <v>29</v>
      </c>
      <c r="F874" s="2">
        <v>25</v>
      </c>
      <c r="G874" s="2" t="s">
        <v>63</v>
      </c>
      <c r="H874" s="2" t="s">
        <v>64</v>
      </c>
      <c r="I874" s="2" t="s">
        <v>63</v>
      </c>
      <c r="J874" s="2" t="s">
        <v>100</v>
      </c>
      <c r="K874" s="2">
        <v>3</v>
      </c>
      <c r="L874" s="2">
        <v>23228</v>
      </c>
      <c r="M874" s="2">
        <v>15</v>
      </c>
      <c r="N874" s="2">
        <v>10452.6</v>
      </c>
      <c r="O874" s="2">
        <v>10661.65</v>
      </c>
      <c r="P874" s="2">
        <v>74</v>
      </c>
      <c r="Q874" s="2">
        <v>69967.05</v>
      </c>
      <c r="R874" s="2" t="s">
        <v>51</v>
      </c>
      <c r="S874" s="2" t="s">
        <v>59</v>
      </c>
      <c r="T874" s="9" t="s">
        <v>1708</v>
      </c>
      <c r="U874" s="10" t="s">
        <v>52</v>
      </c>
      <c r="V874" s="2" t="s">
        <v>77</v>
      </c>
      <c r="W874" s="2">
        <v>4</v>
      </c>
      <c r="X874" s="2" t="s">
        <v>44</v>
      </c>
      <c r="Y874" s="2">
        <v>2</v>
      </c>
      <c r="Z874" s="2" t="s">
        <v>44</v>
      </c>
    </row>
    <row r="875" spans="1:26" x14ac:dyDescent="0.35">
      <c r="A875" s="2" t="s">
        <v>1512</v>
      </c>
      <c r="B875" s="3">
        <v>46090</v>
      </c>
      <c r="C875" s="2" t="s">
        <v>504</v>
      </c>
      <c r="D875" s="2" t="s">
        <v>80</v>
      </c>
      <c r="E875" s="2" t="s">
        <v>29</v>
      </c>
      <c r="F875" s="2">
        <v>53</v>
      </c>
      <c r="G875" s="2" t="s">
        <v>30</v>
      </c>
      <c r="H875" s="2" t="s">
        <v>31</v>
      </c>
      <c r="I875" s="2" t="s">
        <v>30</v>
      </c>
      <c r="J875" s="2" t="s">
        <v>58</v>
      </c>
      <c r="K875" s="2">
        <v>5</v>
      </c>
      <c r="L875" s="2">
        <v>13705</v>
      </c>
      <c r="M875" s="2">
        <v>20</v>
      </c>
      <c r="N875" s="2">
        <v>13705</v>
      </c>
      <c r="O875" s="2">
        <v>9867.6</v>
      </c>
      <c r="P875" s="2">
        <v>26</v>
      </c>
      <c r="Q875" s="2">
        <v>64713.599999999999</v>
      </c>
      <c r="R875" s="2" t="s">
        <v>33</v>
      </c>
      <c r="S875" s="2" t="s">
        <v>34</v>
      </c>
      <c r="T875" s="9" t="s">
        <v>1707</v>
      </c>
      <c r="U875" s="10" t="s">
        <v>1712</v>
      </c>
      <c r="V875" s="2" t="s">
        <v>53</v>
      </c>
      <c r="W875" s="2">
        <v>4</v>
      </c>
      <c r="X875" s="2" t="s">
        <v>44</v>
      </c>
      <c r="Y875" s="2">
        <v>3</v>
      </c>
      <c r="Z875" s="2" t="s">
        <v>82</v>
      </c>
    </row>
    <row r="876" spans="1:26" x14ac:dyDescent="0.35">
      <c r="A876" s="2" t="s">
        <v>1513</v>
      </c>
      <c r="B876" s="3">
        <v>46055</v>
      </c>
      <c r="C876" s="2" t="s">
        <v>658</v>
      </c>
      <c r="D876" s="2" t="s">
        <v>40</v>
      </c>
      <c r="E876" s="2" t="s">
        <v>29</v>
      </c>
      <c r="F876" s="2">
        <v>38</v>
      </c>
      <c r="G876" s="2" t="s">
        <v>63</v>
      </c>
      <c r="H876" s="2" t="s">
        <v>64</v>
      </c>
      <c r="I876" s="2" t="s">
        <v>63</v>
      </c>
      <c r="J876" s="2" t="s">
        <v>58</v>
      </c>
      <c r="K876" s="2">
        <v>2</v>
      </c>
      <c r="L876" s="2">
        <v>48561</v>
      </c>
      <c r="M876" s="2">
        <v>20</v>
      </c>
      <c r="N876" s="2">
        <v>19424.400000000001</v>
      </c>
      <c r="O876" s="2">
        <v>13985.57</v>
      </c>
      <c r="P876" s="2">
        <v>179</v>
      </c>
      <c r="Q876" s="2">
        <v>91862.17</v>
      </c>
      <c r="R876" s="2" t="s">
        <v>43</v>
      </c>
      <c r="S876" s="2" t="s">
        <v>34</v>
      </c>
      <c r="T876" s="9" t="s">
        <v>1708</v>
      </c>
      <c r="U876" s="10" t="s">
        <v>52</v>
      </c>
      <c r="V876" s="2" t="s">
        <v>77</v>
      </c>
      <c r="W876" s="2">
        <v>1</v>
      </c>
      <c r="X876" s="2" t="s">
        <v>44</v>
      </c>
      <c r="Y876" s="2">
        <v>2</v>
      </c>
      <c r="Z876" s="2" t="s">
        <v>54</v>
      </c>
    </row>
    <row r="877" spans="1:26" x14ac:dyDescent="0.35">
      <c r="A877" s="2" t="s">
        <v>1514</v>
      </c>
      <c r="B877" s="3">
        <v>45839</v>
      </c>
      <c r="C877" s="2" t="s">
        <v>1515</v>
      </c>
      <c r="D877" s="2" t="s">
        <v>96</v>
      </c>
      <c r="E877" s="2" t="s">
        <v>41</v>
      </c>
      <c r="F877" s="2">
        <v>28</v>
      </c>
      <c r="G877" s="2" t="s">
        <v>48</v>
      </c>
      <c r="H877" s="2" t="s">
        <v>49</v>
      </c>
      <c r="I877" s="2" t="s">
        <v>48</v>
      </c>
      <c r="J877" s="2" t="s">
        <v>113</v>
      </c>
      <c r="K877" s="2">
        <v>2</v>
      </c>
      <c r="L877" s="2">
        <v>17048</v>
      </c>
      <c r="M877" s="2">
        <v>10</v>
      </c>
      <c r="N877" s="2">
        <v>3409.6</v>
      </c>
      <c r="O877" s="2">
        <v>5523.55</v>
      </c>
      <c r="P877" s="2">
        <v>126</v>
      </c>
      <c r="Q877" s="2">
        <v>36335.949999999997</v>
      </c>
      <c r="R877" s="2" t="s">
        <v>33</v>
      </c>
      <c r="S877" s="2" t="s">
        <v>59</v>
      </c>
      <c r="T877" s="9" t="s">
        <v>1707</v>
      </c>
      <c r="U877" s="10" t="s">
        <v>1712</v>
      </c>
      <c r="V877" s="2" t="s">
        <v>53</v>
      </c>
      <c r="W877" s="2">
        <v>6</v>
      </c>
      <c r="X877" s="2" t="s">
        <v>36</v>
      </c>
      <c r="Y877" s="2">
        <v>2</v>
      </c>
      <c r="Z877" s="2" t="s">
        <v>37</v>
      </c>
    </row>
    <row r="878" spans="1:26" x14ac:dyDescent="0.35">
      <c r="A878" s="2" t="s">
        <v>1516</v>
      </c>
      <c r="B878" s="3">
        <v>46092</v>
      </c>
      <c r="C878" s="2" t="s">
        <v>1517</v>
      </c>
      <c r="D878" s="2" t="s">
        <v>57</v>
      </c>
      <c r="E878" s="2" t="s">
        <v>29</v>
      </c>
      <c r="F878" s="2">
        <v>55</v>
      </c>
      <c r="G878" s="2" t="s">
        <v>42</v>
      </c>
      <c r="H878" s="2" t="s">
        <v>31</v>
      </c>
      <c r="I878" s="2" t="s">
        <v>42</v>
      </c>
      <c r="J878" s="2" t="s">
        <v>113</v>
      </c>
      <c r="K878" s="2">
        <v>2</v>
      </c>
      <c r="L878" s="2">
        <v>46981</v>
      </c>
      <c r="M878" s="2">
        <v>0</v>
      </c>
      <c r="N878" s="2">
        <v>0</v>
      </c>
      <c r="O878" s="2">
        <v>16913.16</v>
      </c>
      <c r="P878" s="2">
        <v>252</v>
      </c>
      <c r="Q878" s="2">
        <v>111127.16</v>
      </c>
      <c r="R878" s="2" t="s">
        <v>76</v>
      </c>
      <c r="S878" s="2" t="s">
        <v>34</v>
      </c>
      <c r="T878" s="9" t="s">
        <v>1703</v>
      </c>
      <c r="U878" s="10" t="s">
        <v>1701</v>
      </c>
      <c r="V878" s="2" t="s">
        <v>35</v>
      </c>
      <c r="W878" s="2">
        <v>4</v>
      </c>
      <c r="X878" s="2" t="s">
        <v>44</v>
      </c>
      <c r="Y878" s="2">
        <v>1</v>
      </c>
      <c r="Z878" s="2" t="s">
        <v>37</v>
      </c>
    </row>
    <row r="879" spans="1:26" x14ac:dyDescent="0.35">
      <c r="A879" s="2" t="s">
        <v>1518</v>
      </c>
      <c r="B879" s="3">
        <v>45892</v>
      </c>
      <c r="C879" s="2" t="s">
        <v>148</v>
      </c>
      <c r="D879" s="2" t="s">
        <v>68</v>
      </c>
      <c r="E879" s="2" t="s">
        <v>29</v>
      </c>
      <c r="F879" s="2">
        <v>59</v>
      </c>
      <c r="G879" s="2" t="s">
        <v>69</v>
      </c>
      <c r="H879" s="2" t="s">
        <v>31</v>
      </c>
      <c r="I879" s="2" t="s">
        <v>69</v>
      </c>
      <c r="J879" s="2" t="s">
        <v>113</v>
      </c>
      <c r="K879" s="2">
        <v>3</v>
      </c>
      <c r="L879" s="2">
        <v>42665</v>
      </c>
      <c r="M879" s="2">
        <v>10</v>
      </c>
      <c r="N879" s="2">
        <v>12799.5</v>
      </c>
      <c r="O879" s="2">
        <v>20735.189999999999</v>
      </c>
      <c r="P879" s="2">
        <v>452</v>
      </c>
      <c r="Q879" s="2">
        <v>136382.69</v>
      </c>
      <c r="R879" s="2" t="s">
        <v>33</v>
      </c>
      <c r="S879" s="2" t="s">
        <v>59</v>
      </c>
      <c r="T879" s="9" t="s">
        <v>1710</v>
      </c>
      <c r="U879" s="10" t="s">
        <v>1711</v>
      </c>
      <c r="V879" s="2" t="s">
        <v>53</v>
      </c>
      <c r="W879" s="2">
        <v>1</v>
      </c>
      <c r="X879" s="2" t="s">
        <v>36</v>
      </c>
      <c r="Y879" s="2">
        <v>3</v>
      </c>
      <c r="Z879" s="2" t="s">
        <v>54</v>
      </c>
    </row>
    <row r="880" spans="1:26" x14ac:dyDescent="0.35">
      <c r="A880" s="2" t="s">
        <v>1519</v>
      </c>
      <c r="B880" s="3">
        <v>46045</v>
      </c>
      <c r="C880" s="2" t="s">
        <v>1520</v>
      </c>
      <c r="D880" s="2" t="s">
        <v>68</v>
      </c>
      <c r="E880" s="2" t="s">
        <v>29</v>
      </c>
      <c r="F880" s="2">
        <v>42</v>
      </c>
      <c r="G880" s="2" t="s">
        <v>69</v>
      </c>
      <c r="H880" s="2" t="s">
        <v>31</v>
      </c>
      <c r="I880" s="2" t="s">
        <v>69</v>
      </c>
      <c r="J880" s="2" t="s">
        <v>138</v>
      </c>
      <c r="K880" s="2">
        <v>3</v>
      </c>
      <c r="L880" s="2">
        <v>33362</v>
      </c>
      <c r="M880" s="2">
        <v>0</v>
      </c>
      <c r="N880" s="2">
        <v>0</v>
      </c>
      <c r="O880" s="2">
        <v>18015.48</v>
      </c>
      <c r="P880" s="2">
        <v>429</v>
      </c>
      <c r="Q880" s="2">
        <v>118530.48</v>
      </c>
      <c r="R880" s="2" t="s">
        <v>33</v>
      </c>
      <c r="S880" s="2" t="s">
        <v>59</v>
      </c>
      <c r="T880" s="9" t="s">
        <v>1709</v>
      </c>
      <c r="U880" s="10" t="s">
        <v>52</v>
      </c>
      <c r="V880" s="2" t="s">
        <v>53</v>
      </c>
      <c r="W880" s="2">
        <v>1</v>
      </c>
      <c r="X880" s="2" t="s">
        <v>36</v>
      </c>
      <c r="Y880" s="2">
        <v>2</v>
      </c>
      <c r="Z880" s="2" t="s">
        <v>44</v>
      </c>
    </row>
    <row r="881" spans="1:26" x14ac:dyDescent="0.35">
      <c r="A881" s="2" t="s">
        <v>1521</v>
      </c>
      <c r="B881" s="3">
        <v>45893</v>
      </c>
      <c r="C881" s="2" t="s">
        <v>466</v>
      </c>
      <c r="D881" s="2" t="s">
        <v>99</v>
      </c>
      <c r="E881" s="2" t="s">
        <v>29</v>
      </c>
      <c r="F881" s="2">
        <v>45</v>
      </c>
      <c r="G881" s="2" t="s">
        <v>122</v>
      </c>
      <c r="H881" s="2" t="s">
        <v>31</v>
      </c>
      <c r="I881" s="2" t="s">
        <v>122</v>
      </c>
      <c r="J881" s="2" t="s">
        <v>70</v>
      </c>
      <c r="K881" s="2">
        <v>1</v>
      </c>
      <c r="L881" s="2">
        <v>4860</v>
      </c>
      <c r="M881" s="2">
        <v>10</v>
      </c>
      <c r="N881" s="2">
        <v>486</v>
      </c>
      <c r="O881" s="2">
        <v>787.32</v>
      </c>
      <c r="P881" s="2">
        <v>245</v>
      </c>
      <c r="Q881" s="2">
        <v>5406.32</v>
      </c>
      <c r="R881" s="2" t="s">
        <v>33</v>
      </c>
      <c r="S881" s="2" t="s">
        <v>59</v>
      </c>
      <c r="T881" s="9" t="s">
        <v>1710</v>
      </c>
      <c r="U881" s="10" t="s">
        <v>1711</v>
      </c>
      <c r="V881" s="2" t="s">
        <v>53</v>
      </c>
      <c r="W881" s="2">
        <v>9</v>
      </c>
      <c r="X881" s="2" t="s">
        <v>44</v>
      </c>
      <c r="Y881" s="2">
        <v>5</v>
      </c>
      <c r="Z881" s="2" t="s">
        <v>54</v>
      </c>
    </row>
    <row r="882" spans="1:26" x14ac:dyDescent="0.35">
      <c r="A882" s="2" t="s">
        <v>1522</v>
      </c>
      <c r="B882" s="3">
        <v>45791</v>
      </c>
      <c r="C882" s="2" t="s">
        <v>214</v>
      </c>
      <c r="D882" s="2" t="s">
        <v>28</v>
      </c>
      <c r="E882" s="2" t="s">
        <v>41</v>
      </c>
      <c r="F882" s="2">
        <v>34</v>
      </c>
      <c r="G882" s="2" t="s">
        <v>30</v>
      </c>
      <c r="H882" s="2" t="s">
        <v>31</v>
      </c>
      <c r="I882" s="2" t="s">
        <v>30</v>
      </c>
      <c r="J882" s="2" t="s">
        <v>190</v>
      </c>
      <c r="K882" s="2">
        <v>3</v>
      </c>
      <c r="L882" s="2">
        <v>39078</v>
      </c>
      <c r="M882" s="2">
        <v>15</v>
      </c>
      <c r="N882" s="2">
        <v>17585.099999999999</v>
      </c>
      <c r="O882" s="2">
        <v>17936.8</v>
      </c>
      <c r="P882" s="2">
        <v>64</v>
      </c>
      <c r="Q882" s="2">
        <v>117649.7</v>
      </c>
      <c r="R882" s="2" t="s">
        <v>51</v>
      </c>
      <c r="S882" s="2" t="s">
        <v>59</v>
      </c>
      <c r="T882" s="9" t="s">
        <v>1704</v>
      </c>
      <c r="U882" s="10" t="s">
        <v>52</v>
      </c>
      <c r="V882" s="2" t="s">
        <v>35</v>
      </c>
      <c r="W882" s="2">
        <v>7</v>
      </c>
      <c r="X882" s="2" t="s">
        <v>36</v>
      </c>
      <c r="Y882" s="2">
        <v>1</v>
      </c>
      <c r="Z882" s="2" t="s">
        <v>82</v>
      </c>
    </row>
    <row r="883" spans="1:26" x14ac:dyDescent="0.35">
      <c r="A883" s="2" t="s">
        <v>1523</v>
      </c>
      <c r="B883" s="3">
        <v>46105</v>
      </c>
      <c r="C883" s="2" t="s">
        <v>799</v>
      </c>
      <c r="D883" s="2" t="s">
        <v>40</v>
      </c>
      <c r="E883" s="2" t="s">
        <v>41</v>
      </c>
      <c r="F883" s="2">
        <v>47</v>
      </c>
      <c r="G883" s="2" t="s">
        <v>88</v>
      </c>
      <c r="H883" s="2" t="s">
        <v>49</v>
      </c>
      <c r="I883" s="2" t="s">
        <v>88</v>
      </c>
      <c r="J883" s="2" t="s">
        <v>50</v>
      </c>
      <c r="K883" s="2">
        <v>5</v>
      </c>
      <c r="L883" s="2">
        <v>5258</v>
      </c>
      <c r="M883" s="2">
        <v>15</v>
      </c>
      <c r="N883" s="2">
        <v>3943.5</v>
      </c>
      <c r="O883" s="2">
        <v>4022.37</v>
      </c>
      <c r="P883" s="2">
        <v>359</v>
      </c>
      <c r="Q883" s="2">
        <v>26727.87</v>
      </c>
      <c r="R883" s="2" t="s">
        <v>33</v>
      </c>
      <c r="S883" s="2" t="s">
        <v>59</v>
      </c>
      <c r="T883" s="9" t="s">
        <v>1706</v>
      </c>
      <c r="U883" s="10" t="s">
        <v>52</v>
      </c>
      <c r="V883" s="2" t="s">
        <v>53</v>
      </c>
      <c r="W883" s="2">
        <v>10</v>
      </c>
      <c r="X883" s="2" t="s">
        <v>36</v>
      </c>
      <c r="Y883" s="2">
        <v>2</v>
      </c>
      <c r="Z883" s="2" t="s">
        <v>54</v>
      </c>
    </row>
    <row r="884" spans="1:26" x14ac:dyDescent="0.35">
      <c r="A884" s="2" t="s">
        <v>1524</v>
      </c>
      <c r="B884" s="3">
        <v>45782</v>
      </c>
      <c r="C884" s="2" t="s">
        <v>1525</v>
      </c>
      <c r="D884" s="2" t="s">
        <v>57</v>
      </c>
      <c r="E884" s="2" t="s">
        <v>29</v>
      </c>
      <c r="F884" s="2">
        <v>31</v>
      </c>
      <c r="G884" s="2" t="s">
        <v>42</v>
      </c>
      <c r="H884" s="2" t="s">
        <v>31</v>
      </c>
      <c r="I884" s="2" t="s">
        <v>42</v>
      </c>
      <c r="J884" s="2" t="s">
        <v>32</v>
      </c>
      <c r="K884" s="2">
        <v>5</v>
      </c>
      <c r="L884" s="2">
        <v>13845</v>
      </c>
      <c r="M884" s="2">
        <v>15</v>
      </c>
      <c r="N884" s="2">
        <v>10383.75</v>
      </c>
      <c r="O884" s="2">
        <v>10591.42</v>
      </c>
      <c r="P884" s="2">
        <v>169</v>
      </c>
      <c r="Q884" s="2">
        <v>69601.679999999993</v>
      </c>
      <c r="R884" s="2" t="s">
        <v>51</v>
      </c>
      <c r="S884" s="2" t="s">
        <v>59</v>
      </c>
      <c r="T884" s="9" t="s">
        <v>1704</v>
      </c>
      <c r="U884" s="10" t="s">
        <v>52</v>
      </c>
      <c r="V884" s="2" t="s">
        <v>35</v>
      </c>
      <c r="W884" s="2">
        <v>10</v>
      </c>
      <c r="X884" s="2" t="s">
        <v>36</v>
      </c>
      <c r="Y884" s="2">
        <v>5</v>
      </c>
      <c r="Z884" s="2" t="s">
        <v>44</v>
      </c>
    </row>
    <row r="885" spans="1:26" x14ac:dyDescent="0.35">
      <c r="A885" s="2" t="s">
        <v>1526</v>
      </c>
      <c r="B885" s="3">
        <v>46034</v>
      </c>
      <c r="C885" s="2" t="s">
        <v>1527</v>
      </c>
      <c r="D885" s="2" t="s">
        <v>80</v>
      </c>
      <c r="E885" s="2" t="s">
        <v>29</v>
      </c>
      <c r="F885" s="2">
        <v>19</v>
      </c>
      <c r="G885" s="2" t="s">
        <v>30</v>
      </c>
      <c r="H885" s="2" t="s">
        <v>31</v>
      </c>
      <c r="I885" s="2" t="s">
        <v>30</v>
      </c>
      <c r="J885" s="2" t="s">
        <v>100</v>
      </c>
      <c r="K885" s="2">
        <v>3</v>
      </c>
      <c r="L885" s="2">
        <v>39216</v>
      </c>
      <c r="M885" s="2">
        <v>20</v>
      </c>
      <c r="N885" s="2">
        <v>23529.599999999999</v>
      </c>
      <c r="O885" s="2">
        <v>16941.310000000001</v>
      </c>
      <c r="P885" s="2">
        <v>13</v>
      </c>
      <c r="Q885" s="2">
        <v>111072.71</v>
      </c>
      <c r="R885" s="2" t="s">
        <v>33</v>
      </c>
      <c r="S885" s="2" t="s">
        <v>59</v>
      </c>
      <c r="T885" s="9" t="s">
        <v>1710</v>
      </c>
      <c r="U885" s="10" t="s">
        <v>1711</v>
      </c>
      <c r="V885" s="2" t="s">
        <v>53</v>
      </c>
      <c r="W885" s="2">
        <v>1</v>
      </c>
      <c r="X885" s="2" t="s">
        <v>44</v>
      </c>
      <c r="Y885" s="2">
        <v>4</v>
      </c>
      <c r="Z885" s="2" t="s">
        <v>37</v>
      </c>
    </row>
    <row r="886" spans="1:26" x14ac:dyDescent="0.35">
      <c r="A886" s="2" t="s">
        <v>1528</v>
      </c>
      <c r="B886" s="3">
        <v>46101</v>
      </c>
      <c r="C886" s="2" t="s">
        <v>1529</v>
      </c>
      <c r="D886" s="2" t="s">
        <v>40</v>
      </c>
      <c r="E886" s="2" t="s">
        <v>41</v>
      </c>
      <c r="F886" s="2">
        <v>40</v>
      </c>
      <c r="G886" s="2" t="s">
        <v>48</v>
      </c>
      <c r="H886" s="2" t="s">
        <v>49</v>
      </c>
      <c r="I886" s="2" t="s">
        <v>48</v>
      </c>
      <c r="J886" s="2" t="s">
        <v>65</v>
      </c>
      <c r="K886" s="2">
        <v>5</v>
      </c>
      <c r="L886" s="2">
        <v>21764</v>
      </c>
      <c r="M886" s="2">
        <v>20</v>
      </c>
      <c r="N886" s="2">
        <v>21764</v>
      </c>
      <c r="O886" s="2">
        <v>15670.08</v>
      </c>
      <c r="P886" s="2">
        <v>260</v>
      </c>
      <c r="Q886" s="2">
        <v>102986.08</v>
      </c>
      <c r="R886" s="2" t="s">
        <v>51</v>
      </c>
      <c r="S886" s="2" t="s">
        <v>34</v>
      </c>
      <c r="T886" s="9" t="s">
        <v>1706</v>
      </c>
      <c r="U886" s="10" t="s">
        <v>52</v>
      </c>
      <c r="V886" s="2" t="s">
        <v>53</v>
      </c>
      <c r="W886" s="2">
        <v>2</v>
      </c>
      <c r="X886" s="2" t="s">
        <v>44</v>
      </c>
      <c r="Y886" s="2">
        <v>4</v>
      </c>
      <c r="Z886" s="2" t="s">
        <v>37</v>
      </c>
    </row>
    <row r="887" spans="1:26" x14ac:dyDescent="0.35">
      <c r="A887" s="2" t="s">
        <v>1530</v>
      </c>
      <c r="B887" s="3">
        <v>45765</v>
      </c>
      <c r="C887" s="2" t="s">
        <v>565</v>
      </c>
      <c r="D887" s="2" t="s">
        <v>57</v>
      </c>
      <c r="E887" s="2" t="s">
        <v>29</v>
      </c>
      <c r="F887" s="2">
        <v>21</v>
      </c>
      <c r="G887" s="2" t="s">
        <v>127</v>
      </c>
      <c r="H887" s="2" t="s">
        <v>31</v>
      </c>
      <c r="I887" s="2" t="s">
        <v>127</v>
      </c>
      <c r="J887" s="2" t="s">
        <v>58</v>
      </c>
      <c r="K887" s="2">
        <v>1</v>
      </c>
      <c r="L887" s="2">
        <v>35662</v>
      </c>
      <c r="M887" s="2">
        <v>20</v>
      </c>
      <c r="N887" s="2">
        <v>7132.4</v>
      </c>
      <c r="O887" s="2">
        <v>5135.33</v>
      </c>
      <c r="P887" s="2">
        <v>390</v>
      </c>
      <c r="Q887" s="2">
        <v>34054.93</v>
      </c>
      <c r="R887" s="2" t="s">
        <v>33</v>
      </c>
      <c r="S887" s="2" t="s">
        <v>59</v>
      </c>
      <c r="T887" s="9" t="s">
        <v>1709</v>
      </c>
      <c r="U887" s="10" t="s">
        <v>52</v>
      </c>
      <c r="V887" s="2" t="s">
        <v>53</v>
      </c>
      <c r="W887" s="2">
        <v>5</v>
      </c>
      <c r="X887" s="2" t="s">
        <v>44</v>
      </c>
      <c r="Y887" s="2">
        <v>3</v>
      </c>
      <c r="Z887" s="2" t="s">
        <v>44</v>
      </c>
    </row>
    <row r="888" spans="1:26" x14ac:dyDescent="0.35">
      <c r="A888" s="2" t="s">
        <v>1531</v>
      </c>
      <c r="B888" s="3">
        <v>46079</v>
      </c>
      <c r="C888" s="2" t="s">
        <v>1532</v>
      </c>
      <c r="D888" s="2" t="s">
        <v>96</v>
      </c>
      <c r="E888" s="2" t="s">
        <v>29</v>
      </c>
      <c r="F888" s="2">
        <v>26</v>
      </c>
      <c r="G888" s="2" t="s">
        <v>127</v>
      </c>
      <c r="H888" s="2" t="s">
        <v>31</v>
      </c>
      <c r="I888" s="2" t="s">
        <v>127</v>
      </c>
      <c r="J888" s="2" t="s">
        <v>113</v>
      </c>
      <c r="K888" s="2">
        <v>2</v>
      </c>
      <c r="L888" s="2">
        <v>32832</v>
      </c>
      <c r="M888" s="2">
        <v>10</v>
      </c>
      <c r="N888" s="2">
        <v>6566.4</v>
      </c>
      <c r="O888" s="2">
        <v>10637.57</v>
      </c>
      <c r="P888" s="2">
        <v>492</v>
      </c>
      <c r="Q888" s="2">
        <v>70227.17</v>
      </c>
      <c r="R888" s="2" t="s">
        <v>43</v>
      </c>
      <c r="S888" s="2" t="s">
        <v>59</v>
      </c>
      <c r="T888" s="9" t="s">
        <v>1710</v>
      </c>
      <c r="U888" s="10" t="s">
        <v>1711</v>
      </c>
      <c r="V888" s="2" t="s">
        <v>53</v>
      </c>
      <c r="W888" s="2">
        <v>3</v>
      </c>
      <c r="X888" s="2" t="s">
        <v>44</v>
      </c>
      <c r="Y888" s="2">
        <v>4</v>
      </c>
      <c r="Z888" s="2" t="s">
        <v>37</v>
      </c>
    </row>
    <row r="889" spans="1:26" x14ac:dyDescent="0.35">
      <c r="A889" s="2" t="s">
        <v>1533</v>
      </c>
      <c r="B889" s="3">
        <v>46043</v>
      </c>
      <c r="C889" s="2" t="s">
        <v>910</v>
      </c>
      <c r="D889" s="2" t="s">
        <v>96</v>
      </c>
      <c r="E889" s="2" t="s">
        <v>41</v>
      </c>
      <c r="F889" s="2">
        <v>51</v>
      </c>
      <c r="G889" s="2" t="s">
        <v>127</v>
      </c>
      <c r="H889" s="2" t="s">
        <v>31</v>
      </c>
      <c r="I889" s="2" t="s">
        <v>127</v>
      </c>
      <c r="J889" s="2" t="s">
        <v>58</v>
      </c>
      <c r="K889" s="2">
        <v>5</v>
      </c>
      <c r="L889" s="2">
        <v>42505</v>
      </c>
      <c r="M889" s="2">
        <v>15</v>
      </c>
      <c r="N889" s="2">
        <v>31878.75</v>
      </c>
      <c r="O889" s="2">
        <v>32516.32</v>
      </c>
      <c r="P889" s="2">
        <v>414</v>
      </c>
      <c r="Q889" s="2">
        <v>213576.58</v>
      </c>
      <c r="R889" s="2" t="s">
        <v>43</v>
      </c>
      <c r="S889" s="2" t="s">
        <v>34</v>
      </c>
      <c r="T889" s="9" t="s">
        <v>1703</v>
      </c>
      <c r="U889" s="10" t="s">
        <v>1701</v>
      </c>
      <c r="V889" s="2" t="s">
        <v>35</v>
      </c>
      <c r="W889" s="2">
        <v>7</v>
      </c>
      <c r="X889" s="2" t="s">
        <v>36</v>
      </c>
      <c r="Y889" s="2">
        <v>2</v>
      </c>
      <c r="Z889" s="2" t="s">
        <v>44</v>
      </c>
    </row>
    <row r="890" spans="1:26" x14ac:dyDescent="0.35">
      <c r="A890" s="2" t="s">
        <v>1534</v>
      </c>
      <c r="B890" s="3">
        <v>45814</v>
      </c>
      <c r="C890" s="2" t="s">
        <v>1076</v>
      </c>
      <c r="D890" s="2" t="s">
        <v>40</v>
      </c>
      <c r="E890" s="2" t="s">
        <v>29</v>
      </c>
      <c r="F890" s="2">
        <v>60</v>
      </c>
      <c r="G890" s="2" t="s">
        <v>30</v>
      </c>
      <c r="H890" s="2" t="s">
        <v>31</v>
      </c>
      <c r="I890" s="2" t="s">
        <v>30</v>
      </c>
      <c r="J890" s="2" t="s">
        <v>91</v>
      </c>
      <c r="K890" s="2">
        <v>4</v>
      </c>
      <c r="L890" s="2">
        <v>42685</v>
      </c>
      <c r="M890" s="2">
        <v>20</v>
      </c>
      <c r="N890" s="2">
        <v>34148</v>
      </c>
      <c r="O890" s="2">
        <v>24586.560000000001</v>
      </c>
      <c r="P890" s="2">
        <v>281</v>
      </c>
      <c r="Q890" s="2">
        <v>161459.56</v>
      </c>
      <c r="R890" s="2" t="s">
        <v>51</v>
      </c>
      <c r="S890" s="2" t="s">
        <v>34</v>
      </c>
      <c r="T890" s="9" t="s">
        <v>1706</v>
      </c>
      <c r="U890" s="10" t="s">
        <v>52</v>
      </c>
      <c r="V890" s="2" t="s">
        <v>53</v>
      </c>
      <c r="W890" s="2">
        <v>4</v>
      </c>
      <c r="X890" s="2" t="s">
        <v>44</v>
      </c>
      <c r="Y890" s="2">
        <v>4</v>
      </c>
      <c r="Z890" s="2" t="s">
        <v>37</v>
      </c>
    </row>
    <row r="891" spans="1:26" x14ac:dyDescent="0.35">
      <c r="A891" s="2" t="s">
        <v>1535</v>
      </c>
      <c r="B891" s="3">
        <v>45969</v>
      </c>
      <c r="C891" s="2" t="s">
        <v>1536</v>
      </c>
      <c r="D891" s="2" t="s">
        <v>28</v>
      </c>
      <c r="E891" s="2" t="s">
        <v>29</v>
      </c>
      <c r="F891" s="2">
        <v>42</v>
      </c>
      <c r="G891" s="2" t="s">
        <v>85</v>
      </c>
      <c r="H891" s="2" t="s">
        <v>31</v>
      </c>
      <c r="I891" s="2" t="s">
        <v>85</v>
      </c>
      <c r="J891" s="2" t="s">
        <v>138</v>
      </c>
      <c r="K891" s="2">
        <v>4</v>
      </c>
      <c r="L891" s="2">
        <v>38588</v>
      </c>
      <c r="M891" s="2">
        <v>5</v>
      </c>
      <c r="N891" s="2">
        <v>7717.6</v>
      </c>
      <c r="O891" s="2">
        <v>26394.19</v>
      </c>
      <c r="P891" s="2">
        <v>304</v>
      </c>
      <c r="Q891" s="2">
        <v>173332.59</v>
      </c>
      <c r="R891" s="2" t="s">
        <v>43</v>
      </c>
      <c r="S891" s="2" t="s">
        <v>34</v>
      </c>
      <c r="T891" s="9" t="s">
        <v>1707</v>
      </c>
      <c r="U891" s="10" t="s">
        <v>1712</v>
      </c>
      <c r="V891" s="2" t="s">
        <v>53</v>
      </c>
      <c r="W891" s="2">
        <v>10</v>
      </c>
      <c r="X891" s="2" t="s">
        <v>44</v>
      </c>
      <c r="Y891" s="2">
        <v>3</v>
      </c>
      <c r="Z891" s="2" t="s">
        <v>54</v>
      </c>
    </row>
    <row r="892" spans="1:26" x14ac:dyDescent="0.35">
      <c r="A892" s="2" t="s">
        <v>1537</v>
      </c>
      <c r="B892" s="3">
        <v>45888</v>
      </c>
      <c r="C892" s="2" t="s">
        <v>129</v>
      </c>
      <c r="D892" s="2" t="s">
        <v>57</v>
      </c>
      <c r="E892" s="2" t="s">
        <v>41</v>
      </c>
      <c r="F892" s="2">
        <v>27</v>
      </c>
      <c r="G892" s="2" t="s">
        <v>42</v>
      </c>
      <c r="H892" s="2" t="s">
        <v>31</v>
      </c>
      <c r="I892" s="2" t="s">
        <v>42</v>
      </c>
      <c r="J892" s="2" t="s">
        <v>58</v>
      </c>
      <c r="K892" s="2">
        <v>4</v>
      </c>
      <c r="L892" s="2">
        <v>13547</v>
      </c>
      <c r="M892" s="2">
        <v>15</v>
      </c>
      <c r="N892" s="2">
        <v>8128.2</v>
      </c>
      <c r="O892" s="2">
        <v>8290.76</v>
      </c>
      <c r="P892" s="2">
        <v>303</v>
      </c>
      <c r="Q892" s="2">
        <v>54653.56</v>
      </c>
      <c r="R892" s="2" t="s">
        <v>33</v>
      </c>
      <c r="S892" s="2" t="s">
        <v>34</v>
      </c>
      <c r="T892" s="9" t="s">
        <v>1710</v>
      </c>
      <c r="U892" s="10" t="s">
        <v>1711</v>
      </c>
      <c r="V892" s="2" t="s">
        <v>53</v>
      </c>
      <c r="W892" s="2">
        <v>3</v>
      </c>
      <c r="X892" s="2" t="s">
        <v>44</v>
      </c>
      <c r="Y892" s="2">
        <v>4</v>
      </c>
      <c r="Z892" s="2" t="s">
        <v>37</v>
      </c>
    </row>
    <row r="893" spans="1:26" x14ac:dyDescent="0.35">
      <c r="A893" s="2" t="s">
        <v>1538</v>
      </c>
      <c r="B893" s="3">
        <v>45886</v>
      </c>
      <c r="C893" s="2" t="s">
        <v>795</v>
      </c>
      <c r="D893" s="2" t="s">
        <v>28</v>
      </c>
      <c r="E893" s="2" t="s">
        <v>41</v>
      </c>
      <c r="F893" s="2">
        <v>53</v>
      </c>
      <c r="G893" s="2" t="s">
        <v>88</v>
      </c>
      <c r="H893" s="2" t="s">
        <v>49</v>
      </c>
      <c r="I893" s="2" t="s">
        <v>88</v>
      </c>
      <c r="J893" s="2" t="s">
        <v>58</v>
      </c>
      <c r="K893" s="2">
        <v>3</v>
      </c>
      <c r="L893" s="2">
        <v>21239</v>
      </c>
      <c r="M893" s="2">
        <v>0</v>
      </c>
      <c r="N893" s="2">
        <v>0</v>
      </c>
      <c r="O893" s="2">
        <v>11469.06</v>
      </c>
      <c r="P893" s="2">
        <v>442</v>
      </c>
      <c r="Q893" s="2">
        <v>75628.06</v>
      </c>
      <c r="R893" s="2" t="s">
        <v>43</v>
      </c>
      <c r="S893" s="2" t="s">
        <v>34</v>
      </c>
      <c r="T893" s="9" t="s">
        <v>1707</v>
      </c>
      <c r="U893" s="10" t="s">
        <v>1712</v>
      </c>
      <c r="V893" s="2" t="s">
        <v>53</v>
      </c>
      <c r="W893" s="2">
        <v>2</v>
      </c>
      <c r="X893" s="2" t="s">
        <v>44</v>
      </c>
      <c r="Y893" s="2">
        <v>3</v>
      </c>
      <c r="Z893" s="2" t="s">
        <v>82</v>
      </c>
    </row>
    <row r="894" spans="1:26" x14ac:dyDescent="0.35">
      <c r="A894" s="2" t="s">
        <v>1539</v>
      </c>
      <c r="B894" s="3">
        <v>45794</v>
      </c>
      <c r="C894" s="2" t="s">
        <v>473</v>
      </c>
      <c r="D894" s="2" t="s">
        <v>99</v>
      </c>
      <c r="E894" s="2" t="s">
        <v>41</v>
      </c>
      <c r="F894" s="2">
        <v>31</v>
      </c>
      <c r="G894" s="2" t="s">
        <v>42</v>
      </c>
      <c r="H894" s="2" t="s">
        <v>31</v>
      </c>
      <c r="I894" s="2" t="s">
        <v>42</v>
      </c>
      <c r="J894" s="2" t="s">
        <v>50</v>
      </c>
      <c r="K894" s="2">
        <v>5</v>
      </c>
      <c r="L894" s="2">
        <v>29270</v>
      </c>
      <c r="M894" s="2">
        <v>5</v>
      </c>
      <c r="N894" s="2">
        <v>7317.5</v>
      </c>
      <c r="O894" s="2">
        <v>25025.85</v>
      </c>
      <c r="P894" s="2">
        <v>96</v>
      </c>
      <c r="Q894" s="2">
        <v>164154.35</v>
      </c>
      <c r="R894" s="2" t="s">
        <v>33</v>
      </c>
      <c r="S894" s="2" t="s">
        <v>34</v>
      </c>
      <c r="T894" s="9" t="s">
        <v>1705</v>
      </c>
      <c r="U894" s="10" t="s">
        <v>1702</v>
      </c>
      <c r="V894" s="2" t="s">
        <v>53</v>
      </c>
      <c r="W894" s="2">
        <v>3</v>
      </c>
      <c r="X894" s="2" t="s">
        <v>44</v>
      </c>
      <c r="Y894" s="2">
        <v>5</v>
      </c>
      <c r="Z894" s="2" t="s">
        <v>54</v>
      </c>
    </row>
    <row r="895" spans="1:26" x14ac:dyDescent="0.35">
      <c r="A895" s="2" t="s">
        <v>1540</v>
      </c>
      <c r="B895" s="3">
        <v>46089</v>
      </c>
      <c r="C895" s="2" t="s">
        <v>220</v>
      </c>
      <c r="D895" s="2" t="s">
        <v>40</v>
      </c>
      <c r="E895" s="2" t="s">
        <v>29</v>
      </c>
      <c r="F895" s="2">
        <v>50</v>
      </c>
      <c r="G895" s="2" t="s">
        <v>122</v>
      </c>
      <c r="H895" s="2" t="s">
        <v>31</v>
      </c>
      <c r="I895" s="2" t="s">
        <v>122</v>
      </c>
      <c r="J895" s="2" t="s">
        <v>100</v>
      </c>
      <c r="K895" s="2">
        <v>2</v>
      </c>
      <c r="L895" s="2">
        <v>21419</v>
      </c>
      <c r="M895" s="2">
        <v>5</v>
      </c>
      <c r="N895" s="2">
        <v>2141.9</v>
      </c>
      <c r="O895" s="2">
        <v>7325.3</v>
      </c>
      <c r="P895" s="2">
        <v>117</v>
      </c>
      <c r="Q895" s="2">
        <v>48138.400000000001</v>
      </c>
      <c r="R895" s="2" t="s">
        <v>43</v>
      </c>
      <c r="S895" s="2" t="s">
        <v>34</v>
      </c>
      <c r="T895" s="9" t="s">
        <v>1706</v>
      </c>
      <c r="U895" s="10" t="s">
        <v>52</v>
      </c>
      <c r="V895" s="2" t="s">
        <v>53</v>
      </c>
      <c r="W895" s="2">
        <v>4</v>
      </c>
      <c r="X895" s="2" t="s">
        <v>36</v>
      </c>
      <c r="Y895" s="2">
        <v>5</v>
      </c>
      <c r="Z895" s="2" t="s">
        <v>54</v>
      </c>
    </row>
    <row r="896" spans="1:26" x14ac:dyDescent="0.35">
      <c r="A896" s="2" t="s">
        <v>1541</v>
      </c>
      <c r="B896" s="3">
        <v>46025</v>
      </c>
      <c r="C896" s="2" t="s">
        <v>1542</v>
      </c>
      <c r="D896" s="2" t="s">
        <v>28</v>
      </c>
      <c r="E896" s="2" t="s">
        <v>41</v>
      </c>
      <c r="F896" s="2">
        <v>32</v>
      </c>
      <c r="G896" s="2" t="s">
        <v>48</v>
      </c>
      <c r="H896" s="2" t="s">
        <v>49</v>
      </c>
      <c r="I896" s="2" t="s">
        <v>48</v>
      </c>
      <c r="J896" s="2" t="s">
        <v>70</v>
      </c>
      <c r="K896" s="2">
        <v>1</v>
      </c>
      <c r="L896" s="2">
        <v>49049</v>
      </c>
      <c r="M896" s="2">
        <v>0</v>
      </c>
      <c r="N896" s="2">
        <v>0</v>
      </c>
      <c r="O896" s="2">
        <v>8828.82</v>
      </c>
      <c r="P896" s="2">
        <v>224</v>
      </c>
      <c r="Q896" s="2">
        <v>58101.82</v>
      </c>
      <c r="R896" s="2" t="s">
        <v>43</v>
      </c>
      <c r="S896" s="2" t="s">
        <v>59</v>
      </c>
      <c r="T896" s="9" t="s">
        <v>1705</v>
      </c>
      <c r="U896" s="10" t="s">
        <v>1702</v>
      </c>
      <c r="V896" s="2" t="s">
        <v>53</v>
      </c>
      <c r="W896" s="2">
        <v>5</v>
      </c>
      <c r="X896" s="2" t="s">
        <v>44</v>
      </c>
      <c r="Y896" s="2">
        <v>1</v>
      </c>
      <c r="Z896" s="2" t="s">
        <v>37</v>
      </c>
    </row>
    <row r="897" spans="1:26" x14ac:dyDescent="0.35">
      <c r="A897" s="2" t="s">
        <v>1543</v>
      </c>
      <c r="B897" s="3">
        <v>46011</v>
      </c>
      <c r="C897" s="2" t="s">
        <v>436</v>
      </c>
      <c r="D897" s="2" t="s">
        <v>96</v>
      </c>
      <c r="E897" s="2" t="s">
        <v>41</v>
      </c>
      <c r="F897" s="2">
        <v>19</v>
      </c>
      <c r="G897" s="2" t="s">
        <v>81</v>
      </c>
      <c r="H897" s="2" t="s">
        <v>31</v>
      </c>
      <c r="I897" s="2" t="s">
        <v>81</v>
      </c>
      <c r="J897" s="2" t="s">
        <v>91</v>
      </c>
      <c r="K897" s="2">
        <v>3</v>
      </c>
      <c r="L897" s="2">
        <v>49307</v>
      </c>
      <c r="M897" s="2">
        <v>5</v>
      </c>
      <c r="N897" s="2">
        <v>7396.05</v>
      </c>
      <c r="O897" s="2">
        <v>25294.49</v>
      </c>
      <c r="P897" s="2">
        <v>113</v>
      </c>
      <c r="Q897" s="2">
        <v>165932.44</v>
      </c>
      <c r="R897" s="2" t="s">
        <v>51</v>
      </c>
      <c r="S897" s="2" t="s">
        <v>34</v>
      </c>
      <c r="T897" s="9" t="s">
        <v>1707</v>
      </c>
      <c r="U897" s="10" t="s">
        <v>1712</v>
      </c>
      <c r="V897" s="2" t="s">
        <v>53</v>
      </c>
      <c r="W897" s="2">
        <v>8</v>
      </c>
      <c r="X897" s="2" t="s">
        <v>36</v>
      </c>
      <c r="Y897" s="2">
        <v>3</v>
      </c>
      <c r="Z897" s="2" t="s">
        <v>37</v>
      </c>
    </row>
    <row r="898" spans="1:26" x14ac:dyDescent="0.35">
      <c r="A898" s="2" t="s">
        <v>1544</v>
      </c>
      <c r="B898" s="3">
        <v>45864</v>
      </c>
      <c r="C898" s="2" t="s">
        <v>1021</v>
      </c>
      <c r="D898" s="2" t="s">
        <v>40</v>
      </c>
      <c r="E898" s="2" t="s">
        <v>41</v>
      </c>
      <c r="F898" s="2">
        <v>50</v>
      </c>
      <c r="G898" s="2" t="s">
        <v>30</v>
      </c>
      <c r="H898" s="2" t="s">
        <v>31</v>
      </c>
      <c r="I898" s="2" t="s">
        <v>30</v>
      </c>
      <c r="J898" s="2" t="s">
        <v>50</v>
      </c>
      <c r="K898" s="2">
        <v>1</v>
      </c>
      <c r="L898" s="2">
        <v>16899</v>
      </c>
      <c r="M898" s="2">
        <v>15</v>
      </c>
      <c r="N898" s="2">
        <v>2534.85</v>
      </c>
      <c r="O898" s="2">
        <v>2585.5500000000002</v>
      </c>
      <c r="P898" s="2">
        <v>2</v>
      </c>
      <c r="Q898" s="2">
        <v>16951.7</v>
      </c>
      <c r="R898" s="2" t="s">
        <v>51</v>
      </c>
      <c r="S898" s="2" t="s">
        <v>34</v>
      </c>
      <c r="T898" s="9" t="s">
        <v>1706</v>
      </c>
      <c r="U898" s="10" t="s">
        <v>52</v>
      </c>
      <c r="V898" s="2" t="s">
        <v>53</v>
      </c>
      <c r="W898" s="2">
        <v>10</v>
      </c>
      <c r="X898" s="2" t="s">
        <v>36</v>
      </c>
      <c r="Y898" s="2">
        <v>4</v>
      </c>
      <c r="Z898" s="2" t="s">
        <v>37</v>
      </c>
    </row>
    <row r="899" spans="1:26" x14ac:dyDescent="0.35">
      <c r="A899" s="2" t="s">
        <v>1545</v>
      </c>
      <c r="B899" s="3">
        <v>45842</v>
      </c>
      <c r="C899" s="2" t="s">
        <v>46</v>
      </c>
      <c r="D899" s="2" t="s">
        <v>57</v>
      </c>
      <c r="E899" s="2" t="s">
        <v>41</v>
      </c>
      <c r="F899" s="2">
        <v>30</v>
      </c>
      <c r="G899" s="2" t="s">
        <v>88</v>
      </c>
      <c r="H899" s="2" t="s">
        <v>49</v>
      </c>
      <c r="I899" s="2" t="s">
        <v>88</v>
      </c>
      <c r="J899" s="2" t="s">
        <v>58</v>
      </c>
      <c r="K899" s="2">
        <v>3</v>
      </c>
      <c r="L899" s="2">
        <v>48086</v>
      </c>
      <c r="M899" s="2">
        <v>5</v>
      </c>
      <c r="N899" s="2">
        <v>7212.9</v>
      </c>
      <c r="O899" s="2">
        <v>24668.12</v>
      </c>
      <c r="P899" s="2">
        <v>82</v>
      </c>
      <c r="Q899" s="2">
        <v>161795.22</v>
      </c>
      <c r="R899" s="2" t="s">
        <v>76</v>
      </c>
      <c r="S899" s="2" t="s">
        <v>59</v>
      </c>
      <c r="T899" s="9" t="s">
        <v>1704</v>
      </c>
      <c r="U899" s="10" t="s">
        <v>52</v>
      </c>
      <c r="V899" s="2" t="s">
        <v>35</v>
      </c>
      <c r="W899" s="2">
        <v>6</v>
      </c>
      <c r="X899" s="2" t="s">
        <v>44</v>
      </c>
      <c r="Y899" s="2">
        <v>1</v>
      </c>
      <c r="Z899" s="2" t="s">
        <v>82</v>
      </c>
    </row>
    <row r="900" spans="1:26" x14ac:dyDescent="0.35">
      <c r="A900" s="2" t="s">
        <v>1546</v>
      </c>
      <c r="B900" s="3">
        <v>45859</v>
      </c>
      <c r="C900" s="2" t="s">
        <v>888</v>
      </c>
      <c r="D900" s="2" t="s">
        <v>73</v>
      </c>
      <c r="E900" s="2" t="s">
        <v>41</v>
      </c>
      <c r="F900" s="2">
        <v>59</v>
      </c>
      <c r="G900" s="2" t="s">
        <v>85</v>
      </c>
      <c r="H900" s="2" t="s">
        <v>31</v>
      </c>
      <c r="I900" s="2" t="s">
        <v>85</v>
      </c>
      <c r="J900" s="2" t="s">
        <v>100</v>
      </c>
      <c r="K900" s="2">
        <v>2</v>
      </c>
      <c r="L900" s="2">
        <v>39784</v>
      </c>
      <c r="M900" s="2">
        <v>10</v>
      </c>
      <c r="N900" s="2">
        <v>7956.8</v>
      </c>
      <c r="O900" s="2">
        <v>12890.02</v>
      </c>
      <c r="P900" s="2">
        <v>184</v>
      </c>
      <c r="Q900" s="2">
        <v>84685.22</v>
      </c>
      <c r="R900" s="2" t="s">
        <v>43</v>
      </c>
      <c r="S900" s="2" t="s">
        <v>59</v>
      </c>
      <c r="T900" s="9" t="s">
        <v>1704</v>
      </c>
      <c r="U900" s="10" t="s">
        <v>52</v>
      </c>
      <c r="V900" s="2" t="s">
        <v>35</v>
      </c>
      <c r="W900" s="2">
        <v>6</v>
      </c>
      <c r="X900" s="2" t="s">
        <v>36</v>
      </c>
      <c r="Y900" s="2">
        <v>3</v>
      </c>
      <c r="Z900" s="2" t="s">
        <v>82</v>
      </c>
    </row>
    <row r="901" spans="1:26" x14ac:dyDescent="0.35">
      <c r="A901" s="2" t="s">
        <v>1547</v>
      </c>
      <c r="B901" s="3">
        <v>45791</v>
      </c>
      <c r="C901" s="2" t="s">
        <v>1548</v>
      </c>
      <c r="D901" s="2" t="s">
        <v>40</v>
      </c>
      <c r="E901" s="2" t="s">
        <v>29</v>
      </c>
      <c r="F901" s="2">
        <v>58</v>
      </c>
      <c r="G901" s="2" t="s">
        <v>122</v>
      </c>
      <c r="H901" s="2" t="s">
        <v>31</v>
      </c>
      <c r="I901" s="2" t="s">
        <v>122</v>
      </c>
      <c r="J901" s="2" t="s">
        <v>113</v>
      </c>
      <c r="K901" s="2">
        <v>1</v>
      </c>
      <c r="L901" s="2">
        <v>17849</v>
      </c>
      <c r="M901" s="2">
        <v>15</v>
      </c>
      <c r="N901" s="2">
        <v>2677.35</v>
      </c>
      <c r="O901" s="2">
        <v>2730.9</v>
      </c>
      <c r="P901" s="2">
        <v>268</v>
      </c>
      <c r="Q901" s="2">
        <v>18170.55</v>
      </c>
      <c r="R901" s="2" t="s">
        <v>76</v>
      </c>
      <c r="S901" s="2" t="s">
        <v>59</v>
      </c>
      <c r="T901" s="9" t="s">
        <v>1704</v>
      </c>
      <c r="U901" s="10" t="s">
        <v>52</v>
      </c>
      <c r="V901" s="2" t="s">
        <v>35</v>
      </c>
      <c r="W901" s="2">
        <v>3</v>
      </c>
      <c r="X901" s="2" t="s">
        <v>36</v>
      </c>
      <c r="Y901" s="2">
        <v>4</v>
      </c>
      <c r="Z901" s="2" t="s">
        <v>82</v>
      </c>
    </row>
    <row r="902" spans="1:26" x14ac:dyDescent="0.35">
      <c r="A902" s="2" t="s">
        <v>1549</v>
      </c>
      <c r="B902" s="3">
        <v>46037</v>
      </c>
      <c r="C902" s="2" t="s">
        <v>352</v>
      </c>
      <c r="D902" s="2" t="s">
        <v>40</v>
      </c>
      <c r="E902" s="2" t="s">
        <v>29</v>
      </c>
      <c r="F902" s="2">
        <v>18</v>
      </c>
      <c r="G902" s="2" t="s">
        <v>48</v>
      </c>
      <c r="H902" s="2" t="s">
        <v>49</v>
      </c>
      <c r="I902" s="2" t="s">
        <v>48</v>
      </c>
      <c r="J902" s="2" t="s">
        <v>91</v>
      </c>
      <c r="K902" s="2">
        <v>4</v>
      </c>
      <c r="L902" s="2">
        <v>22659</v>
      </c>
      <c r="M902" s="2">
        <v>15</v>
      </c>
      <c r="N902" s="2">
        <v>13595.4</v>
      </c>
      <c r="O902" s="2">
        <v>13867.31</v>
      </c>
      <c r="P902" s="2">
        <v>374</v>
      </c>
      <c r="Q902" s="2">
        <v>91281.91</v>
      </c>
      <c r="R902" s="2" t="s">
        <v>33</v>
      </c>
      <c r="S902" s="2" t="s">
        <v>34</v>
      </c>
      <c r="T902" s="9" t="s">
        <v>1705</v>
      </c>
      <c r="U902" s="10" t="s">
        <v>1702</v>
      </c>
      <c r="V902" s="2" t="s">
        <v>53</v>
      </c>
      <c r="W902" s="2">
        <v>6</v>
      </c>
      <c r="X902" s="2" t="s">
        <v>44</v>
      </c>
      <c r="Y902" s="2">
        <v>5</v>
      </c>
      <c r="Z902" s="2" t="s">
        <v>82</v>
      </c>
    </row>
    <row r="903" spans="1:26" x14ac:dyDescent="0.35">
      <c r="A903" s="2" t="s">
        <v>1550</v>
      </c>
      <c r="B903" s="3">
        <v>46010</v>
      </c>
      <c r="C903" s="2" t="s">
        <v>675</v>
      </c>
      <c r="D903" s="2" t="s">
        <v>73</v>
      </c>
      <c r="E903" s="2" t="s">
        <v>29</v>
      </c>
      <c r="F903" s="2">
        <v>32</v>
      </c>
      <c r="G903" s="2" t="s">
        <v>81</v>
      </c>
      <c r="H903" s="2" t="s">
        <v>31</v>
      </c>
      <c r="I903" s="2" t="s">
        <v>81</v>
      </c>
      <c r="J903" s="2" t="s">
        <v>32</v>
      </c>
      <c r="K903" s="2">
        <v>4</v>
      </c>
      <c r="L903" s="2">
        <v>34273</v>
      </c>
      <c r="M903" s="2">
        <v>0</v>
      </c>
      <c r="N903" s="2">
        <v>0</v>
      </c>
      <c r="O903" s="2">
        <v>24676.560000000001</v>
      </c>
      <c r="P903" s="2">
        <v>420</v>
      </c>
      <c r="Q903" s="2">
        <v>162188.56</v>
      </c>
      <c r="R903" s="2" t="s">
        <v>76</v>
      </c>
      <c r="S903" s="2" t="s">
        <v>59</v>
      </c>
      <c r="T903" s="9" t="s">
        <v>1708</v>
      </c>
      <c r="U903" s="10" t="s">
        <v>52</v>
      </c>
      <c r="V903" s="2" t="s">
        <v>77</v>
      </c>
      <c r="W903" s="2">
        <v>10</v>
      </c>
      <c r="X903" s="2" t="s">
        <v>44</v>
      </c>
      <c r="Y903" s="2">
        <v>2</v>
      </c>
      <c r="Z903" s="2" t="s">
        <v>44</v>
      </c>
    </row>
    <row r="904" spans="1:26" x14ac:dyDescent="0.35">
      <c r="A904" s="2" t="s">
        <v>1551</v>
      </c>
      <c r="B904" s="3">
        <v>46044</v>
      </c>
      <c r="C904" s="2" t="s">
        <v>1144</v>
      </c>
      <c r="D904" s="2" t="s">
        <v>99</v>
      </c>
      <c r="E904" s="2" t="s">
        <v>41</v>
      </c>
      <c r="F904" s="2">
        <v>26</v>
      </c>
      <c r="G904" s="2" t="s">
        <v>48</v>
      </c>
      <c r="H904" s="2" t="s">
        <v>49</v>
      </c>
      <c r="I904" s="2" t="s">
        <v>48</v>
      </c>
      <c r="J904" s="2" t="s">
        <v>32</v>
      </c>
      <c r="K904" s="2">
        <v>1</v>
      </c>
      <c r="L904" s="2">
        <v>5894</v>
      </c>
      <c r="M904" s="2">
        <v>20</v>
      </c>
      <c r="N904" s="2">
        <v>1178.8</v>
      </c>
      <c r="O904" s="2">
        <v>848.74</v>
      </c>
      <c r="P904" s="2">
        <v>203</v>
      </c>
      <c r="Q904" s="2">
        <v>5766.94</v>
      </c>
      <c r="R904" s="2" t="s">
        <v>51</v>
      </c>
      <c r="S904" s="2" t="s">
        <v>59</v>
      </c>
      <c r="T904" s="9" t="s">
        <v>1710</v>
      </c>
      <c r="U904" s="10" t="s">
        <v>1711</v>
      </c>
      <c r="V904" s="2" t="s">
        <v>53</v>
      </c>
      <c r="W904" s="2">
        <v>10</v>
      </c>
      <c r="X904" s="2" t="s">
        <v>36</v>
      </c>
      <c r="Y904" s="2">
        <v>2</v>
      </c>
      <c r="Z904" s="2" t="s">
        <v>37</v>
      </c>
    </row>
    <row r="905" spans="1:26" x14ac:dyDescent="0.35">
      <c r="A905" s="2" t="s">
        <v>1552</v>
      </c>
      <c r="B905" s="3">
        <v>46105</v>
      </c>
      <c r="C905" s="2" t="s">
        <v>1553</v>
      </c>
      <c r="D905" s="2" t="s">
        <v>73</v>
      </c>
      <c r="E905" s="2" t="s">
        <v>41</v>
      </c>
      <c r="F905" s="2">
        <v>53</v>
      </c>
      <c r="G905" s="2" t="s">
        <v>42</v>
      </c>
      <c r="H905" s="2" t="s">
        <v>31</v>
      </c>
      <c r="I905" s="2" t="s">
        <v>42</v>
      </c>
      <c r="J905" s="2" t="s">
        <v>50</v>
      </c>
      <c r="K905" s="2">
        <v>5</v>
      </c>
      <c r="L905" s="2">
        <v>31840</v>
      </c>
      <c r="M905" s="2">
        <v>20</v>
      </c>
      <c r="N905" s="2">
        <v>31840</v>
      </c>
      <c r="O905" s="2">
        <v>22924.799999999999</v>
      </c>
      <c r="P905" s="2">
        <v>434</v>
      </c>
      <c r="Q905" s="2">
        <v>150718.79999999999</v>
      </c>
      <c r="R905" s="2" t="s">
        <v>51</v>
      </c>
      <c r="S905" s="2" t="s">
        <v>34</v>
      </c>
      <c r="T905" s="9" t="s">
        <v>1707</v>
      </c>
      <c r="U905" s="10" t="s">
        <v>1712</v>
      </c>
      <c r="V905" s="2" t="s">
        <v>53</v>
      </c>
      <c r="W905" s="2">
        <v>7</v>
      </c>
      <c r="X905" s="2" t="s">
        <v>36</v>
      </c>
      <c r="Y905" s="2">
        <v>1</v>
      </c>
      <c r="Z905" s="2" t="s">
        <v>44</v>
      </c>
    </row>
    <row r="906" spans="1:26" x14ac:dyDescent="0.35">
      <c r="A906" s="2" t="s">
        <v>1554</v>
      </c>
      <c r="B906" s="3">
        <v>45961</v>
      </c>
      <c r="C906" s="2" t="s">
        <v>1555</v>
      </c>
      <c r="D906" s="2" t="s">
        <v>73</v>
      </c>
      <c r="E906" s="2" t="s">
        <v>41</v>
      </c>
      <c r="F906" s="2">
        <v>44</v>
      </c>
      <c r="G906" s="2" t="s">
        <v>63</v>
      </c>
      <c r="H906" s="2" t="s">
        <v>64</v>
      </c>
      <c r="I906" s="2" t="s">
        <v>63</v>
      </c>
      <c r="J906" s="2" t="s">
        <v>32</v>
      </c>
      <c r="K906" s="2">
        <v>1</v>
      </c>
      <c r="L906" s="2">
        <v>3751</v>
      </c>
      <c r="M906" s="2">
        <v>10</v>
      </c>
      <c r="N906" s="2">
        <v>375.1</v>
      </c>
      <c r="O906" s="2">
        <v>607.66</v>
      </c>
      <c r="P906" s="2">
        <v>21</v>
      </c>
      <c r="Q906" s="2">
        <v>4004.56</v>
      </c>
      <c r="R906" s="2" t="s">
        <v>51</v>
      </c>
      <c r="S906" s="2" t="s">
        <v>59</v>
      </c>
      <c r="T906" s="9" t="s">
        <v>1709</v>
      </c>
      <c r="U906" s="10" t="s">
        <v>52</v>
      </c>
      <c r="V906" s="2" t="s">
        <v>53</v>
      </c>
      <c r="W906" s="2">
        <v>6</v>
      </c>
      <c r="X906" s="2" t="s">
        <v>44</v>
      </c>
      <c r="Y906" s="2">
        <v>5</v>
      </c>
      <c r="Z906" s="2" t="s">
        <v>37</v>
      </c>
    </row>
    <row r="907" spans="1:26" x14ac:dyDescent="0.35">
      <c r="A907" s="2" t="s">
        <v>1556</v>
      </c>
      <c r="B907" s="3">
        <v>45832</v>
      </c>
      <c r="C907" s="2" t="s">
        <v>1234</v>
      </c>
      <c r="D907" s="2" t="s">
        <v>40</v>
      </c>
      <c r="E907" s="2" t="s">
        <v>29</v>
      </c>
      <c r="F907" s="2">
        <v>43</v>
      </c>
      <c r="G907" s="2" t="s">
        <v>30</v>
      </c>
      <c r="H907" s="2" t="s">
        <v>31</v>
      </c>
      <c r="I907" s="2" t="s">
        <v>30</v>
      </c>
      <c r="J907" s="2" t="s">
        <v>58</v>
      </c>
      <c r="K907" s="2">
        <v>1</v>
      </c>
      <c r="L907" s="2">
        <v>9225</v>
      </c>
      <c r="M907" s="2">
        <v>5</v>
      </c>
      <c r="N907" s="2">
        <v>461.25</v>
      </c>
      <c r="O907" s="2">
        <v>1577.47</v>
      </c>
      <c r="P907" s="2">
        <v>455</v>
      </c>
      <c r="Q907" s="2">
        <v>10796.23</v>
      </c>
      <c r="R907" s="2" t="s">
        <v>33</v>
      </c>
      <c r="S907" s="2" t="s">
        <v>34</v>
      </c>
      <c r="T907" s="9" t="s">
        <v>1709</v>
      </c>
      <c r="U907" s="10" t="s">
        <v>52</v>
      </c>
      <c r="V907" s="2" t="s">
        <v>53</v>
      </c>
      <c r="W907" s="2">
        <v>1</v>
      </c>
      <c r="X907" s="2" t="s">
        <v>44</v>
      </c>
      <c r="Y907" s="2">
        <v>3</v>
      </c>
      <c r="Z907" s="2" t="s">
        <v>82</v>
      </c>
    </row>
    <row r="908" spans="1:26" x14ac:dyDescent="0.35">
      <c r="A908" s="2" t="s">
        <v>1557</v>
      </c>
      <c r="B908" s="3">
        <v>45945</v>
      </c>
      <c r="C908" s="2" t="s">
        <v>1420</v>
      </c>
      <c r="D908" s="2" t="s">
        <v>99</v>
      </c>
      <c r="E908" s="2" t="s">
        <v>41</v>
      </c>
      <c r="F908" s="2">
        <v>44</v>
      </c>
      <c r="G908" s="2" t="s">
        <v>122</v>
      </c>
      <c r="H908" s="2" t="s">
        <v>31</v>
      </c>
      <c r="I908" s="2" t="s">
        <v>122</v>
      </c>
      <c r="J908" s="2" t="s">
        <v>91</v>
      </c>
      <c r="K908" s="2">
        <v>1</v>
      </c>
      <c r="L908" s="2">
        <v>6372</v>
      </c>
      <c r="M908" s="2">
        <v>0</v>
      </c>
      <c r="N908" s="2">
        <v>0</v>
      </c>
      <c r="O908" s="2">
        <v>1146.96</v>
      </c>
      <c r="P908" s="2">
        <v>422</v>
      </c>
      <c r="Q908" s="2">
        <v>7940.96</v>
      </c>
      <c r="R908" s="2" t="s">
        <v>51</v>
      </c>
      <c r="S908" s="2" t="s">
        <v>34</v>
      </c>
      <c r="T908" s="9" t="s">
        <v>1704</v>
      </c>
      <c r="U908" s="10" t="s">
        <v>52</v>
      </c>
      <c r="V908" s="2" t="s">
        <v>35</v>
      </c>
      <c r="W908" s="2">
        <v>8</v>
      </c>
      <c r="X908" s="2" t="s">
        <v>36</v>
      </c>
      <c r="Y908" s="2">
        <v>1</v>
      </c>
      <c r="Z908" s="2" t="s">
        <v>82</v>
      </c>
    </row>
    <row r="909" spans="1:26" x14ac:dyDescent="0.35">
      <c r="A909" s="2" t="s">
        <v>1558</v>
      </c>
      <c r="B909" s="3">
        <v>45984</v>
      </c>
      <c r="C909" s="2" t="s">
        <v>1559</v>
      </c>
      <c r="D909" s="2" t="s">
        <v>68</v>
      </c>
      <c r="E909" s="2" t="s">
        <v>29</v>
      </c>
      <c r="F909" s="2">
        <v>24</v>
      </c>
      <c r="G909" s="2" t="s">
        <v>48</v>
      </c>
      <c r="H909" s="2" t="s">
        <v>49</v>
      </c>
      <c r="I909" s="2" t="s">
        <v>48</v>
      </c>
      <c r="J909" s="2" t="s">
        <v>32</v>
      </c>
      <c r="K909" s="2">
        <v>5</v>
      </c>
      <c r="L909" s="2">
        <v>49982</v>
      </c>
      <c r="M909" s="2">
        <v>10</v>
      </c>
      <c r="N909" s="2">
        <v>24991</v>
      </c>
      <c r="O909" s="2">
        <v>40485.42</v>
      </c>
      <c r="P909" s="2">
        <v>205</v>
      </c>
      <c r="Q909" s="2">
        <v>265609.42</v>
      </c>
      <c r="R909" s="2" t="s">
        <v>43</v>
      </c>
      <c r="S909" s="2" t="s">
        <v>59</v>
      </c>
      <c r="T909" s="9" t="s">
        <v>1710</v>
      </c>
      <c r="U909" s="10" t="s">
        <v>1711</v>
      </c>
      <c r="V909" s="2" t="s">
        <v>53</v>
      </c>
      <c r="W909" s="2">
        <v>1</v>
      </c>
      <c r="X909" s="2" t="s">
        <v>44</v>
      </c>
      <c r="Y909" s="2">
        <v>1</v>
      </c>
      <c r="Z909" s="2" t="s">
        <v>82</v>
      </c>
    </row>
    <row r="910" spans="1:26" x14ac:dyDescent="0.35">
      <c r="A910" s="2" t="s">
        <v>1560</v>
      </c>
      <c r="B910" s="3">
        <v>45789</v>
      </c>
      <c r="C910" s="2" t="s">
        <v>218</v>
      </c>
      <c r="D910" s="2" t="s">
        <v>28</v>
      </c>
      <c r="E910" s="2" t="s">
        <v>29</v>
      </c>
      <c r="F910" s="2">
        <v>44</v>
      </c>
      <c r="G910" s="2" t="s">
        <v>63</v>
      </c>
      <c r="H910" s="2" t="s">
        <v>64</v>
      </c>
      <c r="I910" s="2" t="s">
        <v>63</v>
      </c>
      <c r="J910" s="2" t="s">
        <v>32</v>
      </c>
      <c r="K910" s="2">
        <v>5</v>
      </c>
      <c r="L910" s="2">
        <v>35237</v>
      </c>
      <c r="M910" s="2">
        <v>10</v>
      </c>
      <c r="N910" s="2">
        <v>17618.5</v>
      </c>
      <c r="O910" s="2">
        <v>28541.97</v>
      </c>
      <c r="P910" s="2">
        <v>14</v>
      </c>
      <c r="Q910" s="2">
        <v>187122.47</v>
      </c>
      <c r="R910" s="2" t="s">
        <v>43</v>
      </c>
      <c r="S910" s="2" t="s">
        <v>59</v>
      </c>
      <c r="T910" s="9" t="s">
        <v>1704</v>
      </c>
      <c r="U910" s="10" t="s">
        <v>52</v>
      </c>
      <c r="V910" s="2" t="s">
        <v>35</v>
      </c>
      <c r="W910" s="2">
        <v>1</v>
      </c>
      <c r="X910" s="2" t="s">
        <v>44</v>
      </c>
      <c r="Y910" s="2">
        <v>4</v>
      </c>
      <c r="Z910" s="2" t="s">
        <v>44</v>
      </c>
    </row>
    <row r="911" spans="1:26" x14ac:dyDescent="0.35">
      <c r="A911" s="2" t="s">
        <v>1561</v>
      </c>
      <c r="B911" s="3">
        <v>45772</v>
      </c>
      <c r="C911" s="2" t="s">
        <v>1486</v>
      </c>
      <c r="D911" s="2" t="s">
        <v>47</v>
      </c>
      <c r="E911" s="2" t="s">
        <v>41</v>
      </c>
      <c r="F911" s="2">
        <v>47</v>
      </c>
      <c r="G911" s="2" t="s">
        <v>48</v>
      </c>
      <c r="H911" s="2" t="s">
        <v>49</v>
      </c>
      <c r="I911" s="2" t="s">
        <v>48</v>
      </c>
      <c r="J911" s="2" t="s">
        <v>113</v>
      </c>
      <c r="K911" s="2">
        <v>4</v>
      </c>
      <c r="L911" s="2">
        <v>26654</v>
      </c>
      <c r="M911" s="2">
        <v>15</v>
      </c>
      <c r="N911" s="2">
        <v>15992.4</v>
      </c>
      <c r="O911" s="2">
        <v>16312.25</v>
      </c>
      <c r="P911" s="2">
        <v>222</v>
      </c>
      <c r="Q911" s="2">
        <v>107157.85</v>
      </c>
      <c r="R911" s="2" t="s">
        <v>33</v>
      </c>
      <c r="S911" s="2" t="s">
        <v>59</v>
      </c>
      <c r="T911" s="9" t="s">
        <v>1703</v>
      </c>
      <c r="U911" s="10" t="s">
        <v>1701</v>
      </c>
      <c r="V911" s="2" t="s">
        <v>35</v>
      </c>
      <c r="W911" s="2">
        <v>3</v>
      </c>
      <c r="X911" s="2" t="s">
        <v>36</v>
      </c>
      <c r="Y911" s="2">
        <v>2</v>
      </c>
      <c r="Z911" s="2" t="s">
        <v>37</v>
      </c>
    </row>
    <row r="912" spans="1:26" x14ac:dyDescent="0.35">
      <c r="A912" s="2" t="s">
        <v>1562</v>
      </c>
      <c r="B912" s="3">
        <v>45834</v>
      </c>
      <c r="C912" s="2" t="s">
        <v>198</v>
      </c>
      <c r="D912" s="2" t="s">
        <v>73</v>
      </c>
      <c r="E912" s="2" t="s">
        <v>29</v>
      </c>
      <c r="F912" s="2">
        <v>25</v>
      </c>
      <c r="G912" s="2" t="s">
        <v>122</v>
      </c>
      <c r="H912" s="2" t="s">
        <v>31</v>
      </c>
      <c r="I912" s="2" t="s">
        <v>122</v>
      </c>
      <c r="J912" s="2" t="s">
        <v>91</v>
      </c>
      <c r="K912" s="2">
        <v>3</v>
      </c>
      <c r="L912" s="2">
        <v>12886</v>
      </c>
      <c r="M912" s="2">
        <v>5</v>
      </c>
      <c r="N912" s="2">
        <v>1932.9</v>
      </c>
      <c r="O912" s="2">
        <v>6610.52</v>
      </c>
      <c r="P912" s="2">
        <v>485</v>
      </c>
      <c r="Q912" s="2">
        <v>43820.62</v>
      </c>
      <c r="R912" s="2" t="s">
        <v>76</v>
      </c>
      <c r="S912" s="2" t="s">
        <v>34</v>
      </c>
      <c r="T912" s="9" t="s">
        <v>1705</v>
      </c>
      <c r="U912" s="10" t="s">
        <v>1702</v>
      </c>
      <c r="V912" s="2" t="s">
        <v>53</v>
      </c>
      <c r="W912" s="2">
        <v>2</v>
      </c>
      <c r="X912" s="2" t="s">
        <v>44</v>
      </c>
      <c r="Y912" s="2">
        <v>3</v>
      </c>
      <c r="Z912" s="2" t="s">
        <v>54</v>
      </c>
    </row>
    <row r="913" spans="1:26" x14ac:dyDescent="0.35">
      <c r="A913" s="2" t="s">
        <v>1563</v>
      </c>
      <c r="B913" s="3">
        <v>45899</v>
      </c>
      <c r="C913" s="2" t="s">
        <v>477</v>
      </c>
      <c r="D913" s="2" t="s">
        <v>99</v>
      </c>
      <c r="E913" s="2" t="s">
        <v>41</v>
      </c>
      <c r="F913" s="2">
        <v>28</v>
      </c>
      <c r="G913" s="2" t="s">
        <v>48</v>
      </c>
      <c r="H913" s="2" t="s">
        <v>49</v>
      </c>
      <c r="I913" s="2" t="s">
        <v>48</v>
      </c>
      <c r="J913" s="2" t="s">
        <v>65</v>
      </c>
      <c r="K913" s="2">
        <v>4</v>
      </c>
      <c r="L913" s="2">
        <v>35630</v>
      </c>
      <c r="M913" s="2">
        <v>15</v>
      </c>
      <c r="N913" s="2">
        <v>21378</v>
      </c>
      <c r="O913" s="2">
        <v>21805.56</v>
      </c>
      <c r="P913" s="2">
        <v>107</v>
      </c>
      <c r="Q913" s="2">
        <v>143054.56</v>
      </c>
      <c r="R913" s="2" t="s">
        <v>43</v>
      </c>
      <c r="S913" s="2" t="s">
        <v>59</v>
      </c>
      <c r="T913" s="9" t="s">
        <v>1703</v>
      </c>
      <c r="U913" s="10" t="s">
        <v>1701</v>
      </c>
      <c r="V913" s="2" t="s">
        <v>35</v>
      </c>
      <c r="W913" s="2">
        <v>3</v>
      </c>
      <c r="X913" s="2" t="s">
        <v>36</v>
      </c>
      <c r="Y913" s="2">
        <v>1</v>
      </c>
      <c r="Z913" s="2" t="s">
        <v>44</v>
      </c>
    </row>
    <row r="914" spans="1:26" x14ac:dyDescent="0.35">
      <c r="A914" s="2" t="s">
        <v>1564</v>
      </c>
      <c r="B914" s="3">
        <v>45804</v>
      </c>
      <c r="C914" s="2" t="s">
        <v>1565</v>
      </c>
      <c r="D914" s="2" t="s">
        <v>40</v>
      </c>
      <c r="E914" s="2" t="s">
        <v>41</v>
      </c>
      <c r="F914" s="2">
        <v>59</v>
      </c>
      <c r="G914" s="2" t="s">
        <v>127</v>
      </c>
      <c r="H914" s="2" t="s">
        <v>31</v>
      </c>
      <c r="I914" s="2" t="s">
        <v>127</v>
      </c>
      <c r="J914" s="2" t="s">
        <v>138</v>
      </c>
      <c r="K914" s="2">
        <v>2</v>
      </c>
      <c r="L914" s="2">
        <v>36760</v>
      </c>
      <c r="M914" s="2">
        <v>20</v>
      </c>
      <c r="N914" s="2">
        <v>14704</v>
      </c>
      <c r="O914" s="2">
        <v>10586.88</v>
      </c>
      <c r="P914" s="2">
        <v>454</v>
      </c>
      <c r="Q914" s="2">
        <v>69856.88</v>
      </c>
      <c r="R914" s="2" t="s">
        <v>51</v>
      </c>
      <c r="S914" s="2" t="s">
        <v>34</v>
      </c>
      <c r="T914" s="9" t="s">
        <v>1705</v>
      </c>
      <c r="U914" s="10" t="s">
        <v>1702</v>
      </c>
      <c r="V914" s="2" t="s">
        <v>53</v>
      </c>
      <c r="W914" s="2">
        <v>8</v>
      </c>
      <c r="X914" s="2" t="s">
        <v>44</v>
      </c>
      <c r="Y914" s="2">
        <v>2</v>
      </c>
      <c r="Z914" s="2" t="s">
        <v>82</v>
      </c>
    </row>
    <row r="915" spans="1:26" x14ac:dyDescent="0.35">
      <c r="A915" s="2" t="s">
        <v>1566</v>
      </c>
      <c r="B915" s="3">
        <v>45803</v>
      </c>
      <c r="C915" s="2" t="s">
        <v>1234</v>
      </c>
      <c r="D915" s="2" t="s">
        <v>99</v>
      </c>
      <c r="E915" s="2" t="s">
        <v>41</v>
      </c>
      <c r="F915" s="2">
        <v>49</v>
      </c>
      <c r="G915" s="2" t="s">
        <v>122</v>
      </c>
      <c r="H915" s="2" t="s">
        <v>31</v>
      </c>
      <c r="I915" s="2" t="s">
        <v>122</v>
      </c>
      <c r="J915" s="2" t="s">
        <v>91</v>
      </c>
      <c r="K915" s="2">
        <v>1</v>
      </c>
      <c r="L915" s="2">
        <v>18286</v>
      </c>
      <c r="M915" s="2">
        <v>20</v>
      </c>
      <c r="N915" s="2">
        <v>3657.2</v>
      </c>
      <c r="O915" s="2">
        <v>2633.18</v>
      </c>
      <c r="P915" s="2">
        <v>99</v>
      </c>
      <c r="Q915" s="2">
        <v>17360.98</v>
      </c>
      <c r="R915" s="2" t="s">
        <v>51</v>
      </c>
      <c r="S915" s="2" t="s">
        <v>34</v>
      </c>
      <c r="T915" s="9" t="s">
        <v>1706</v>
      </c>
      <c r="U915" s="10" t="s">
        <v>52</v>
      </c>
      <c r="V915" s="2" t="s">
        <v>53</v>
      </c>
      <c r="W915" s="2">
        <v>3</v>
      </c>
      <c r="X915" s="2" t="s">
        <v>44</v>
      </c>
      <c r="Y915" s="2">
        <v>3</v>
      </c>
      <c r="Z915" s="2" t="s">
        <v>44</v>
      </c>
    </row>
    <row r="916" spans="1:26" x14ac:dyDescent="0.35">
      <c r="A916" s="2" t="s">
        <v>1567</v>
      </c>
      <c r="B916" s="3">
        <v>45794</v>
      </c>
      <c r="C916" s="2" t="s">
        <v>1568</v>
      </c>
      <c r="D916" s="2" t="s">
        <v>80</v>
      </c>
      <c r="E916" s="2" t="s">
        <v>29</v>
      </c>
      <c r="F916" s="2">
        <v>52</v>
      </c>
      <c r="G916" s="2" t="s">
        <v>48</v>
      </c>
      <c r="H916" s="2" t="s">
        <v>49</v>
      </c>
      <c r="I916" s="2" t="s">
        <v>48</v>
      </c>
      <c r="J916" s="2" t="s">
        <v>32</v>
      </c>
      <c r="K916" s="2">
        <v>2</v>
      </c>
      <c r="L916" s="2">
        <v>25487</v>
      </c>
      <c r="M916" s="2">
        <v>20</v>
      </c>
      <c r="N916" s="2">
        <v>10194.799999999999</v>
      </c>
      <c r="O916" s="2">
        <v>7340.26</v>
      </c>
      <c r="P916" s="2">
        <v>126</v>
      </c>
      <c r="Q916" s="2">
        <v>48245.46</v>
      </c>
      <c r="R916" s="2" t="s">
        <v>33</v>
      </c>
      <c r="S916" s="2" t="s">
        <v>59</v>
      </c>
      <c r="T916" s="9" t="s">
        <v>1710</v>
      </c>
      <c r="U916" s="10" t="s">
        <v>1711</v>
      </c>
      <c r="V916" s="2" t="s">
        <v>53</v>
      </c>
      <c r="W916" s="2">
        <v>4</v>
      </c>
      <c r="X916" s="2" t="s">
        <v>44</v>
      </c>
      <c r="Y916" s="2">
        <v>5</v>
      </c>
      <c r="Z916" s="2" t="s">
        <v>44</v>
      </c>
    </row>
    <row r="917" spans="1:26" x14ac:dyDescent="0.35">
      <c r="A917" s="2" t="s">
        <v>1569</v>
      </c>
      <c r="B917" s="3">
        <v>45972</v>
      </c>
      <c r="C917" s="2" t="s">
        <v>1486</v>
      </c>
      <c r="D917" s="2" t="s">
        <v>99</v>
      </c>
      <c r="E917" s="2" t="s">
        <v>41</v>
      </c>
      <c r="F917" s="2">
        <v>51</v>
      </c>
      <c r="G917" s="2" t="s">
        <v>69</v>
      </c>
      <c r="H917" s="2" t="s">
        <v>31</v>
      </c>
      <c r="I917" s="2" t="s">
        <v>69</v>
      </c>
      <c r="J917" s="2" t="s">
        <v>65</v>
      </c>
      <c r="K917" s="2">
        <v>3</v>
      </c>
      <c r="L917" s="2">
        <v>3238</v>
      </c>
      <c r="M917" s="2">
        <v>0</v>
      </c>
      <c r="N917" s="2">
        <v>0</v>
      </c>
      <c r="O917" s="2">
        <v>1748.52</v>
      </c>
      <c r="P917" s="2">
        <v>121</v>
      </c>
      <c r="Q917" s="2">
        <v>11583.52</v>
      </c>
      <c r="R917" s="2" t="s">
        <v>51</v>
      </c>
      <c r="S917" s="2" t="s">
        <v>34</v>
      </c>
      <c r="T917" s="9" t="s">
        <v>1710</v>
      </c>
      <c r="U917" s="10" t="s">
        <v>1711</v>
      </c>
      <c r="V917" s="2" t="s">
        <v>53</v>
      </c>
      <c r="W917" s="2">
        <v>3</v>
      </c>
      <c r="X917" s="2" t="s">
        <v>36</v>
      </c>
      <c r="Y917" s="2">
        <v>3</v>
      </c>
      <c r="Z917" s="2" t="s">
        <v>82</v>
      </c>
    </row>
    <row r="918" spans="1:26" x14ac:dyDescent="0.35">
      <c r="A918" s="2" t="s">
        <v>1570</v>
      </c>
      <c r="B918" s="3">
        <v>45786</v>
      </c>
      <c r="C918" s="2" t="s">
        <v>1571</v>
      </c>
      <c r="D918" s="2" t="s">
        <v>28</v>
      </c>
      <c r="E918" s="2" t="s">
        <v>41</v>
      </c>
      <c r="F918" s="2">
        <v>59</v>
      </c>
      <c r="G918" s="2" t="s">
        <v>88</v>
      </c>
      <c r="H918" s="2" t="s">
        <v>49</v>
      </c>
      <c r="I918" s="2" t="s">
        <v>88</v>
      </c>
      <c r="J918" s="2" t="s">
        <v>138</v>
      </c>
      <c r="K918" s="2">
        <v>4</v>
      </c>
      <c r="L918" s="2">
        <v>9369</v>
      </c>
      <c r="M918" s="2">
        <v>5</v>
      </c>
      <c r="N918" s="2">
        <v>1873.8</v>
      </c>
      <c r="O918" s="2">
        <v>6408.4</v>
      </c>
      <c r="P918" s="2">
        <v>483</v>
      </c>
      <c r="Q918" s="2">
        <v>42493.599999999999</v>
      </c>
      <c r="R918" s="2" t="s">
        <v>33</v>
      </c>
      <c r="S918" s="2" t="s">
        <v>34</v>
      </c>
      <c r="T918" s="9" t="s">
        <v>1708</v>
      </c>
      <c r="U918" s="10" t="s">
        <v>52</v>
      </c>
      <c r="V918" s="2" t="s">
        <v>77</v>
      </c>
      <c r="W918" s="2">
        <v>2</v>
      </c>
      <c r="X918" s="2" t="s">
        <v>36</v>
      </c>
      <c r="Y918" s="2">
        <v>2</v>
      </c>
      <c r="Z918" s="2" t="s">
        <v>54</v>
      </c>
    </row>
    <row r="919" spans="1:26" x14ac:dyDescent="0.35">
      <c r="A919" s="2" t="s">
        <v>1572</v>
      </c>
      <c r="B919" s="3">
        <v>46033</v>
      </c>
      <c r="C919" s="2" t="s">
        <v>1573</v>
      </c>
      <c r="D919" s="2" t="s">
        <v>68</v>
      </c>
      <c r="E919" s="2" t="s">
        <v>41</v>
      </c>
      <c r="F919" s="2">
        <v>20</v>
      </c>
      <c r="G919" s="2" t="s">
        <v>63</v>
      </c>
      <c r="H919" s="2" t="s">
        <v>64</v>
      </c>
      <c r="I919" s="2" t="s">
        <v>63</v>
      </c>
      <c r="J919" s="2" t="s">
        <v>50</v>
      </c>
      <c r="K919" s="2">
        <v>5</v>
      </c>
      <c r="L919" s="2">
        <v>7487</v>
      </c>
      <c r="M919" s="2">
        <v>20</v>
      </c>
      <c r="N919" s="2">
        <v>7487</v>
      </c>
      <c r="O919" s="2">
        <v>5390.64</v>
      </c>
      <c r="P919" s="2">
        <v>492</v>
      </c>
      <c r="Q919" s="2">
        <v>35830.639999999999</v>
      </c>
      <c r="R919" s="2" t="s">
        <v>76</v>
      </c>
      <c r="S919" s="2" t="s">
        <v>34</v>
      </c>
      <c r="T919" s="9" t="s">
        <v>1705</v>
      </c>
      <c r="U919" s="10" t="s">
        <v>1702</v>
      </c>
      <c r="V919" s="2" t="s">
        <v>53</v>
      </c>
      <c r="W919" s="2">
        <v>4</v>
      </c>
      <c r="X919" s="2" t="s">
        <v>36</v>
      </c>
      <c r="Y919" s="2">
        <v>4</v>
      </c>
      <c r="Z919" s="2" t="s">
        <v>44</v>
      </c>
    </row>
    <row r="920" spans="1:26" x14ac:dyDescent="0.35">
      <c r="A920" s="2" t="s">
        <v>1574</v>
      </c>
      <c r="B920" s="3">
        <v>45879</v>
      </c>
      <c r="C920" s="2" t="s">
        <v>375</v>
      </c>
      <c r="D920" s="2" t="s">
        <v>96</v>
      </c>
      <c r="E920" s="2" t="s">
        <v>29</v>
      </c>
      <c r="F920" s="2">
        <v>42</v>
      </c>
      <c r="G920" s="2" t="s">
        <v>81</v>
      </c>
      <c r="H920" s="2" t="s">
        <v>31</v>
      </c>
      <c r="I920" s="2" t="s">
        <v>81</v>
      </c>
      <c r="J920" s="2" t="s">
        <v>70</v>
      </c>
      <c r="K920" s="2">
        <v>5</v>
      </c>
      <c r="L920" s="2">
        <v>8615</v>
      </c>
      <c r="M920" s="2">
        <v>5</v>
      </c>
      <c r="N920" s="2">
        <v>2153.75</v>
      </c>
      <c r="O920" s="2">
        <v>7365.82</v>
      </c>
      <c r="P920" s="2">
        <v>143</v>
      </c>
      <c r="Q920" s="2">
        <v>48430.07</v>
      </c>
      <c r="R920" s="2" t="s">
        <v>51</v>
      </c>
      <c r="S920" s="2" t="s">
        <v>34</v>
      </c>
      <c r="T920" s="9" t="s">
        <v>1703</v>
      </c>
      <c r="U920" s="10" t="s">
        <v>1701</v>
      </c>
      <c r="V920" s="2" t="s">
        <v>35</v>
      </c>
      <c r="W920" s="2">
        <v>7</v>
      </c>
      <c r="X920" s="2" t="s">
        <v>36</v>
      </c>
      <c r="Y920" s="2">
        <v>5</v>
      </c>
      <c r="Z920" s="2" t="s">
        <v>37</v>
      </c>
    </row>
    <row r="921" spans="1:26" x14ac:dyDescent="0.35">
      <c r="A921" s="2" t="s">
        <v>1575</v>
      </c>
      <c r="B921" s="3">
        <v>45945</v>
      </c>
      <c r="C921" s="2" t="s">
        <v>348</v>
      </c>
      <c r="D921" s="2" t="s">
        <v>73</v>
      </c>
      <c r="E921" s="2" t="s">
        <v>29</v>
      </c>
      <c r="F921" s="2">
        <v>47</v>
      </c>
      <c r="G921" s="2" t="s">
        <v>30</v>
      </c>
      <c r="H921" s="2" t="s">
        <v>31</v>
      </c>
      <c r="I921" s="2" t="s">
        <v>30</v>
      </c>
      <c r="J921" s="2" t="s">
        <v>70</v>
      </c>
      <c r="K921" s="2">
        <v>1</v>
      </c>
      <c r="L921" s="2">
        <v>17074</v>
      </c>
      <c r="M921" s="2">
        <v>15</v>
      </c>
      <c r="N921" s="2">
        <v>2561.1</v>
      </c>
      <c r="O921" s="2">
        <v>2612.3200000000002</v>
      </c>
      <c r="P921" s="2">
        <v>197</v>
      </c>
      <c r="Q921" s="2">
        <v>17322.22</v>
      </c>
      <c r="R921" s="2" t="s">
        <v>76</v>
      </c>
      <c r="S921" s="2" t="s">
        <v>59</v>
      </c>
      <c r="T921" s="9" t="s">
        <v>1710</v>
      </c>
      <c r="U921" s="10" t="s">
        <v>1711</v>
      </c>
      <c r="V921" s="2" t="s">
        <v>53</v>
      </c>
      <c r="W921" s="2">
        <v>10</v>
      </c>
      <c r="X921" s="2" t="s">
        <v>44</v>
      </c>
      <c r="Y921" s="2">
        <v>2</v>
      </c>
      <c r="Z921" s="2" t="s">
        <v>37</v>
      </c>
    </row>
    <row r="922" spans="1:26" x14ac:dyDescent="0.35">
      <c r="A922" s="2" t="s">
        <v>1576</v>
      </c>
      <c r="B922" s="3">
        <v>45828</v>
      </c>
      <c r="C922" s="2" t="s">
        <v>296</v>
      </c>
      <c r="D922" s="2" t="s">
        <v>80</v>
      </c>
      <c r="E922" s="2" t="s">
        <v>29</v>
      </c>
      <c r="F922" s="2">
        <v>22</v>
      </c>
      <c r="G922" s="2" t="s">
        <v>85</v>
      </c>
      <c r="H922" s="2" t="s">
        <v>31</v>
      </c>
      <c r="I922" s="2" t="s">
        <v>85</v>
      </c>
      <c r="J922" s="2" t="s">
        <v>70</v>
      </c>
      <c r="K922" s="2">
        <v>5</v>
      </c>
      <c r="L922" s="2">
        <v>31555</v>
      </c>
      <c r="M922" s="2">
        <v>0</v>
      </c>
      <c r="N922" s="2">
        <v>0</v>
      </c>
      <c r="O922" s="2">
        <v>28399.5</v>
      </c>
      <c r="P922" s="2">
        <v>290</v>
      </c>
      <c r="Q922" s="2">
        <v>186464.5</v>
      </c>
      <c r="R922" s="2" t="s">
        <v>76</v>
      </c>
      <c r="S922" s="2" t="s">
        <v>34</v>
      </c>
      <c r="T922" s="9" t="s">
        <v>1707</v>
      </c>
      <c r="U922" s="10" t="s">
        <v>1712</v>
      </c>
      <c r="V922" s="2" t="s">
        <v>53</v>
      </c>
      <c r="W922" s="2">
        <v>5</v>
      </c>
      <c r="X922" s="2" t="s">
        <v>44</v>
      </c>
      <c r="Y922" s="2">
        <v>2</v>
      </c>
      <c r="Z922" s="2" t="s">
        <v>37</v>
      </c>
    </row>
    <row r="923" spans="1:26" x14ac:dyDescent="0.35">
      <c r="A923" s="2" t="s">
        <v>1577</v>
      </c>
      <c r="B923" s="3">
        <v>45965</v>
      </c>
      <c r="C923" s="2" t="s">
        <v>1578</v>
      </c>
      <c r="D923" s="2" t="s">
        <v>68</v>
      </c>
      <c r="E923" s="2" t="s">
        <v>41</v>
      </c>
      <c r="F923" s="2">
        <v>42</v>
      </c>
      <c r="G923" s="2" t="s">
        <v>81</v>
      </c>
      <c r="H923" s="2" t="s">
        <v>31</v>
      </c>
      <c r="I923" s="2" t="s">
        <v>81</v>
      </c>
      <c r="J923" s="2" t="s">
        <v>138</v>
      </c>
      <c r="K923" s="2">
        <v>2</v>
      </c>
      <c r="L923" s="2">
        <v>36468</v>
      </c>
      <c r="M923" s="2">
        <v>10</v>
      </c>
      <c r="N923" s="2">
        <v>7293.6</v>
      </c>
      <c r="O923" s="2">
        <v>11815.63</v>
      </c>
      <c r="P923" s="2">
        <v>106</v>
      </c>
      <c r="Q923" s="2">
        <v>77564.03</v>
      </c>
      <c r="R923" s="2" t="s">
        <v>33</v>
      </c>
      <c r="S923" s="2" t="s">
        <v>59</v>
      </c>
      <c r="T923" s="9" t="s">
        <v>1709</v>
      </c>
      <c r="U923" s="10" t="s">
        <v>52</v>
      </c>
      <c r="V923" s="2" t="s">
        <v>53</v>
      </c>
      <c r="W923" s="2">
        <v>7</v>
      </c>
      <c r="X923" s="2" t="s">
        <v>36</v>
      </c>
      <c r="Y923" s="2">
        <v>1</v>
      </c>
      <c r="Z923" s="2" t="s">
        <v>37</v>
      </c>
    </row>
    <row r="924" spans="1:26" x14ac:dyDescent="0.35">
      <c r="A924" s="2" t="s">
        <v>1579</v>
      </c>
      <c r="B924" s="3">
        <v>46109</v>
      </c>
      <c r="C924" s="2" t="s">
        <v>1580</v>
      </c>
      <c r="D924" s="2" t="s">
        <v>40</v>
      </c>
      <c r="E924" s="2" t="s">
        <v>29</v>
      </c>
      <c r="F924" s="2">
        <v>19</v>
      </c>
      <c r="G924" s="2" t="s">
        <v>88</v>
      </c>
      <c r="H924" s="2" t="s">
        <v>49</v>
      </c>
      <c r="I924" s="2" t="s">
        <v>88</v>
      </c>
      <c r="J924" s="2" t="s">
        <v>113</v>
      </c>
      <c r="K924" s="2">
        <v>1</v>
      </c>
      <c r="L924" s="2">
        <v>17001</v>
      </c>
      <c r="M924" s="2">
        <v>20</v>
      </c>
      <c r="N924" s="2">
        <v>3400.2</v>
      </c>
      <c r="O924" s="2">
        <v>2448.14</v>
      </c>
      <c r="P924" s="2">
        <v>72</v>
      </c>
      <c r="Q924" s="2">
        <v>16120.94</v>
      </c>
      <c r="R924" s="2" t="s">
        <v>51</v>
      </c>
      <c r="S924" s="2" t="s">
        <v>34</v>
      </c>
      <c r="T924" s="9" t="s">
        <v>1706</v>
      </c>
      <c r="U924" s="10" t="s">
        <v>52</v>
      </c>
      <c r="V924" s="2" t="s">
        <v>53</v>
      </c>
      <c r="W924" s="2">
        <v>3</v>
      </c>
      <c r="X924" s="2" t="s">
        <v>36</v>
      </c>
      <c r="Y924" s="2">
        <v>4</v>
      </c>
      <c r="Z924" s="2" t="s">
        <v>37</v>
      </c>
    </row>
    <row r="925" spans="1:26" x14ac:dyDescent="0.35">
      <c r="A925" s="2" t="s">
        <v>1581</v>
      </c>
      <c r="B925" s="3">
        <v>45823</v>
      </c>
      <c r="C925" s="2" t="s">
        <v>886</v>
      </c>
      <c r="D925" s="2" t="s">
        <v>62</v>
      </c>
      <c r="E925" s="2" t="s">
        <v>41</v>
      </c>
      <c r="F925" s="2">
        <v>24</v>
      </c>
      <c r="G925" s="2" t="s">
        <v>88</v>
      </c>
      <c r="H925" s="2" t="s">
        <v>49</v>
      </c>
      <c r="I925" s="2" t="s">
        <v>88</v>
      </c>
      <c r="J925" s="2" t="s">
        <v>58</v>
      </c>
      <c r="K925" s="2">
        <v>1</v>
      </c>
      <c r="L925" s="2">
        <v>2091</v>
      </c>
      <c r="M925" s="2">
        <v>10</v>
      </c>
      <c r="N925" s="2">
        <v>209.1</v>
      </c>
      <c r="O925" s="2">
        <v>338.74</v>
      </c>
      <c r="P925" s="2">
        <v>95</v>
      </c>
      <c r="Q925" s="2">
        <v>2315.64</v>
      </c>
      <c r="R925" s="2" t="s">
        <v>43</v>
      </c>
      <c r="S925" s="2" t="s">
        <v>59</v>
      </c>
      <c r="T925" s="9" t="s">
        <v>1704</v>
      </c>
      <c r="U925" s="10" t="s">
        <v>52</v>
      </c>
      <c r="V925" s="2" t="s">
        <v>35</v>
      </c>
      <c r="W925" s="2">
        <v>4</v>
      </c>
      <c r="X925" s="2" t="s">
        <v>44</v>
      </c>
      <c r="Y925" s="2">
        <v>4</v>
      </c>
      <c r="Z925" s="2" t="s">
        <v>54</v>
      </c>
    </row>
    <row r="926" spans="1:26" x14ac:dyDescent="0.35">
      <c r="A926" s="2" t="s">
        <v>1582</v>
      </c>
      <c r="B926" s="3">
        <v>45767</v>
      </c>
      <c r="C926" s="2" t="s">
        <v>1510</v>
      </c>
      <c r="D926" s="2" t="s">
        <v>99</v>
      </c>
      <c r="E926" s="2" t="s">
        <v>29</v>
      </c>
      <c r="F926" s="2">
        <v>24</v>
      </c>
      <c r="G926" s="2" t="s">
        <v>69</v>
      </c>
      <c r="H926" s="2" t="s">
        <v>31</v>
      </c>
      <c r="I926" s="2" t="s">
        <v>69</v>
      </c>
      <c r="J926" s="2" t="s">
        <v>190</v>
      </c>
      <c r="K926" s="2">
        <v>5</v>
      </c>
      <c r="L926" s="2">
        <v>27061</v>
      </c>
      <c r="M926" s="2">
        <v>15</v>
      </c>
      <c r="N926" s="2">
        <v>20295.75</v>
      </c>
      <c r="O926" s="2">
        <v>20701.669999999998</v>
      </c>
      <c r="P926" s="2">
        <v>389</v>
      </c>
      <c r="Q926" s="2">
        <v>136099.92000000001</v>
      </c>
      <c r="R926" s="2" t="s">
        <v>51</v>
      </c>
      <c r="S926" s="2" t="s">
        <v>59</v>
      </c>
      <c r="T926" s="9" t="s">
        <v>1707</v>
      </c>
      <c r="U926" s="10" t="s">
        <v>1712</v>
      </c>
      <c r="V926" s="2" t="s">
        <v>53</v>
      </c>
      <c r="W926" s="2">
        <v>4</v>
      </c>
      <c r="X926" s="2" t="s">
        <v>36</v>
      </c>
      <c r="Y926" s="2">
        <v>2</v>
      </c>
      <c r="Z926" s="2" t="s">
        <v>54</v>
      </c>
    </row>
    <row r="927" spans="1:26" x14ac:dyDescent="0.35">
      <c r="A927" s="2" t="s">
        <v>1583</v>
      </c>
      <c r="B927" s="3">
        <v>46000</v>
      </c>
      <c r="C927" s="2" t="s">
        <v>1584</v>
      </c>
      <c r="D927" s="2" t="s">
        <v>57</v>
      </c>
      <c r="E927" s="2" t="s">
        <v>29</v>
      </c>
      <c r="F927" s="2">
        <v>35</v>
      </c>
      <c r="G927" s="2" t="s">
        <v>69</v>
      </c>
      <c r="H927" s="2" t="s">
        <v>31</v>
      </c>
      <c r="I927" s="2" t="s">
        <v>69</v>
      </c>
      <c r="J927" s="2" t="s">
        <v>91</v>
      </c>
      <c r="K927" s="2">
        <v>3</v>
      </c>
      <c r="L927" s="2">
        <v>9812</v>
      </c>
      <c r="M927" s="2">
        <v>20</v>
      </c>
      <c r="N927" s="2">
        <v>5887.2</v>
      </c>
      <c r="O927" s="2">
        <v>4238.78</v>
      </c>
      <c r="P927" s="2">
        <v>136</v>
      </c>
      <c r="Q927" s="2">
        <v>27923.58</v>
      </c>
      <c r="R927" s="2" t="s">
        <v>43</v>
      </c>
      <c r="S927" s="2" t="s">
        <v>34</v>
      </c>
      <c r="T927" s="9" t="s">
        <v>1710</v>
      </c>
      <c r="U927" s="10" t="s">
        <v>1711</v>
      </c>
      <c r="V927" s="2" t="s">
        <v>53</v>
      </c>
      <c r="W927" s="2">
        <v>5</v>
      </c>
      <c r="X927" s="2" t="s">
        <v>44</v>
      </c>
      <c r="Y927" s="2">
        <v>5</v>
      </c>
      <c r="Z927" s="2" t="s">
        <v>54</v>
      </c>
    </row>
    <row r="928" spans="1:26" x14ac:dyDescent="0.35">
      <c r="A928" s="2" t="s">
        <v>1585</v>
      </c>
      <c r="B928" s="3">
        <v>45907</v>
      </c>
      <c r="C928" s="2" t="s">
        <v>430</v>
      </c>
      <c r="D928" s="2" t="s">
        <v>47</v>
      </c>
      <c r="E928" s="2" t="s">
        <v>29</v>
      </c>
      <c r="F928" s="2">
        <v>48</v>
      </c>
      <c r="G928" s="2" t="s">
        <v>122</v>
      </c>
      <c r="H928" s="2" t="s">
        <v>31</v>
      </c>
      <c r="I928" s="2" t="s">
        <v>122</v>
      </c>
      <c r="J928" s="2" t="s">
        <v>50</v>
      </c>
      <c r="K928" s="2">
        <v>2</v>
      </c>
      <c r="L928" s="2">
        <v>42773</v>
      </c>
      <c r="M928" s="2">
        <v>0</v>
      </c>
      <c r="N928" s="2">
        <v>0</v>
      </c>
      <c r="O928" s="2">
        <v>15398.28</v>
      </c>
      <c r="P928" s="2">
        <v>254</v>
      </c>
      <c r="Q928" s="2">
        <v>101198.28</v>
      </c>
      <c r="R928" s="2" t="s">
        <v>43</v>
      </c>
      <c r="S928" s="2" t="s">
        <v>34</v>
      </c>
      <c r="T928" s="9" t="s">
        <v>1704</v>
      </c>
      <c r="U928" s="10" t="s">
        <v>52</v>
      </c>
      <c r="V928" s="2" t="s">
        <v>35</v>
      </c>
      <c r="W928" s="2">
        <v>3</v>
      </c>
      <c r="X928" s="2" t="s">
        <v>44</v>
      </c>
      <c r="Y928" s="2">
        <v>2</v>
      </c>
      <c r="Z928" s="2" t="s">
        <v>54</v>
      </c>
    </row>
    <row r="929" spans="1:26" x14ac:dyDescent="0.35">
      <c r="A929" s="2" t="s">
        <v>1586</v>
      </c>
      <c r="B929" s="3">
        <v>46119</v>
      </c>
      <c r="C929" s="2" t="s">
        <v>129</v>
      </c>
      <c r="D929" s="2" t="s">
        <v>57</v>
      </c>
      <c r="E929" s="2" t="s">
        <v>41</v>
      </c>
      <c r="F929" s="2">
        <v>42</v>
      </c>
      <c r="G929" s="2" t="s">
        <v>81</v>
      </c>
      <c r="H929" s="2" t="s">
        <v>31</v>
      </c>
      <c r="I929" s="2" t="s">
        <v>81</v>
      </c>
      <c r="J929" s="2" t="s">
        <v>113</v>
      </c>
      <c r="K929" s="2">
        <v>1</v>
      </c>
      <c r="L929" s="2">
        <v>14852</v>
      </c>
      <c r="M929" s="2">
        <v>15</v>
      </c>
      <c r="N929" s="2">
        <v>2227.8000000000002</v>
      </c>
      <c r="O929" s="2">
        <v>2272.36</v>
      </c>
      <c r="P929" s="2">
        <v>109</v>
      </c>
      <c r="Q929" s="2">
        <v>15005.56</v>
      </c>
      <c r="R929" s="2" t="s">
        <v>76</v>
      </c>
      <c r="S929" s="2" t="s">
        <v>59</v>
      </c>
      <c r="T929" s="9" t="s">
        <v>1710</v>
      </c>
      <c r="U929" s="10" t="s">
        <v>1711</v>
      </c>
      <c r="V929" s="2" t="s">
        <v>53</v>
      </c>
      <c r="W929" s="2">
        <v>5</v>
      </c>
      <c r="X929" s="2" t="s">
        <v>36</v>
      </c>
      <c r="Y929" s="2">
        <v>5</v>
      </c>
      <c r="Z929" s="2" t="s">
        <v>44</v>
      </c>
    </row>
    <row r="930" spans="1:26" x14ac:dyDescent="0.35">
      <c r="A930" s="2" t="s">
        <v>1587</v>
      </c>
      <c r="B930" s="3">
        <v>45906</v>
      </c>
      <c r="C930" s="2" t="s">
        <v>837</v>
      </c>
      <c r="D930" s="2" t="s">
        <v>96</v>
      </c>
      <c r="E930" s="2" t="s">
        <v>41</v>
      </c>
      <c r="F930" s="2">
        <v>58</v>
      </c>
      <c r="G930" s="2" t="s">
        <v>127</v>
      </c>
      <c r="H930" s="2" t="s">
        <v>31</v>
      </c>
      <c r="I930" s="2" t="s">
        <v>127</v>
      </c>
      <c r="J930" s="2" t="s">
        <v>65</v>
      </c>
      <c r="K930" s="2">
        <v>3</v>
      </c>
      <c r="L930" s="2">
        <v>8496</v>
      </c>
      <c r="M930" s="2">
        <v>15</v>
      </c>
      <c r="N930" s="2">
        <v>3823.2</v>
      </c>
      <c r="O930" s="2">
        <v>3899.66</v>
      </c>
      <c r="P930" s="2">
        <v>138</v>
      </c>
      <c r="Q930" s="2">
        <v>25702.46</v>
      </c>
      <c r="R930" s="2" t="s">
        <v>33</v>
      </c>
      <c r="S930" s="2" t="s">
        <v>34</v>
      </c>
      <c r="T930" s="9" t="s">
        <v>1710</v>
      </c>
      <c r="U930" s="10" t="s">
        <v>1711</v>
      </c>
      <c r="V930" s="2" t="s">
        <v>53</v>
      </c>
      <c r="W930" s="2">
        <v>9</v>
      </c>
      <c r="X930" s="2" t="s">
        <v>36</v>
      </c>
      <c r="Y930" s="2">
        <v>3</v>
      </c>
      <c r="Z930" s="2" t="s">
        <v>82</v>
      </c>
    </row>
    <row r="931" spans="1:26" x14ac:dyDescent="0.35">
      <c r="A931" s="2" t="s">
        <v>1588</v>
      </c>
      <c r="B931" s="3">
        <v>45955</v>
      </c>
      <c r="C931" s="2" t="s">
        <v>1589</v>
      </c>
      <c r="D931" s="2" t="s">
        <v>96</v>
      </c>
      <c r="E931" s="2" t="s">
        <v>41</v>
      </c>
      <c r="F931" s="2">
        <v>49</v>
      </c>
      <c r="G931" s="2" t="s">
        <v>127</v>
      </c>
      <c r="H931" s="2" t="s">
        <v>31</v>
      </c>
      <c r="I931" s="2" t="s">
        <v>127</v>
      </c>
      <c r="J931" s="2" t="s">
        <v>58</v>
      </c>
      <c r="K931" s="2">
        <v>3</v>
      </c>
      <c r="L931" s="2">
        <v>8963</v>
      </c>
      <c r="M931" s="2">
        <v>20</v>
      </c>
      <c r="N931" s="2">
        <v>5377.8</v>
      </c>
      <c r="O931" s="2">
        <v>3872.02</v>
      </c>
      <c r="P931" s="2">
        <v>168</v>
      </c>
      <c r="Q931" s="2">
        <v>25551.22</v>
      </c>
      <c r="R931" s="2" t="s">
        <v>43</v>
      </c>
      <c r="S931" s="2" t="s">
        <v>34</v>
      </c>
      <c r="T931" s="9" t="s">
        <v>1710</v>
      </c>
      <c r="U931" s="10" t="s">
        <v>1711</v>
      </c>
      <c r="V931" s="2" t="s">
        <v>53</v>
      </c>
      <c r="W931" s="2">
        <v>8</v>
      </c>
      <c r="X931" s="2" t="s">
        <v>44</v>
      </c>
      <c r="Y931" s="2">
        <v>1</v>
      </c>
      <c r="Z931" s="2" t="s">
        <v>82</v>
      </c>
    </row>
    <row r="932" spans="1:26" x14ac:dyDescent="0.35">
      <c r="A932" s="2" t="s">
        <v>1590</v>
      </c>
      <c r="B932" s="3">
        <v>45949</v>
      </c>
      <c r="C932" s="2" t="s">
        <v>847</v>
      </c>
      <c r="D932" s="2" t="s">
        <v>68</v>
      </c>
      <c r="E932" s="2" t="s">
        <v>41</v>
      </c>
      <c r="F932" s="2">
        <v>41</v>
      </c>
      <c r="G932" s="2" t="s">
        <v>69</v>
      </c>
      <c r="H932" s="2" t="s">
        <v>31</v>
      </c>
      <c r="I932" s="2" t="s">
        <v>69</v>
      </c>
      <c r="J932" s="2" t="s">
        <v>65</v>
      </c>
      <c r="K932" s="2">
        <v>5</v>
      </c>
      <c r="L932" s="2">
        <v>13929</v>
      </c>
      <c r="M932" s="2">
        <v>0</v>
      </c>
      <c r="N932" s="2">
        <v>0</v>
      </c>
      <c r="O932" s="2">
        <v>12536.1</v>
      </c>
      <c r="P932" s="2">
        <v>429</v>
      </c>
      <c r="Q932" s="2">
        <v>82610.100000000006</v>
      </c>
      <c r="R932" s="2" t="s">
        <v>76</v>
      </c>
      <c r="S932" s="2" t="s">
        <v>34</v>
      </c>
      <c r="T932" s="9" t="s">
        <v>1703</v>
      </c>
      <c r="U932" s="10" t="s">
        <v>1701</v>
      </c>
      <c r="V932" s="2" t="s">
        <v>35</v>
      </c>
      <c r="W932" s="2">
        <v>1</v>
      </c>
      <c r="X932" s="2" t="s">
        <v>36</v>
      </c>
      <c r="Y932" s="2">
        <v>2</v>
      </c>
      <c r="Z932" s="2" t="s">
        <v>37</v>
      </c>
    </row>
    <row r="933" spans="1:26" x14ac:dyDescent="0.35">
      <c r="A933" s="2" t="s">
        <v>1591</v>
      </c>
      <c r="B933" s="3">
        <v>46092</v>
      </c>
      <c r="C933" s="2" t="s">
        <v>1420</v>
      </c>
      <c r="D933" s="2" t="s">
        <v>28</v>
      </c>
      <c r="E933" s="2" t="s">
        <v>41</v>
      </c>
      <c r="F933" s="2">
        <v>20</v>
      </c>
      <c r="G933" s="2" t="s">
        <v>85</v>
      </c>
      <c r="H933" s="2" t="s">
        <v>31</v>
      </c>
      <c r="I933" s="2" t="s">
        <v>85</v>
      </c>
      <c r="J933" s="2" t="s">
        <v>70</v>
      </c>
      <c r="K933" s="2">
        <v>3</v>
      </c>
      <c r="L933" s="2">
        <v>5257</v>
      </c>
      <c r="M933" s="2">
        <v>0</v>
      </c>
      <c r="N933" s="2">
        <v>0</v>
      </c>
      <c r="O933" s="2">
        <v>2838.78</v>
      </c>
      <c r="P933" s="2">
        <v>305</v>
      </c>
      <c r="Q933" s="2">
        <v>18914.78</v>
      </c>
      <c r="R933" s="2" t="s">
        <v>43</v>
      </c>
      <c r="S933" s="2" t="s">
        <v>59</v>
      </c>
      <c r="T933" s="9" t="s">
        <v>1704</v>
      </c>
      <c r="U933" s="10" t="s">
        <v>52</v>
      </c>
      <c r="V933" s="2" t="s">
        <v>35</v>
      </c>
      <c r="W933" s="2">
        <v>8</v>
      </c>
      <c r="X933" s="2" t="s">
        <v>44</v>
      </c>
      <c r="Y933" s="2">
        <v>1</v>
      </c>
      <c r="Z933" s="2" t="s">
        <v>54</v>
      </c>
    </row>
    <row r="934" spans="1:26" x14ac:dyDescent="0.35">
      <c r="A934" s="2" t="s">
        <v>1592</v>
      </c>
      <c r="B934" s="3">
        <v>45994</v>
      </c>
      <c r="C934" s="2" t="s">
        <v>1442</v>
      </c>
      <c r="D934" s="2" t="s">
        <v>40</v>
      </c>
      <c r="E934" s="2" t="s">
        <v>29</v>
      </c>
      <c r="F934" s="2">
        <v>34</v>
      </c>
      <c r="G934" s="2" t="s">
        <v>63</v>
      </c>
      <c r="H934" s="2" t="s">
        <v>64</v>
      </c>
      <c r="I934" s="2" t="s">
        <v>63</v>
      </c>
      <c r="J934" s="2" t="s">
        <v>70</v>
      </c>
      <c r="K934" s="2">
        <v>5</v>
      </c>
      <c r="L934" s="2">
        <v>38726</v>
      </c>
      <c r="M934" s="2">
        <v>10</v>
      </c>
      <c r="N934" s="2">
        <v>19363</v>
      </c>
      <c r="O934" s="2">
        <v>31368.06</v>
      </c>
      <c r="P934" s="2">
        <v>69</v>
      </c>
      <c r="Q934" s="2">
        <v>205704.06</v>
      </c>
      <c r="R934" s="2" t="s">
        <v>43</v>
      </c>
      <c r="S934" s="2" t="s">
        <v>34</v>
      </c>
      <c r="T934" s="9" t="s">
        <v>1708</v>
      </c>
      <c r="U934" s="10" t="s">
        <v>52</v>
      </c>
      <c r="V934" s="2" t="s">
        <v>77</v>
      </c>
      <c r="W934" s="2">
        <v>5</v>
      </c>
      <c r="X934" s="2" t="s">
        <v>36</v>
      </c>
      <c r="Y934" s="2">
        <v>3</v>
      </c>
      <c r="Z934" s="2" t="s">
        <v>82</v>
      </c>
    </row>
    <row r="935" spans="1:26" x14ac:dyDescent="0.35">
      <c r="A935" s="2" t="s">
        <v>1593</v>
      </c>
      <c r="B935" s="3">
        <v>45782</v>
      </c>
      <c r="C935" s="2" t="s">
        <v>1223</v>
      </c>
      <c r="D935" s="2" t="s">
        <v>28</v>
      </c>
      <c r="E935" s="2" t="s">
        <v>29</v>
      </c>
      <c r="F935" s="2">
        <v>37</v>
      </c>
      <c r="G935" s="2" t="s">
        <v>127</v>
      </c>
      <c r="H935" s="2" t="s">
        <v>31</v>
      </c>
      <c r="I935" s="2" t="s">
        <v>127</v>
      </c>
      <c r="J935" s="2" t="s">
        <v>65</v>
      </c>
      <c r="K935" s="2">
        <v>3</v>
      </c>
      <c r="L935" s="2">
        <v>36827</v>
      </c>
      <c r="M935" s="2">
        <v>20</v>
      </c>
      <c r="N935" s="2">
        <v>22096.2</v>
      </c>
      <c r="O935" s="2">
        <v>15909.26</v>
      </c>
      <c r="P935" s="2">
        <v>406</v>
      </c>
      <c r="Q935" s="2">
        <v>104700.06</v>
      </c>
      <c r="R935" s="2" t="s">
        <v>76</v>
      </c>
      <c r="S935" s="2" t="s">
        <v>59</v>
      </c>
      <c r="T935" s="9" t="s">
        <v>1707</v>
      </c>
      <c r="U935" s="10" t="s">
        <v>1712</v>
      </c>
      <c r="V935" s="2" t="s">
        <v>53</v>
      </c>
      <c r="W935" s="2">
        <v>2</v>
      </c>
      <c r="X935" s="2" t="s">
        <v>36</v>
      </c>
      <c r="Y935" s="2">
        <v>1</v>
      </c>
      <c r="Z935" s="2" t="s">
        <v>54</v>
      </c>
    </row>
    <row r="936" spans="1:26" x14ac:dyDescent="0.35">
      <c r="A936" s="2" t="s">
        <v>1594</v>
      </c>
      <c r="B936" s="3">
        <v>46095</v>
      </c>
      <c r="C936" s="2" t="s">
        <v>1256</v>
      </c>
      <c r="D936" s="2" t="s">
        <v>40</v>
      </c>
      <c r="E936" s="2" t="s">
        <v>41</v>
      </c>
      <c r="F936" s="2">
        <v>41</v>
      </c>
      <c r="G936" s="2" t="s">
        <v>69</v>
      </c>
      <c r="H936" s="2" t="s">
        <v>31</v>
      </c>
      <c r="I936" s="2" t="s">
        <v>69</v>
      </c>
      <c r="J936" s="2" t="s">
        <v>70</v>
      </c>
      <c r="K936" s="2">
        <v>5</v>
      </c>
      <c r="L936" s="2">
        <v>41450</v>
      </c>
      <c r="M936" s="2">
        <v>15</v>
      </c>
      <c r="N936" s="2">
        <v>31087.5</v>
      </c>
      <c r="O936" s="2">
        <v>31709.25</v>
      </c>
      <c r="P936" s="2">
        <v>432</v>
      </c>
      <c r="Q936" s="2">
        <v>208303.75</v>
      </c>
      <c r="R936" s="2" t="s">
        <v>76</v>
      </c>
      <c r="S936" s="2" t="s">
        <v>59</v>
      </c>
      <c r="T936" s="9" t="s">
        <v>1709</v>
      </c>
      <c r="U936" s="10" t="s">
        <v>52</v>
      </c>
      <c r="V936" s="2" t="s">
        <v>53</v>
      </c>
      <c r="W936" s="2">
        <v>10</v>
      </c>
      <c r="X936" s="2" t="s">
        <v>44</v>
      </c>
      <c r="Y936" s="2">
        <v>3</v>
      </c>
      <c r="Z936" s="2" t="s">
        <v>82</v>
      </c>
    </row>
    <row r="937" spans="1:26" x14ac:dyDescent="0.35">
      <c r="A937" s="2" t="s">
        <v>1595</v>
      </c>
      <c r="B937" s="3">
        <v>45950</v>
      </c>
      <c r="C937" s="2" t="s">
        <v>1596</v>
      </c>
      <c r="D937" s="2" t="s">
        <v>96</v>
      </c>
      <c r="E937" s="2" t="s">
        <v>29</v>
      </c>
      <c r="F937" s="2">
        <v>49</v>
      </c>
      <c r="G937" s="2" t="s">
        <v>88</v>
      </c>
      <c r="H937" s="2" t="s">
        <v>49</v>
      </c>
      <c r="I937" s="2" t="s">
        <v>88</v>
      </c>
      <c r="J937" s="2" t="s">
        <v>50</v>
      </c>
      <c r="K937" s="2">
        <v>4</v>
      </c>
      <c r="L937" s="2">
        <v>26576</v>
      </c>
      <c r="M937" s="2">
        <v>5</v>
      </c>
      <c r="N937" s="2">
        <v>5315.2</v>
      </c>
      <c r="O937" s="2">
        <v>18177.98</v>
      </c>
      <c r="P937" s="2">
        <v>152</v>
      </c>
      <c r="Q937" s="2">
        <v>119318.78</v>
      </c>
      <c r="R937" s="2" t="s">
        <v>43</v>
      </c>
      <c r="S937" s="2" t="s">
        <v>59</v>
      </c>
      <c r="T937" s="9" t="s">
        <v>1710</v>
      </c>
      <c r="U937" s="10" t="s">
        <v>1711</v>
      </c>
      <c r="V937" s="2" t="s">
        <v>53</v>
      </c>
      <c r="W937" s="2">
        <v>9</v>
      </c>
      <c r="X937" s="2" t="s">
        <v>44</v>
      </c>
      <c r="Y937" s="2">
        <v>4</v>
      </c>
      <c r="Z937" s="2" t="s">
        <v>82</v>
      </c>
    </row>
    <row r="938" spans="1:26" x14ac:dyDescent="0.35">
      <c r="A938" s="2" t="s">
        <v>1597</v>
      </c>
      <c r="B938" s="3">
        <v>45800</v>
      </c>
      <c r="C938" s="2" t="s">
        <v>1099</v>
      </c>
      <c r="D938" s="2" t="s">
        <v>47</v>
      </c>
      <c r="E938" s="2" t="s">
        <v>41</v>
      </c>
      <c r="F938" s="2">
        <v>29</v>
      </c>
      <c r="G938" s="2" t="s">
        <v>30</v>
      </c>
      <c r="H938" s="2" t="s">
        <v>31</v>
      </c>
      <c r="I938" s="2" t="s">
        <v>30</v>
      </c>
      <c r="J938" s="2" t="s">
        <v>91</v>
      </c>
      <c r="K938" s="2">
        <v>1</v>
      </c>
      <c r="L938" s="2">
        <v>24845</v>
      </c>
      <c r="M938" s="2">
        <v>5</v>
      </c>
      <c r="N938" s="2">
        <v>1242.25</v>
      </c>
      <c r="O938" s="2">
        <v>4248.49</v>
      </c>
      <c r="P938" s="2">
        <v>17</v>
      </c>
      <c r="Q938" s="2">
        <v>27868.240000000002</v>
      </c>
      <c r="R938" s="2" t="s">
        <v>43</v>
      </c>
      <c r="S938" s="2" t="s">
        <v>34</v>
      </c>
      <c r="T938" s="9" t="s">
        <v>1703</v>
      </c>
      <c r="U938" s="10" t="s">
        <v>1701</v>
      </c>
      <c r="V938" s="2" t="s">
        <v>35</v>
      </c>
      <c r="W938" s="2">
        <v>9</v>
      </c>
      <c r="X938" s="2" t="s">
        <v>44</v>
      </c>
      <c r="Y938" s="2">
        <v>4</v>
      </c>
      <c r="Z938" s="2" t="s">
        <v>37</v>
      </c>
    </row>
    <row r="939" spans="1:26" x14ac:dyDescent="0.35">
      <c r="A939" s="2" t="s">
        <v>1598</v>
      </c>
      <c r="B939" s="3">
        <v>46115</v>
      </c>
      <c r="C939" s="2" t="s">
        <v>364</v>
      </c>
      <c r="D939" s="2" t="s">
        <v>99</v>
      </c>
      <c r="E939" s="2" t="s">
        <v>41</v>
      </c>
      <c r="F939" s="2">
        <v>55</v>
      </c>
      <c r="G939" s="2" t="s">
        <v>30</v>
      </c>
      <c r="H939" s="2" t="s">
        <v>31</v>
      </c>
      <c r="I939" s="2" t="s">
        <v>30</v>
      </c>
      <c r="J939" s="2" t="s">
        <v>50</v>
      </c>
      <c r="K939" s="2">
        <v>2</v>
      </c>
      <c r="L939" s="2">
        <v>49886</v>
      </c>
      <c r="M939" s="2">
        <v>15</v>
      </c>
      <c r="N939" s="2">
        <v>14965.8</v>
      </c>
      <c r="O939" s="2">
        <v>15265.12</v>
      </c>
      <c r="P939" s="2">
        <v>266</v>
      </c>
      <c r="Q939" s="2">
        <v>100337.32</v>
      </c>
      <c r="R939" s="2" t="s">
        <v>51</v>
      </c>
      <c r="S939" s="2" t="s">
        <v>34</v>
      </c>
      <c r="T939" s="9" t="s">
        <v>1705</v>
      </c>
      <c r="U939" s="10" t="s">
        <v>1702</v>
      </c>
      <c r="V939" s="2" t="s">
        <v>53</v>
      </c>
      <c r="W939" s="2">
        <v>1</v>
      </c>
      <c r="X939" s="2" t="s">
        <v>36</v>
      </c>
      <c r="Y939" s="2">
        <v>5</v>
      </c>
      <c r="Z939" s="2" t="s">
        <v>82</v>
      </c>
    </row>
    <row r="940" spans="1:26" x14ac:dyDescent="0.35">
      <c r="A940" s="2" t="s">
        <v>1599</v>
      </c>
      <c r="B940" s="3">
        <v>45946</v>
      </c>
      <c r="C940" s="2" t="s">
        <v>288</v>
      </c>
      <c r="D940" s="2" t="s">
        <v>96</v>
      </c>
      <c r="E940" s="2" t="s">
        <v>29</v>
      </c>
      <c r="F940" s="2">
        <v>52</v>
      </c>
      <c r="G940" s="2" t="s">
        <v>85</v>
      </c>
      <c r="H940" s="2" t="s">
        <v>31</v>
      </c>
      <c r="I940" s="2" t="s">
        <v>85</v>
      </c>
      <c r="J940" s="2" t="s">
        <v>32</v>
      </c>
      <c r="K940" s="2">
        <v>5</v>
      </c>
      <c r="L940" s="2">
        <v>31838</v>
      </c>
      <c r="M940" s="2">
        <v>15</v>
      </c>
      <c r="N940" s="2">
        <v>23878.5</v>
      </c>
      <c r="O940" s="2">
        <v>24356.07</v>
      </c>
      <c r="P940" s="2">
        <v>154</v>
      </c>
      <c r="Q940" s="2">
        <v>159821.57</v>
      </c>
      <c r="R940" s="2" t="s">
        <v>33</v>
      </c>
      <c r="S940" s="2" t="s">
        <v>34</v>
      </c>
      <c r="T940" s="9" t="s">
        <v>1707</v>
      </c>
      <c r="U940" s="10" t="s">
        <v>1712</v>
      </c>
      <c r="V940" s="2" t="s">
        <v>53</v>
      </c>
      <c r="W940" s="2">
        <v>4</v>
      </c>
      <c r="X940" s="2" t="s">
        <v>36</v>
      </c>
      <c r="Y940" s="2">
        <v>1</v>
      </c>
      <c r="Z940" s="2" t="s">
        <v>82</v>
      </c>
    </row>
    <row r="941" spans="1:26" x14ac:dyDescent="0.35">
      <c r="A941" s="2" t="s">
        <v>1600</v>
      </c>
      <c r="B941" s="3">
        <v>45829</v>
      </c>
      <c r="C941" s="2" t="s">
        <v>1601</v>
      </c>
      <c r="D941" s="2" t="s">
        <v>99</v>
      </c>
      <c r="E941" s="2" t="s">
        <v>29</v>
      </c>
      <c r="F941" s="2">
        <v>43</v>
      </c>
      <c r="G941" s="2" t="s">
        <v>48</v>
      </c>
      <c r="H941" s="2" t="s">
        <v>49</v>
      </c>
      <c r="I941" s="2" t="s">
        <v>48</v>
      </c>
      <c r="J941" s="2" t="s">
        <v>190</v>
      </c>
      <c r="K941" s="2">
        <v>5</v>
      </c>
      <c r="L941" s="2">
        <v>41624</v>
      </c>
      <c r="M941" s="2">
        <v>5</v>
      </c>
      <c r="N941" s="2">
        <v>10406</v>
      </c>
      <c r="O941" s="2">
        <v>35588.519999999997</v>
      </c>
      <c r="P941" s="2">
        <v>290</v>
      </c>
      <c r="Q941" s="2">
        <v>233592.52</v>
      </c>
      <c r="R941" s="2" t="s">
        <v>33</v>
      </c>
      <c r="S941" s="2" t="s">
        <v>34</v>
      </c>
      <c r="T941" s="9" t="s">
        <v>1708</v>
      </c>
      <c r="U941" s="10" t="s">
        <v>52</v>
      </c>
      <c r="V941" s="2" t="s">
        <v>77</v>
      </c>
      <c r="W941" s="2">
        <v>3</v>
      </c>
      <c r="X941" s="2" t="s">
        <v>36</v>
      </c>
      <c r="Y941" s="2">
        <v>2</v>
      </c>
      <c r="Z941" s="2" t="s">
        <v>82</v>
      </c>
    </row>
    <row r="942" spans="1:26" x14ac:dyDescent="0.35">
      <c r="A942" s="2" t="s">
        <v>1602</v>
      </c>
      <c r="B942" s="3">
        <v>45943</v>
      </c>
      <c r="C942" s="2" t="s">
        <v>1603</v>
      </c>
      <c r="D942" s="2" t="s">
        <v>80</v>
      </c>
      <c r="E942" s="2" t="s">
        <v>29</v>
      </c>
      <c r="F942" s="2">
        <v>40</v>
      </c>
      <c r="G942" s="2" t="s">
        <v>48</v>
      </c>
      <c r="H942" s="2" t="s">
        <v>49</v>
      </c>
      <c r="I942" s="2" t="s">
        <v>48</v>
      </c>
      <c r="J942" s="2" t="s">
        <v>190</v>
      </c>
      <c r="K942" s="2">
        <v>5</v>
      </c>
      <c r="L942" s="2">
        <v>7734</v>
      </c>
      <c r="M942" s="2">
        <v>0</v>
      </c>
      <c r="N942" s="2">
        <v>0</v>
      </c>
      <c r="O942" s="2">
        <v>6960.6</v>
      </c>
      <c r="P942" s="2">
        <v>264</v>
      </c>
      <c r="Q942" s="2">
        <v>45894.6</v>
      </c>
      <c r="R942" s="2" t="s">
        <v>51</v>
      </c>
      <c r="S942" s="2" t="s">
        <v>59</v>
      </c>
      <c r="T942" s="9" t="s">
        <v>1703</v>
      </c>
      <c r="U942" s="10" t="s">
        <v>1701</v>
      </c>
      <c r="V942" s="2" t="s">
        <v>35</v>
      </c>
      <c r="W942" s="2">
        <v>5</v>
      </c>
      <c r="X942" s="2" t="s">
        <v>36</v>
      </c>
      <c r="Y942" s="2">
        <v>5</v>
      </c>
      <c r="Z942" s="2" t="s">
        <v>37</v>
      </c>
    </row>
    <row r="943" spans="1:26" x14ac:dyDescent="0.35">
      <c r="A943" s="2" t="s">
        <v>1604</v>
      </c>
      <c r="B943" s="3">
        <v>46001</v>
      </c>
      <c r="C943" s="2" t="s">
        <v>257</v>
      </c>
      <c r="D943" s="2" t="s">
        <v>57</v>
      </c>
      <c r="E943" s="2" t="s">
        <v>29</v>
      </c>
      <c r="F943" s="2">
        <v>46</v>
      </c>
      <c r="G943" s="2" t="s">
        <v>63</v>
      </c>
      <c r="H943" s="2" t="s">
        <v>64</v>
      </c>
      <c r="I943" s="2" t="s">
        <v>63</v>
      </c>
      <c r="J943" s="2" t="s">
        <v>190</v>
      </c>
      <c r="K943" s="2">
        <v>1</v>
      </c>
      <c r="L943" s="2">
        <v>13846</v>
      </c>
      <c r="M943" s="2">
        <v>5</v>
      </c>
      <c r="N943" s="2">
        <v>692.3</v>
      </c>
      <c r="O943" s="2">
        <v>2367.67</v>
      </c>
      <c r="P943" s="2">
        <v>300</v>
      </c>
      <c r="Q943" s="2">
        <v>15821.37</v>
      </c>
      <c r="R943" s="2" t="s">
        <v>51</v>
      </c>
      <c r="S943" s="2" t="s">
        <v>59</v>
      </c>
      <c r="T943" s="9" t="s">
        <v>1705</v>
      </c>
      <c r="U943" s="10" t="s">
        <v>1702</v>
      </c>
      <c r="V943" s="2" t="s">
        <v>53</v>
      </c>
      <c r="W943" s="2">
        <v>6</v>
      </c>
      <c r="X943" s="2" t="s">
        <v>44</v>
      </c>
      <c r="Y943" s="2">
        <v>5</v>
      </c>
      <c r="Z943" s="2" t="s">
        <v>54</v>
      </c>
    </row>
    <row r="944" spans="1:26" x14ac:dyDescent="0.35">
      <c r="A944" s="2" t="s">
        <v>1605</v>
      </c>
      <c r="B944" s="3">
        <v>46073</v>
      </c>
      <c r="C944" s="2" t="s">
        <v>702</v>
      </c>
      <c r="D944" s="2" t="s">
        <v>40</v>
      </c>
      <c r="E944" s="2" t="s">
        <v>41</v>
      </c>
      <c r="F944" s="2">
        <v>51</v>
      </c>
      <c r="G944" s="2" t="s">
        <v>63</v>
      </c>
      <c r="H944" s="2" t="s">
        <v>64</v>
      </c>
      <c r="I944" s="2" t="s">
        <v>63</v>
      </c>
      <c r="J944" s="2" t="s">
        <v>190</v>
      </c>
      <c r="K944" s="2">
        <v>3</v>
      </c>
      <c r="L944" s="2">
        <v>7577</v>
      </c>
      <c r="M944" s="2">
        <v>10</v>
      </c>
      <c r="N944" s="2">
        <v>2273.1</v>
      </c>
      <c r="O944" s="2">
        <v>3682.42</v>
      </c>
      <c r="P944" s="2">
        <v>242</v>
      </c>
      <c r="Q944" s="2">
        <v>24382.32</v>
      </c>
      <c r="R944" s="2" t="s">
        <v>33</v>
      </c>
      <c r="S944" s="2" t="s">
        <v>34</v>
      </c>
      <c r="T944" s="9" t="s">
        <v>1706</v>
      </c>
      <c r="U944" s="10" t="s">
        <v>52</v>
      </c>
      <c r="V944" s="2" t="s">
        <v>53</v>
      </c>
      <c r="W944" s="2">
        <v>1</v>
      </c>
      <c r="X944" s="2" t="s">
        <v>36</v>
      </c>
      <c r="Y944" s="2">
        <v>2</v>
      </c>
      <c r="Z944" s="2" t="s">
        <v>44</v>
      </c>
    </row>
    <row r="945" spans="1:26" x14ac:dyDescent="0.35">
      <c r="A945" s="2" t="s">
        <v>1606</v>
      </c>
      <c r="B945" s="3">
        <v>46119</v>
      </c>
      <c r="C945" s="2" t="s">
        <v>1607</v>
      </c>
      <c r="D945" s="2" t="s">
        <v>57</v>
      </c>
      <c r="E945" s="2" t="s">
        <v>29</v>
      </c>
      <c r="F945" s="2">
        <v>20</v>
      </c>
      <c r="G945" s="2" t="s">
        <v>42</v>
      </c>
      <c r="H945" s="2" t="s">
        <v>31</v>
      </c>
      <c r="I945" s="2" t="s">
        <v>42</v>
      </c>
      <c r="J945" s="2" t="s">
        <v>50</v>
      </c>
      <c r="K945" s="2">
        <v>5</v>
      </c>
      <c r="L945" s="2">
        <v>32146</v>
      </c>
      <c r="M945" s="2">
        <v>10</v>
      </c>
      <c r="N945" s="2">
        <v>16073</v>
      </c>
      <c r="O945" s="2">
        <v>26038.26</v>
      </c>
      <c r="P945" s="2">
        <v>38</v>
      </c>
      <c r="Q945" s="2">
        <v>170733.26</v>
      </c>
      <c r="R945" s="2" t="s">
        <v>33</v>
      </c>
      <c r="S945" s="2" t="s">
        <v>59</v>
      </c>
      <c r="T945" s="9" t="s">
        <v>1706</v>
      </c>
      <c r="U945" s="10" t="s">
        <v>52</v>
      </c>
      <c r="V945" s="2" t="s">
        <v>53</v>
      </c>
      <c r="W945" s="2">
        <v>3</v>
      </c>
      <c r="X945" s="2" t="s">
        <v>44</v>
      </c>
      <c r="Y945" s="2">
        <v>1</v>
      </c>
      <c r="Z945" s="2" t="s">
        <v>44</v>
      </c>
    </row>
    <row r="946" spans="1:26" x14ac:dyDescent="0.35">
      <c r="A946" s="2" t="s">
        <v>1608</v>
      </c>
      <c r="B946" s="3">
        <v>45976</v>
      </c>
      <c r="C946" s="2" t="s">
        <v>1176</v>
      </c>
      <c r="D946" s="2" t="s">
        <v>57</v>
      </c>
      <c r="E946" s="2" t="s">
        <v>29</v>
      </c>
      <c r="F946" s="2">
        <v>37</v>
      </c>
      <c r="G946" s="2" t="s">
        <v>122</v>
      </c>
      <c r="H946" s="2" t="s">
        <v>31</v>
      </c>
      <c r="I946" s="2" t="s">
        <v>122</v>
      </c>
      <c r="J946" s="2" t="s">
        <v>32</v>
      </c>
      <c r="K946" s="2">
        <v>2</v>
      </c>
      <c r="L946" s="2">
        <v>36331</v>
      </c>
      <c r="M946" s="2">
        <v>15</v>
      </c>
      <c r="N946" s="2">
        <v>10899.3</v>
      </c>
      <c r="O946" s="2">
        <v>11117.29</v>
      </c>
      <c r="P946" s="2">
        <v>386</v>
      </c>
      <c r="Q946" s="2">
        <v>73265.990000000005</v>
      </c>
      <c r="R946" s="2" t="s">
        <v>43</v>
      </c>
      <c r="S946" s="2" t="s">
        <v>34</v>
      </c>
      <c r="T946" s="9" t="s">
        <v>1703</v>
      </c>
      <c r="U946" s="10" t="s">
        <v>1701</v>
      </c>
      <c r="V946" s="2" t="s">
        <v>35</v>
      </c>
      <c r="W946" s="2">
        <v>3</v>
      </c>
      <c r="X946" s="2" t="s">
        <v>44</v>
      </c>
      <c r="Y946" s="2">
        <v>5</v>
      </c>
      <c r="Z946" s="2" t="s">
        <v>82</v>
      </c>
    </row>
    <row r="947" spans="1:26" x14ac:dyDescent="0.35">
      <c r="A947" s="2" t="s">
        <v>1609</v>
      </c>
      <c r="B947" s="3">
        <v>45970</v>
      </c>
      <c r="C947" s="2" t="s">
        <v>1610</v>
      </c>
      <c r="D947" s="2" t="s">
        <v>57</v>
      </c>
      <c r="E947" s="2" t="s">
        <v>41</v>
      </c>
      <c r="F947" s="2">
        <v>54</v>
      </c>
      <c r="G947" s="2" t="s">
        <v>63</v>
      </c>
      <c r="H947" s="2" t="s">
        <v>64</v>
      </c>
      <c r="I947" s="2" t="s">
        <v>63</v>
      </c>
      <c r="J947" s="2" t="s">
        <v>58</v>
      </c>
      <c r="K947" s="2">
        <v>3</v>
      </c>
      <c r="L947" s="2">
        <v>30863</v>
      </c>
      <c r="M947" s="2">
        <v>0</v>
      </c>
      <c r="N947" s="2">
        <v>0</v>
      </c>
      <c r="O947" s="2">
        <v>16666.02</v>
      </c>
      <c r="P947" s="2">
        <v>493</v>
      </c>
      <c r="Q947" s="2">
        <v>109748.02</v>
      </c>
      <c r="R947" s="2" t="s">
        <v>76</v>
      </c>
      <c r="S947" s="2" t="s">
        <v>59</v>
      </c>
      <c r="T947" s="9" t="s">
        <v>1706</v>
      </c>
      <c r="U947" s="10" t="s">
        <v>52</v>
      </c>
      <c r="V947" s="2" t="s">
        <v>53</v>
      </c>
      <c r="W947" s="2">
        <v>10</v>
      </c>
      <c r="X947" s="2" t="s">
        <v>36</v>
      </c>
      <c r="Y947" s="2">
        <v>3</v>
      </c>
      <c r="Z947" s="2" t="s">
        <v>54</v>
      </c>
    </row>
    <row r="948" spans="1:26" x14ac:dyDescent="0.35">
      <c r="A948" s="2" t="s">
        <v>1611</v>
      </c>
      <c r="B948" s="3">
        <v>46095</v>
      </c>
      <c r="C948" s="2" t="s">
        <v>1254</v>
      </c>
      <c r="D948" s="2" t="s">
        <v>40</v>
      </c>
      <c r="E948" s="2" t="s">
        <v>41</v>
      </c>
      <c r="F948" s="2">
        <v>18</v>
      </c>
      <c r="G948" s="2" t="s">
        <v>122</v>
      </c>
      <c r="H948" s="2" t="s">
        <v>31</v>
      </c>
      <c r="I948" s="2" t="s">
        <v>122</v>
      </c>
      <c r="J948" s="2" t="s">
        <v>65</v>
      </c>
      <c r="K948" s="2">
        <v>1</v>
      </c>
      <c r="L948" s="2">
        <v>14652</v>
      </c>
      <c r="M948" s="2">
        <v>0</v>
      </c>
      <c r="N948" s="2">
        <v>0</v>
      </c>
      <c r="O948" s="2">
        <v>2637.36</v>
      </c>
      <c r="P948" s="2">
        <v>24</v>
      </c>
      <c r="Q948" s="2">
        <v>17313.36</v>
      </c>
      <c r="R948" s="2" t="s">
        <v>76</v>
      </c>
      <c r="S948" s="2" t="s">
        <v>59</v>
      </c>
      <c r="T948" s="9" t="s">
        <v>1705</v>
      </c>
      <c r="U948" s="10" t="s">
        <v>1702</v>
      </c>
      <c r="V948" s="2" t="s">
        <v>53</v>
      </c>
      <c r="W948" s="2">
        <v>4</v>
      </c>
      <c r="X948" s="2" t="s">
        <v>36</v>
      </c>
      <c r="Y948" s="2">
        <v>4</v>
      </c>
      <c r="Z948" s="2" t="s">
        <v>44</v>
      </c>
    </row>
    <row r="949" spans="1:26" x14ac:dyDescent="0.35">
      <c r="A949" s="2" t="s">
        <v>1612</v>
      </c>
      <c r="B949" s="3">
        <v>46118</v>
      </c>
      <c r="C949" s="2" t="s">
        <v>729</v>
      </c>
      <c r="D949" s="2" t="s">
        <v>73</v>
      </c>
      <c r="E949" s="2" t="s">
        <v>41</v>
      </c>
      <c r="F949" s="2">
        <v>21</v>
      </c>
      <c r="G949" s="2" t="s">
        <v>30</v>
      </c>
      <c r="H949" s="2" t="s">
        <v>31</v>
      </c>
      <c r="I949" s="2" t="s">
        <v>30</v>
      </c>
      <c r="J949" s="2" t="s">
        <v>190</v>
      </c>
      <c r="K949" s="2">
        <v>5</v>
      </c>
      <c r="L949" s="2">
        <v>1032</v>
      </c>
      <c r="M949" s="2">
        <v>10</v>
      </c>
      <c r="N949" s="2">
        <v>516</v>
      </c>
      <c r="O949" s="2">
        <v>835.92</v>
      </c>
      <c r="P949" s="2">
        <v>234</v>
      </c>
      <c r="Q949" s="2">
        <v>5713.92</v>
      </c>
      <c r="R949" s="2" t="s">
        <v>76</v>
      </c>
      <c r="S949" s="2" t="s">
        <v>34</v>
      </c>
      <c r="T949" s="9" t="s">
        <v>1703</v>
      </c>
      <c r="U949" s="10" t="s">
        <v>1701</v>
      </c>
      <c r="V949" s="2" t="s">
        <v>35</v>
      </c>
      <c r="W949" s="2">
        <v>4</v>
      </c>
      <c r="X949" s="2" t="s">
        <v>36</v>
      </c>
      <c r="Y949" s="2">
        <v>3</v>
      </c>
      <c r="Z949" s="2" t="s">
        <v>37</v>
      </c>
    </row>
    <row r="950" spans="1:26" x14ac:dyDescent="0.35">
      <c r="A950" s="2" t="s">
        <v>1613</v>
      </c>
      <c r="B950" s="3">
        <v>45766</v>
      </c>
      <c r="C950" s="2" t="s">
        <v>1614</v>
      </c>
      <c r="D950" s="2" t="s">
        <v>80</v>
      </c>
      <c r="E950" s="2" t="s">
        <v>29</v>
      </c>
      <c r="F950" s="2">
        <v>42</v>
      </c>
      <c r="G950" s="2" t="s">
        <v>81</v>
      </c>
      <c r="H950" s="2" t="s">
        <v>31</v>
      </c>
      <c r="I950" s="2" t="s">
        <v>81</v>
      </c>
      <c r="J950" s="2" t="s">
        <v>58</v>
      </c>
      <c r="K950" s="2">
        <v>5</v>
      </c>
      <c r="L950" s="2">
        <v>4697</v>
      </c>
      <c r="M950" s="2">
        <v>0</v>
      </c>
      <c r="N950" s="2">
        <v>0</v>
      </c>
      <c r="O950" s="2">
        <v>4227.3</v>
      </c>
      <c r="P950" s="2">
        <v>377</v>
      </c>
      <c r="Q950" s="2">
        <v>28089.3</v>
      </c>
      <c r="R950" s="2" t="s">
        <v>76</v>
      </c>
      <c r="S950" s="2" t="s">
        <v>59</v>
      </c>
      <c r="T950" s="9" t="s">
        <v>1704</v>
      </c>
      <c r="U950" s="10" t="s">
        <v>52</v>
      </c>
      <c r="V950" s="2" t="s">
        <v>35</v>
      </c>
      <c r="W950" s="2">
        <v>7</v>
      </c>
      <c r="X950" s="2" t="s">
        <v>36</v>
      </c>
      <c r="Y950" s="2">
        <v>3</v>
      </c>
      <c r="Z950" s="2" t="s">
        <v>37</v>
      </c>
    </row>
    <row r="951" spans="1:26" x14ac:dyDescent="0.35">
      <c r="A951" s="2" t="s">
        <v>1615</v>
      </c>
      <c r="B951" s="3">
        <v>46079</v>
      </c>
      <c r="C951" s="2" t="s">
        <v>1616</v>
      </c>
      <c r="D951" s="2" t="s">
        <v>68</v>
      </c>
      <c r="E951" s="2" t="s">
        <v>41</v>
      </c>
      <c r="F951" s="2">
        <v>44</v>
      </c>
      <c r="G951" s="2" t="s">
        <v>127</v>
      </c>
      <c r="H951" s="2" t="s">
        <v>31</v>
      </c>
      <c r="I951" s="2" t="s">
        <v>127</v>
      </c>
      <c r="J951" s="2" t="s">
        <v>70</v>
      </c>
      <c r="K951" s="2">
        <v>1</v>
      </c>
      <c r="L951" s="2">
        <v>5912</v>
      </c>
      <c r="M951" s="2">
        <v>10</v>
      </c>
      <c r="N951" s="2">
        <v>591.20000000000005</v>
      </c>
      <c r="O951" s="2">
        <v>957.74</v>
      </c>
      <c r="P951" s="2">
        <v>45</v>
      </c>
      <c r="Q951" s="2">
        <v>6323.54</v>
      </c>
      <c r="R951" s="2" t="s">
        <v>33</v>
      </c>
      <c r="S951" s="2" t="s">
        <v>34</v>
      </c>
      <c r="T951" s="9" t="s">
        <v>1703</v>
      </c>
      <c r="U951" s="10" t="s">
        <v>1701</v>
      </c>
      <c r="V951" s="2" t="s">
        <v>35</v>
      </c>
      <c r="W951" s="2">
        <v>2</v>
      </c>
      <c r="X951" s="2" t="s">
        <v>44</v>
      </c>
      <c r="Y951" s="2">
        <v>2</v>
      </c>
      <c r="Z951" s="2" t="s">
        <v>37</v>
      </c>
    </row>
    <row r="952" spans="1:26" x14ac:dyDescent="0.35">
      <c r="A952" s="2" t="s">
        <v>1617</v>
      </c>
      <c r="B952" s="3">
        <v>45973</v>
      </c>
      <c r="C952" s="2" t="s">
        <v>1618</v>
      </c>
      <c r="D952" s="2" t="s">
        <v>73</v>
      </c>
      <c r="E952" s="2" t="s">
        <v>29</v>
      </c>
      <c r="F952" s="2">
        <v>39</v>
      </c>
      <c r="G952" s="2" t="s">
        <v>48</v>
      </c>
      <c r="H952" s="2" t="s">
        <v>49</v>
      </c>
      <c r="I952" s="2" t="s">
        <v>48</v>
      </c>
      <c r="J952" s="2" t="s">
        <v>50</v>
      </c>
      <c r="K952" s="2">
        <v>2</v>
      </c>
      <c r="L952" s="2">
        <v>43132</v>
      </c>
      <c r="M952" s="2">
        <v>0</v>
      </c>
      <c r="N952" s="2">
        <v>0</v>
      </c>
      <c r="O952" s="2">
        <v>15527.52</v>
      </c>
      <c r="P952" s="2">
        <v>296</v>
      </c>
      <c r="Q952" s="2">
        <v>102087.52</v>
      </c>
      <c r="R952" s="2" t="s">
        <v>43</v>
      </c>
      <c r="S952" s="2" t="s">
        <v>34</v>
      </c>
      <c r="T952" s="9" t="s">
        <v>1705</v>
      </c>
      <c r="U952" s="10" t="s">
        <v>1702</v>
      </c>
      <c r="V952" s="2" t="s">
        <v>53</v>
      </c>
      <c r="W952" s="2">
        <v>7</v>
      </c>
      <c r="X952" s="2" t="s">
        <v>44</v>
      </c>
      <c r="Y952" s="2">
        <v>1</v>
      </c>
      <c r="Z952" s="2" t="s">
        <v>37</v>
      </c>
    </row>
    <row r="953" spans="1:26" x14ac:dyDescent="0.35">
      <c r="A953" s="2" t="s">
        <v>1619</v>
      </c>
      <c r="B953" s="3">
        <v>45772</v>
      </c>
      <c r="C953" s="2" t="s">
        <v>1086</v>
      </c>
      <c r="D953" s="2" t="s">
        <v>62</v>
      </c>
      <c r="E953" s="2" t="s">
        <v>41</v>
      </c>
      <c r="F953" s="2">
        <v>23</v>
      </c>
      <c r="G953" s="2" t="s">
        <v>127</v>
      </c>
      <c r="H953" s="2" t="s">
        <v>31</v>
      </c>
      <c r="I953" s="2" t="s">
        <v>127</v>
      </c>
      <c r="J953" s="2" t="s">
        <v>65</v>
      </c>
      <c r="K953" s="2">
        <v>1</v>
      </c>
      <c r="L953" s="2">
        <v>47653</v>
      </c>
      <c r="M953" s="2">
        <v>5</v>
      </c>
      <c r="N953" s="2">
        <v>2382.65</v>
      </c>
      <c r="O953" s="2">
        <v>8148.66</v>
      </c>
      <c r="P953" s="2">
        <v>319</v>
      </c>
      <c r="Q953" s="2">
        <v>53738.01</v>
      </c>
      <c r="R953" s="2" t="s">
        <v>33</v>
      </c>
      <c r="S953" s="2" t="s">
        <v>34</v>
      </c>
      <c r="T953" s="9" t="s">
        <v>1708</v>
      </c>
      <c r="U953" s="10" t="s">
        <v>52</v>
      </c>
      <c r="V953" s="2" t="s">
        <v>77</v>
      </c>
      <c r="W953" s="2">
        <v>9</v>
      </c>
      <c r="X953" s="2" t="s">
        <v>44</v>
      </c>
      <c r="Y953" s="2">
        <v>3</v>
      </c>
      <c r="Z953" s="2" t="s">
        <v>37</v>
      </c>
    </row>
    <row r="954" spans="1:26" x14ac:dyDescent="0.35">
      <c r="A954" s="2" t="s">
        <v>1620</v>
      </c>
      <c r="B954" s="3">
        <v>46063</v>
      </c>
      <c r="C954" s="2" t="s">
        <v>1415</v>
      </c>
      <c r="D954" s="2" t="s">
        <v>96</v>
      </c>
      <c r="E954" s="2" t="s">
        <v>41</v>
      </c>
      <c r="F954" s="2">
        <v>49</v>
      </c>
      <c r="G954" s="2" t="s">
        <v>127</v>
      </c>
      <c r="H954" s="2" t="s">
        <v>31</v>
      </c>
      <c r="I954" s="2" t="s">
        <v>127</v>
      </c>
      <c r="J954" s="2" t="s">
        <v>70</v>
      </c>
      <c r="K954" s="2">
        <v>5</v>
      </c>
      <c r="L954" s="2">
        <v>34519</v>
      </c>
      <c r="M954" s="2">
        <v>10</v>
      </c>
      <c r="N954" s="2">
        <v>17259.5</v>
      </c>
      <c r="O954" s="2">
        <v>27960.39</v>
      </c>
      <c r="P954" s="2">
        <v>202</v>
      </c>
      <c r="Q954" s="2">
        <v>183497.89</v>
      </c>
      <c r="R954" s="2" t="s">
        <v>33</v>
      </c>
      <c r="S954" s="2" t="s">
        <v>34</v>
      </c>
      <c r="T954" s="9" t="s">
        <v>1704</v>
      </c>
      <c r="U954" s="10" t="s">
        <v>52</v>
      </c>
      <c r="V954" s="2" t="s">
        <v>35</v>
      </c>
      <c r="W954" s="2">
        <v>4</v>
      </c>
      <c r="X954" s="2" t="s">
        <v>36</v>
      </c>
      <c r="Y954" s="2">
        <v>1</v>
      </c>
      <c r="Z954" s="2" t="s">
        <v>54</v>
      </c>
    </row>
    <row r="955" spans="1:26" x14ac:dyDescent="0.35">
      <c r="A955" s="2" t="s">
        <v>1621</v>
      </c>
      <c r="B955" s="3">
        <v>45971</v>
      </c>
      <c r="C955" s="2" t="s">
        <v>1622</v>
      </c>
      <c r="D955" s="2" t="s">
        <v>73</v>
      </c>
      <c r="E955" s="2" t="s">
        <v>29</v>
      </c>
      <c r="F955" s="2">
        <v>23</v>
      </c>
      <c r="G955" s="2" t="s">
        <v>88</v>
      </c>
      <c r="H955" s="2" t="s">
        <v>49</v>
      </c>
      <c r="I955" s="2" t="s">
        <v>88</v>
      </c>
      <c r="J955" s="2" t="s">
        <v>138</v>
      </c>
      <c r="K955" s="2">
        <v>3</v>
      </c>
      <c r="L955" s="2">
        <v>39182</v>
      </c>
      <c r="M955" s="2">
        <v>15</v>
      </c>
      <c r="N955" s="2">
        <v>17631.900000000001</v>
      </c>
      <c r="O955" s="2">
        <v>17984.54</v>
      </c>
      <c r="P955" s="2">
        <v>76</v>
      </c>
      <c r="Q955" s="2">
        <v>117974.64</v>
      </c>
      <c r="R955" s="2" t="s">
        <v>51</v>
      </c>
      <c r="S955" s="2" t="s">
        <v>34</v>
      </c>
      <c r="T955" s="9" t="s">
        <v>1707</v>
      </c>
      <c r="U955" s="10" t="s">
        <v>1712</v>
      </c>
      <c r="V955" s="2" t="s">
        <v>53</v>
      </c>
      <c r="W955" s="2">
        <v>6</v>
      </c>
      <c r="X955" s="2" t="s">
        <v>36</v>
      </c>
      <c r="Y955" s="2">
        <v>5</v>
      </c>
      <c r="Z955" s="2" t="s">
        <v>37</v>
      </c>
    </row>
    <row r="956" spans="1:26" x14ac:dyDescent="0.35">
      <c r="A956" s="2" t="s">
        <v>1623</v>
      </c>
      <c r="B956" s="3">
        <v>45793</v>
      </c>
      <c r="C956" s="2" t="s">
        <v>990</v>
      </c>
      <c r="D956" s="2" t="s">
        <v>47</v>
      </c>
      <c r="E956" s="2" t="s">
        <v>29</v>
      </c>
      <c r="F956" s="2">
        <v>51</v>
      </c>
      <c r="G956" s="2" t="s">
        <v>127</v>
      </c>
      <c r="H956" s="2" t="s">
        <v>31</v>
      </c>
      <c r="I956" s="2" t="s">
        <v>1624</v>
      </c>
      <c r="J956" s="2" t="s">
        <v>32</v>
      </c>
      <c r="K956" s="2">
        <v>4</v>
      </c>
      <c r="L956" s="2">
        <v>34291</v>
      </c>
      <c r="M956" s="2">
        <v>20</v>
      </c>
      <c r="N956" s="2">
        <v>27432.799999999999</v>
      </c>
      <c r="O956" s="2">
        <v>19751.62</v>
      </c>
      <c r="P956" s="2">
        <v>458</v>
      </c>
      <c r="Q956" s="2">
        <v>129940.82</v>
      </c>
      <c r="R956" s="2" t="s">
        <v>76</v>
      </c>
      <c r="S956" s="2" t="s">
        <v>59</v>
      </c>
      <c r="T956" s="9" t="s">
        <v>1703</v>
      </c>
      <c r="U956" s="10" t="s">
        <v>1701</v>
      </c>
      <c r="V956" s="2" t="s">
        <v>35</v>
      </c>
      <c r="W956" s="2">
        <v>7</v>
      </c>
      <c r="X956" s="2" t="s">
        <v>44</v>
      </c>
      <c r="Y956" s="2">
        <v>4</v>
      </c>
      <c r="Z956" s="2" t="s">
        <v>37</v>
      </c>
    </row>
    <row r="957" spans="1:26" x14ac:dyDescent="0.35">
      <c r="A957" s="2" t="s">
        <v>1625</v>
      </c>
      <c r="B957" s="3">
        <v>45790</v>
      </c>
      <c r="C957" s="2" t="s">
        <v>498</v>
      </c>
      <c r="D957" s="2" t="s">
        <v>57</v>
      </c>
      <c r="E957" s="2" t="s">
        <v>41</v>
      </c>
      <c r="F957" s="2">
        <v>44</v>
      </c>
      <c r="G957" s="2" t="s">
        <v>88</v>
      </c>
      <c r="H957" s="2" t="s">
        <v>49</v>
      </c>
      <c r="I957" s="2" t="s">
        <v>88</v>
      </c>
      <c r="J957" s="2" t="s">
        <v>58</v>
      </c>
      <c r="K957" s="2">
        <v>4</v>
      </c>
      <c r="L957" s="2">
        <v>30226</v>
      </c>
      <c r="M957" s="2">
        <v>0</v>
      </c>
      <c r="N957" s="2">
        <v>0</v>
      </c>
      <c r="O957" s="2">
        <v>21762.720000000001</v>
      </c>
      <c r="P957" s="2">
        <v>174</v>
      </c>
      <c r="Q957" s="2">
        <v>142840.72</v>
      </c>
      <c r="R957" s="2" t="s">
        <v>33</v>
      </c>
      <c r="S957" s="2" t="s">
        <v>59</v>
      </c>
      <c r="T957" s="9" t="s">
        <v>1707</v>
      </c>
      <c r="U957" s="10" t="s">
        <v>1712</v>
      </c>
      <c r="V957" s="2" t="s">
        <v>53</v>
      </c>
      <c r="W957" s="2">
        <v>7</v>
      </c>
      <c r="X957" s="2" t="s">
        <v>36</v>
      </c>
      <c r="Y957" s="2">
        <v>3</v>
      </c>
      <c r="Z957" s="2" t="s">
        <v>44</v>
      </c>
    </row>
    <row r="958" spans="1:26" x14ac:dyDescent="0.35">
      <c r="A958" s="2" t="s">
        <v>1626</v>
      </c>
      <c r="B958" s="3">
        <v>46091</v>
      </c>
      <c r="C958" s="2" t="s">
        <v>960</v>
      </c>
      <c r="D958" s="2" t="s">
        <v>96</v>
      </c>
      <c r="E958" s="2" t="s">
        <v>29</v>
      </c>
      <c r="F958" s="2">
        <v>54</v>
      </c>
      <c r="G958" s="2" t="s">
        <v>81</v>
      </c>
      <c r="H958" s="2" t="s">
        <v>31</v>
      </c>
      <c r="I958" s="2" t="s">
        <v>81</v>
      </c>
      <c r="J958" s="2" t="s">
        <v>138</v>
      </c>
      <c r="K958" s="2">
        <v>3</v>
      </c>
      <c r="L958" s="2">
        <v>3452</v>
      </c>
      <c r="M958" s="2">
        <v>20</v>
      </c>
      <c r="N958" s="2">
        <v>2071.1999999999998</v>
      </c>
      <c r="O958" s="2">
        <v>1491.26</v>
      </c>
      <c r="P958" s="2">
        <v>219</v>
      </c>
      <c r="Q958" s="2">
        <v>9995.06</v>
      </c>
      <c r="R958" s="2" t="s">
        <v>43</v>
      </c>
      <c r="S958" s="2" t="s">
        <v>34</v>
      </c>
      <c r="T958" s="9" t="s">
        <v>1707</v>
      </c>
      <c r="U958" s="10" t="s">
        <v>1712</v>
      </c>
      <c r="V958" s="2" t="s">
        <v>53</v>
      </c>
      <c r="W958" s="2">
        <v>5</v>
      </c>
      <c r="X958" s="2" t="s">
        <v>44</v>
      </c>
      <c r="Y958" s="2">
        <v>3</v>
      </c>
      <c r="Z958" s="2" t="s">
        <v>82</v>
      </c>
    </row>
    <row r="959" spans="1:26" x14ac:dyDescent="0.35">
      <c r="A959" s="2" t="s">
        <v>1627</v>
      </c>
      <c r="B959" s="3">
        <v>46002</v>
      </c>
      <c r="C959" s="2" t="s">
        <v>1293</v>
      </c>
      <c r="D959" s="2" t="s">
        <v>40</v>
      </c>
      <c r="E959" s="2" t="s">
        <v>41</v>
      </c>
      <c r="F959" s="2">
        <v>24</v>
      </c>
      <c r="G959" s="2" t="s">
        <v>85</v>
      </c>
      <c r="H959" s="2" t="s">
        <v>31</v>
      </c>
      <c r="I959" s="2" t="s">
        <v>85</v>
      </c>
      <c r="J959" s="2" t="s">
        <v>65</v>
      </c>
      <c r="K959" s="2">
        <v>4</v>
      </c>
      <c r="L959" s="2">
        <v>29812</v>
      </c>
      <c r="M959" s="2">
        <v>5</v>
      </c>
      <c r="N959" s="2">
        <v>5962.4</v>
      </c>
      <c r="O959" s="2">
        <v>20391.41</v>
      </c>
      <c r="P959" s="2">
        <v>257</v>
      </c>
      <c r="Q959" s="2">
        <v>133934.01</v>
      </c>
      <c r="R959" s="2" t="s">
        <v>76</v>
      </c>
      <c r="S959" s="2" t="s">
        <v>34</v>
      </c>
      <c r="T959" s="9" t="s">
        <v>1708</v>
      </c>
      <c r="U959" s="10" t="s">
        <v>52</v>
      </c>
      <c r="V959" s="2" t="s">
        <v>77</v>
      </c>
      <c r="W959" s="2">
        <v>7</v>
      </c>
      <c r="X959" s="2" t="s">
        <v>44</v>
      </c>
      <c r="Y959" s="2">
        <v>3</v>
      </c>
      <c r="Z959" s="2" t="s">
        <v>37</v>
      </c>
    </row>
    <row r="960" spans="1:26" x14ac:dyDescent="0.35">
      <c r="A960" s="2" t="s">
        <v>1628</v>
      </c>
      <c r="B960" s="3">
        <v>45757</v>
      </c>
      <c r="C960" s="2" t="s">
        <v>1455</v>
      </c>
      <c r="D960" s="2" t="s">
        <v>96</v>
      </c>
      <c r="E960" s="2" t="s">
        <v>29</v>
      </c>
      <c r="F960" s="2">
        <v>33</v>
      </c>
      <c r="G960" s="2" t="s">
        <v>85</v>
      </c>
      <c r="H960" s="2" t="s">
        <v>31</v>
      </c>
      <c r="I960" s="2" t="s">
        <v>1624</v>
      </c>
      <c r="J960" s="2" t="s">
        <v>113</v>
      </c>
      <c r="K960" s="2">
        <v>4</v>
      </c>
      <c r="L960" s="2">
        <v>12665</v>
      </c>
      <c r="M960" s="2">
        <v>10</v>
      </c>
      <c r="N960" s="2">
        <v>5066</v>
      </c>
      <c r="O960" s="2">
        <v>8206.92</v>
      </c>
      <c r="P960" s="2">
        <v>304</v>
      </c>
      <c r="Q960" s="2">
        <v>54104.92</v>
      </c>
      <c r="R960" s="2" t="s">
        <v>33</v>
      </c>
      <c r="S960" s="2" t="s">
        <v>34</v>
      </c>
      <c r="T960" s="9" t="s">
        <v>1707</v>
      </c>
      <c r="U960" s="10" t="s">
        <v>1712</v>
      </c>
      <c r="V960" s="2" t="s">
        <v>53</v>
      </c>
      <c r="W960" s="2">
        <v>9</v>
      </c>
      <c r="X960" s="2" t="s">
        <v>44</v>
      </c>
      <c r="Y960" s="2">
        <v>3</v>
      </c>
      <c r="Z960" s="2" t="s">
        <v>44</v>
      </c>
    </row>
    <row r="961" spans="1:26" x14ac:dyDescent="0.35">
      <c r="A961" s="2" t="s">
        <v>1629</v>
      </c>
      <c r="B961" s="3">
        <v>45989</v>
      </c>
      <c r="C961" s="2" t="s">
        <v>847</v>
      </c>
      <c r="D961" s="2" t="s">
        <v>68</v>
      </c>
      <c r="E961" s="2" t="s">
        <v>41</v>
      </c>
      <c r="F961" s="2">
        <v>34</v>
      </c>
      <c r="G961" s="2" t="s">
        <v>30</v>
      </c>
      <c r="H961" s="2" t="s">
        <v>31</v>
      </c>
      <c r="I961" s="2" t="s">
        <v>30</v>
      </c>
      <c r="J961" s="2" t="s">
        <v>65</v>
      </c>
      <c r="K961" s="2">
        <v>2</v>
      </c>
      <c r="L961" s="2">
        <v>19888</v>
      </c>
      <c r="M961" s="2">
        <v>5</v>
      </c>
      <c r="N961" s="2">
        <v>1988.8</v>
      </c>
      <c r="O961" s="2">
        <v>6801.7</v>
      </c>
      <c r="P961" s="2">
        <v>174</v>
      </c>
      <c r="Q961" s="2">
        <v>44762.9</v>
      </c>
      <c r="R961" s="2" t="s">
        <v>43</v>
      </c>
      <c r="S961" s="2" t="s">
        <v>59</v>
      </c>
      <c r="T961" s="9" t="s">
        <v>1710</v>
      </c>
      <c r="U961" s="10" t="s">
        <v>1711</v>
      </c>
      <c r="V961" s="2" t="s">
        <v>53</v>
      </c>
      <c r="W961" s="2">
        <v>7</v>
      </c>
      <c r="X961" s="2" t="s">
        <v>44</v>
      </c>
      <c r="Y961" s="2">
        <v>3</v>
      </c>
      <c r="Z961" s="2" t="s">
        <v>82</v>
      </c>
    </row>
    <row r="962" spans="1:26" x14ac:dyDescent="0.35">
      <c r="A962" s="2" t="s">
        <v>1630</v>
      </c>
      <c r="B962" s="3">
        <v>45982</v>
      </c>
      <c r="C962" s="2" t="s">
        <v>1148</v>
      </c>
      <c r="D962" s="2" t="s">
        <v>57</v>
      </c>
      <c r="E962" s="2" t="s">
        <v>41</v>
      </c>
      <c r="F962" s="2">
        <v>58</v>
      </c>
      <c r="G962" s="2" t="s">
        <v>42</v>
      </c>
      <c r="H962" s="2" t="s">
        <v>31</v>
      </c>
      <c r="I962" s="2" t="s">
        <v>1624</v>
      </c>
      <c r="J962" s="2" t="s">
        <v>190</v>
      </c>
      <c r="K962" s="2">
        <v>5</v>
      </c>
      <c r="L962" s="2">
        <v>24187</v>
      </c>
      <c r="M962" s="2">
        <v>20</v>
      </c>
      <c r="N962" s="2">
        <v>24187</v>
      </c>
      <c r="O962" s="2">
        <v>17414.64</v>
      </c>
      <c r="P962" s="2">
        <v>271</v>
      </c>
      <c r="Q962" s="2">
        <v>114433.64</v>
      </c>
      <c r="R962" s="2" t="s">
        <v>33</v>
      </c>
      <c r="S962" s="2" t="s">
        <v>59</v>
      </c>
      <c r="T962" s="9" t="s">
        <v>1710</v>
      </c>
      <c r="U962" s="10" t="s">
        <v>1711</v>
      </c>
      <c r="V962" s="2" t="s">
        <v>53</v>
      </c>
      <c r="W962" s="2">
        <v>9</v>
      </c>
      <c r="X962" s="2" t="s">
        <v>44</v>
      </c>
      <c r="Y962" s="2">
        <v>2</v>
      </c>
      <c r="Z962" s="2" t="s">
        <v>37</v>
      </c>
    </row>
    <row r="963" spans="1:26" x14ac:dyDescent="0.35">
      <c r="A963" s="2" t="s">
        <v>1631</v>
      </c>
      <c r="B963" s="3">
        <v>45860</v>
      </c>
      <c r="C963" s="2" t="s">
        <v>682</v>
      </c>
      <c r="D963" s="2" t="s">
        <v>68</v>
      </c>
      <c r="E963" s="2" t="s">
        <v>41</v>
      </c>
      <c r="F963" s="2">
        <v>21</v>
      </c>
      <c r="G963" s="2" t="s">
        <v>48</v>
      </c>
      <c r="H963" s="2" t="s">
        <v>49</v>
      </c>
      <c r="I963" s="2" t="s">
        <v>48</v>
      </c>
      <c r="J963" s="2" t="s">
        <v>70</v>
      </c>
      <c r="K963" s="2">
        <v>1</v>
      </c>
      <c r="L963" s="2">
        <v>27343</v>
      </c>
      <c r="M963" s="2">
        <v>5</v>
      </c>
      <c r="N963" s="2">
        <v>1367.15</v>
      </c>
      <c r="O963" s="2">
        <v>4675.6499999999996</v>
      </c>
      <c r="P963" s="2">
        <v>427</v>
      </c>
      <c r="Q963" s="2">
        <v>31078.5</v>
      </c>
      <c r="R963" s="2" t="s">
        <v>76</v>
      </c>
      <c r="S963" s="2" t="s">
        <v>34</v>
      </c>
      <c r="T963" s="9" t="s">
        <v>1705</v>
      </c>
      <c r="U963" s="10" t="s">
        <v>1702</v>
      </c>
      <c r="V963" s="2" t="s">
        <v>53</v>
      </c>
      <c r="W963" s="2">
        <v>6</v>
      </c>
      <c r="X963" s="2" t="s">
        <v>36</v>
      </c>
      <c r="Y963" s="2">
        <v>1</v>
      </c>
      <c r="Z963" s="2" t="s">
        <v>82</v>
      </c>
    </row>
    <row r="964" spans="1:26" x14ac:dyDescent="0.35">
      <c r="A964" s="2" t="s">
        <v>1632</v>
      </c>
      <c r="B964" s="3">
        <v>45953</v>
      </c>
      <c r="C964" s="2" t="s">
        <v>253</v>
      </c>
      <c r="D964" s="2" t="s">
        <v>57</v>
      </c>
      <c r="E964" s="2" t="s">
        <v>29</v>
      </c>
      <c r="F964" s="2">
        <v>23</v>
      </c>
      <c r="G964" s="2" t="s">
        <v>69</v>
      </c>
      <c r="H964" s="2" t="s">
        <v>31</v>
      </c>
      <c r="I964" s="2" t="s">
        <v>69</v>
      </c>
      <c r="J964" s="2" t="s">
        <v>58</v>
      </c>
      <c r="K964" s="2">
        <v>1</v>
      </c>
      <c r="L964" s="2">
        <v>36253</v>
      </c>
      <c r="M964" s="2">
        <v>0</v>
      </c>
      <c r="N964" s="2">
        <v>0</v>
      </c>
      <c r="O964" s="2">
        <v>6525.54</v>
      </c>
      <c r="P964" s="2">
        <v>493</v>
      </c>
      <c r="Q964" s="2">
        <v>43271.54</v>
      </c>
      <c r="R964" s="2" t="s">
        <v>51</v>
      </c>
      <c r="S964" s="2" t="s">
        <v>34</v>
      </c>
      <c r="T964" s="9" t="s">
        <v>1706</v>
      </c>
      <c r="U964" s="10" t="s">
        <v>52</v>
      </c>
      <c r="V964" s="2" t="s">
        <v>53</v>
      </c>
      <c r="W964" s="2">
        <v>7</v>
      </c>
      <c r="X964" s="2" t="s">
        <v>36</v>
      </c>
      <c r="Y964" s="2">
        <v>2</v>
      </c>
      <c r="Z964" s="2" t="s">
        <v>37</v>
      </c>
    </row>
    <row r="965" spans="1:26" x14ac:dyDescent="0.35">
      <c r="A965" s="2" t="s">
        <v>1633</v>
      </c>
      <c r="B965" s="3">
        <v>45914</v>
      </c>
      <c r="C965" s="2" t="s">
        <v>933</v>
      </c>
      <c r="D965" s="2" t="s">
        <v>68</v>
      </c>
      <c r="E965" s="2" t="s">
        <v>41</v>
      </c>
      <c r="F965" s="2">
        <v>47</v>
      </c>
      <c r="G965" s="2" t="s">
        <v>85</v>
      </c>
      <c r="H965" s="2" t="s">
        <v>31</v>
      </c>
      <c r="I965" s="2" t="s">
        <v>85</v>
      </c>
      <c r="J965" s="2" t="s">
        <v>65</v>
      </c>
      <c r="K965" s="2">
        <v>2</v>
      </c>
      <c r="L965" s="2">
        <v>6461</v>
      </c>
      <c r="M965" s="2">
        <v>0</v>
      </c>
      <c r="N965" s="2">
        <v>0</v>
      </c>
      <c r="O965" s="2">
        <v>2325.96</v>
      </c>
      <c r="P965" s="2">
        <v>137</v>
      </c>
      <c r="Q965" s="2">
        <v>15384.96</v>
      </c>
      <c r="R965" s="2" t="s">
        <v>33</v>
      </c>
      <c r="S965" s="2" t="s">
        <v>59</v>
      </c>
      <c r="T965" s="9" t="s">
        <v>1703</v>
      </c>
      <c r="U965" s="10" t="s">
        <v>1701</v>
      </c>
      <c r="V965" s="2" t="s">
        <v>35</v>
      </c>
      <c r="W965" s="2">
        <v>4</v>
      </c>
      <c r="X965" s="2" t="s">
        <v>44</v>
      </c>
      <c r="Y965" s="2">
        <v>2</v>
      </c>
      <c r="Z965" s="2" t="s">
        <v>54</v>
      </c>
    </row>
    <row r="966" spans="1:26" x14ac:dyDescent="0.35">
      <c r="A966" s="2" t="s">
        <v>1634</v>
      </c>
      <c r="B966" s="3">
        <v>45937</v>
      </c>
      <c r="C966" s="2" t="s">
        <v>1635</v>
      </c>
      <c r="D966" s="2" t="s">
        <v>40</v>
      </c>
      <c r="E966" s="2" t="s">
        <v>29</v>
      </c>
      <c r="F966" s="2">
        <v>26</v>
      </c>
      <c r="G966" s="2" t="s">
        <v>30</v>
      </c>
      <c r="H966" s="2" t="s">
        <v>31</v>
      </c>
      <c r="I966" s="2" t="s">
        <v>30</v>
      </c>
      <c r="J966" s="2" t="s">
        <v>32</v>
      </c>
      <c r="K966" s="2">
        <v>5</v>
      </c>
      <c r="L966" s="2">
        <v>34990</v>
      </c>
      <c r="M966" s="2">
        <v>20</v>
      </c>
      <c r="N966" s="2">
        <v>34990</v>
      </c>
      <c r="O966" s="2">
        <v>25192.799999999999</v>
      </c>
      <c r="P966" s="2">
        <v>340</v>
      </c>
      <c r="Q966" s="2">
        <v>165492.79999999999</v>
      </c>
      <c r="R966" s="2" t="s">
        <v>76</v>
      </c>
      <c r="S966" s="2" t="s">
        <v>34</v>
      </c>
      <c r="T966" s="9" t="s">
        <v>1709</v>
      </c>
      <c r="U966" s="10" t="s">
        <v>52</v>
      </c>
      <c r="V966" s="2" t="s">
        <v>53</v>
      </c>
      <c r="W966" s="2">
        <v>2</v>
      </c>
      <c r="X966" s="2" t="s">
        <v>44</v>
      </c>
      <c r="Y966" s="2">
        <v>1</v>
      </c>
      <c r="Z966" s="2" t="s">
        <v>82</v>
      </c>
    </row>
    <row r="967" spans="1:26" x14ac:dyDescent="0.35">
      <c r="A967" s="2" t="s">
        <v>1636</v>
      </c>
      <c r="B967" s="3">
        <v>46080</v>
      </c>
      <c r="C967" s="2" t="s">
        <v>444</v>
      </c>
      <c r="D967" s="2" t="s">
        <v>47</v>
      </c>
      <c r="E967" s="2" t="s">
        <v>41</v>
      </c>
      <c r="F967" s="2">
        <v>33</v>
      </c>
      <c r="G967" s="2" t="s">
        <v>42</v>
      </c>
      <c r="H967" s="2" t="s">
        <v>31</v>
      </c>
      <c r="I967" s="2" t="s">
        <v>42</v>
      </c>
      <c r="J967" s="2" t="s">
        <v>50</v>
      </c>
      <c r="K967" s="2">
        <v>3</v>
      </c>
      <c r="L967" s="2">
        <v>6736</v>
      </c>
      <c r="M967" s="2">
        <v>15</v>
      </c>
      <c r="N967" s="2">
        <v>3031.2</v>
      </c>
      <c r="O967" s="2">
        <v>3091.82</v>
      </c>
      <c r="P967" s="2">
        <v>130</v>
      </c>
      <c r="Q967" s="2">
        <v>20398.62</v>
      </c>
      <c r="R967" s="2" t="s">
        <v>51</v>
      </c>
      <c r="S967" s="2" t="s">
        <v>34</v>
      </c>
      <c r="T967" s="9" t="s">
        <v>1710</v>
      </c>
      <c r="U967" s="10" t="s">
        <v>1711</v>
      </c>
      <c r="V967" s="2" t="s">
        <v>53</v>
      </c>
      <c r="W967" s="2">
        <v>8</v>
      </c>
      <c r="X967" s="2" t="s">
        <v>44</v>
      </c>
      <c r="Y967" s="2">
        <v>3</v>
      </c>
      <c r="Z967" s="2" t="s">
        <v>54</v>
      </c>
    </row>
    <row r="968" spans="1:26" x14ac:dyDescent="0.35">
      <c r="A968" s="2" t="s">
        <v>1637</v>
      </c>
      <c r="B968" s="3">
        <v>46062</v>
      </c>
      <c r="C968" s="2" t="s">
        <v>829</v>
      </c>
      <c r="D968" s="2" t="s">
        <v>73</v>
      </c>
      <c r="E968" s="2" t="s">
        <v>29</v>
      </c>
      <c r="F968" s="2">
        <v>27</v>
      </c>
      <c r="G968" s="2" t="s">
        <v>30</v>
      </c>
      <c r="H968" s="2" t="s">
        <v>31</v>
      </c>
      <c r="I968" s="2" t="s">
        <v>30</v>
      </c>
      <c r="J968" s="2" t="s">
        <v>100</v>
      </c>
      <c r="K968" s="2">
        <v>1</v>
      </c>
      <c r="L968" s="2">
        <v>24799</v>
      </c>
      <c r="M968" s="2">
        <v>0</v>
      </c>
      <c r="N968" s="2">
        <v>0</v>
      </c>
      <c r="O968" s="2">
        <v>4463.82</v>
      </c>
      <c r="P968" s="2">
        <v>488</v>
      </c>
      <c r="Q968" s="2">
        <v>29750.82</v>
      </c>
      <c r="R968" s="2" t="s">
        <v>76</v>
      </c>
      <c r="S968" s="2" t="s">
        <v>59</v>
      </c>
      <c r="T968" s="9" t="s">
        <v>1705</v>
      </c>
      <c r="U968" s="10" t="s">
        <v>1702</v>
      </c>
      <c r="V968" s="2" t="s">
        <v>53</v>
      </c>
      <c r="W968" s="2">
        <v>1</v>
      </c>
      <c r="X968" s="2" t="s">
        <v>44</v>
      </c>
      <c r="Y968" s="2">
        <v>4</v>
      </c>
      <c r="Z968" s="2" t="s">
        <v>82</v>
      </c>
    </row>
    <row r="969" spans="1:26" x14ac:dyDescent="0.35">
      <c r="A969" s="2" t="s">
        <v>1638</v>
      </c>
      <c r="B969" s="3">
        <v>45790</v>
      </c>
      <c r="C969" s="2" t="s">
        <v>529</v>
      </c>
      <c r="D969" s="2" t="s">
        <v>28</v>
      </c>
      <c r="E969" s="2" t="s">
        <v>41</v>
      </c>
      <c r="F969" s="2">
        <v>47</v>
      </c>
      <c r="G969" s="2" t="s">
        <v>127</v>
      </c>
      <c r="H969" s="2" t="s">
        <v>31</v>
      </c>
      <c r="I969" s="2" t="s">
        <v>127</v>
      </c>
      <c r="J969" s="2" t="s">
        <v>100</v>
      </c>
      <c r="K969" s="2">
        <v>1</v>
      </c>
      <c r="L969" s="2">
        <v>9195</v>
      </c>
      <c r="M969" s="2">
        <v>20</v>
      </c>
      <c r="N969" s="2">
        <v>1839</v>
      </c>
      <c r="O969" s="2">
        <v>1324.08</v>
      </c>
      <c r="P969" s="2">
        <v>174</v>
      </c>
      <c r="Q969" s="2">
        <v>8854.08</v>
      </c>
      <c r="R969" s="2" t="s">
        <v>51</v>
      </c>
      <c r="S969" s="2" t="s">
        <v>34</v>
      </c>
      <c r="T969" s="9" t="s">
        <v>1710</v>
      </c>
      <c r="U969" s="10" t="s">
        <v>1711</v>
      </c>
      <c r="V969" s="2" t="s">
        <v>53</v>
      </c>
      <c r="W969" s="2">
        <v>2</v>
      </c>
      <c r="X969" s="2" t="s">
        <v>44</v>
      </c>
      <c r="Y969" s="2">
        <v>5</v>
      </c>
      <c r="Z969" s="2" t="s">
        <v>44</v>
      </c>
    </row>
    <row r="970" spans="1:26" x14ac:dyDescent="0.35">
      <c r="A970" s="2" t="s">
        <v>1639</v>
      </c>
      <c r="B970" s="3">
        <v>46119</v>
      </c>
      <c r="C970" s="2" t="s">
        <v>1640</v>
      </c>
      <c r="D970" s="2" t="s">
        <v>99</v>
      </c>
      <c r="E970" s="2" t="s">
        <v>29</v>
      </c>
      <c r="F970" s="2">
        <v>41</v>
      </c>
      <c r="G970" s="2" t="s">
        <v>42</v>
      </c>
      <c r="H970" s="2" t="s">
        <v>31</v>
      </c>
      <c r="I970" s="2" t="s">
        <v>42</v>
      </c>
      <c r="J970" s="2" t="s">
        <v>190</v>
      </c>
      <c r="K970" s="2">
        <v>3</v>
      </c>
      <c r="L970" s="2">
        <v>46281</v>
      </c>
      <c r="M970" s="2">
        <v>5</v>
      </c>
      <c r="N970" s="2">
        <v>6942.15</v>
      </c>
      <c r="O970" s="2">
        <v>23742.15</v>
      </c>
      <c r="P970" s="2">
        <v>54</v>
      </c>
      <c r="Q970" s="2">
        <v>155697</v>
      </c>
      <c r="R970" s="2" t="s">
        <v>51</v>
      </c>
      <c r="S970" s="2" t="s">
        <v>59</v>
      </c>
      <c r="T970" s="9" t="s">
        <v>1703</v>
      </c>
      <c r="U970" s="10" t="s">
        <v>1701</v>
      </c>
      <c r="V970" s="2" t="s">
        <v>35</v>
      </c>
      <c r="W970" s="2">
        <v>8</v>
      </c>
      <c r="X970" s="2" t="s">
        <v>44</v>
      </c>
      <c r="Y970" s="2">
        <v>2</v>
      </c>
      <c r="Z970" s="2" t="s">
        <v>54</v>
      </c>
    </row>
    <row r="971" spans="1:26" x14ac:dyDescent="0.35">
      <c r="A971" s="2" t="s">
        <v>1641</v>
      </c>
      <c r="B971" s="3">
        <v>46000</v>
      </c>
      <c r="C971" s="2" t="s">
        <v>1642</v>
      </c>
      <c r="D971" s="2" t="s">
        <v>68</v>
      </c>
      <c r="E971" s="2" t="s">
        <v>41</v>
      </c>
      <c r="F971" s="2">
        <v>47</v>
      </c>
      <c r="G971" s="2" t="s">
        <v>42</v>
      </c>
      <c r="H971" s="2" t="s">
        <v>31</v>
      </c>
      <c r="I971" s="2" t="s">
        <v>42</v>
      </c>
      <c r="J971" s="2" t="s">
        <v>138</v>
      </c>
      <c r="K971" s="2">
        <v>3</v>
      </c>
      <c r="L971" s="2">
        <v>11665</v>
      </c>
      <c r="M971" s="2">
        <v>15</v>
      </c>
      <c r="N971" s="2">
        <v>5249.25</v>
      </c>
      <c r="O971" s="2">
        <v>5354.23</v>
      </c>
      <c r="P971" s="2">
        <v>392</v>
      </c>
      <c r="Q971" s="2">
        <v>35491.99</v>
      </c>
      <c r="R971" s="2" t="s">
        <v>76</v>
      </c>
      <c r="S971" s="2" t="s">
        <v>59</v>
      </c>
      <c r="T971" s="9" t="s">
        <v>1707</v>
      </c>
      <c r="U971" s="10" t="s">
        <v>1712</v>
      </c>
      <c r="V971" s="2" t="s">
        <v>53</v>
      </c>
      <c r="W971" s="2">
        <v>6</v>
      </c>
      <c r="X971" s="2" t="s">
        <v>36</v>
      </c>
      <c r="Y971" s="2">
        <v>5</v>
      </c>
      <c r="Z971" s="2" t="s">
        <v>44</v>
      </c>
    </row>
    <row r="972" spans="1:26" x14ac:dyDescent="0.35">
      <c r="A972" s="2" t="s">
        <v>1643</v>
      </c>
      <c r="B972" s="3">
        <v>45778</v>
      </c>
      <c r="C972" s="2" t="s">
        <v>1644</v>
      </c>
      <c r="D972" s="2" t="s">
        <v>40</v>
      </c>
      <c r="E972" s="2" t="s">
        <v>29</v>
      </c>
      <c r="F972" s="2">
        <v>23</v>
      </c>
      <c r="G972" s="2" t="s">
        <v>42</v>
      </c>
      <c r="H972" s="2" t="s">
        <v>31</v>
      </c>
      <c r="I972" s="2" t="s">
        <v>42</v>
      </c>
      <c r="J972" s="2" t="s">
        <v>32</v>
      </c>
      <c r="K972" s="2">
        <v>2</v>
      </c>
      <c r="L972" s="2">
        <v>41905</v>
      </c>
      <c r="M972" s="2">
        <v>20</v>
      </c>
      <c r="N972" s="2">
        <v>16762</v>
      </c>
      <c r="O972" s="2">
        <v>12068.64</v>
      </c>
      <c r="P972" s="2">
        <v>427</v>
      </c>
      <c r="Q972" s="2">
        <v>79543.64</v>
      </c>
      <c r="R972" s="2" t="s">
        <v>51</v>
      </c>
      <c r="S972" s="2" t="s">
        <v>59</v>
      </c>
      <c r="T972" s="9" t="s">
        <v>1706</v>
      </c>
      <c r="U972" s="10" t="s">
        <v>52</v>
      </c>
      <c r="V972" s="2" t="s">
        <v>53</v>
      </c>
      <c r="W972" s="2">
        <v>5</v>
      </c>
      <c r="X972" s="2" t="s">
        <v>36</v>
      </c>
      <c r="Y972" s="2">
        <v>1</v>
      </c>
      <c r="Z972" s="2" t="s">
        <v>54</v>
      </c>
    </row>
    <row r="973" spans="1:26" x14ac:dyDescent="0.35">
      <c r="A973" s="2" t="s">
        <v>1645</v>
      </c>
      <c r="B973" s="3">
        <v>45896</v>
      </c>
      <c r="C973" s="2" t="s">
        <v>1578</v>
      </c>
      <c r="D973" s="2" t="s">
        <v>47</v>
      </c>
      <c r="E973" s="2" t="s">
        <v>41</v>
      </c>
      <c r="F973" s="2">
        <v>38</v>
      </c>
      <c r="G973" s="2" t="s">
        <v>42</v>
      </c>
      <c r="H973" s="2" t="s">
        <v>31</v>
      </c>
      <c r="I973" s="2" t="s">
        <v>42</v>
      </c>
      <c r="J973" s="2" t="s">
        <v>70</v>
      </c>
      <c r="K973" s="2">
        <v>1</v>
      </c>
      <c r="L973" s="2">
        <v>13855</v>
      </c>
      <c r="M973" s="2">
        <v>15</v>
      </c>
      <c r="N973" s="2">
        <v>2078.25</v>
      </c>
      <c r="O973" s="2">
        <v>2119.8200000000002</v>
      </c>
      <c r="P973" s="2">
        <v>127</v>
      </c>
      <c r="Q973" s="2">
        <v>14023.57</v>
      </c>
      <c r="R973" s="2" t="s">
        <v>43</v>
      </c>
      <c r="S973" s="2" t="s">
        <v>34</v>
      </c>
      <c r="T973" s="9" t="s">
        <v>1707</v>
      </c>
      <c r="U973" s="10" t="s">
        <v>1712</v>
      </c>
      <c r="V973" s="2" t="s">
        <v>53</v>
      </c>
      <c r="W973" s="2">
        <v>7</v>
      </c>
      <c r="X973" s="2" t="s">
        <v>44</v>
      </c>
      <c r="Y973" s="2">
        <v>5</v>
      </c>
      <c r="Z973" s="2" t="s">
        <v>37</v>
      </c>
    </row>
    <row r="974" spans="1:26" x14ac:dyDescent="0.35">
      <c r="A974" s="2" t="s">
        <v>1646</v>
      </c>
      <c r="B974" s="3">
        <v>46077</v>
      </c>
      <c r="C974" s="2" t="s">
        <v>1647</v>
      </c>
      <c r="D974" s="2" t="s">
        <v>68</v>
      </c>
      <c r="E974" s="2" t="s">
        <v>41</v>
      </c>
      <c r="F974" s="2">
        <v>51</v>
      </c>
      <c r="G974" s="2" t="s">
        <v>48</v>
      </c>
      <c r="H974" s="2" t="s">
        <v>49</v>
      </c>
      <c r="I974" s="2" t="s">
        <v>48</v>
      </c>
      <c r="J974" s="2" t="s">
        <v>32</v>
      </c>
      <c r="K974" s="2">
        <v>4</v>
      </c>
      <c r="L974" s="2">
        <v>29217</v>
      </c>
      <c r="M974" s="2">
        <v>0</v>
      </c>
      <c r="N974" s="2">
        <v>0</v>
      </c>
      <c r="O974" s="2">
        <v>21036.240000000002</v>
      </c>
      <c r="P974" s="2">
        <v>188</v>
      </c>
      <c r="Q974" s="2">
        <v>138092.24</v>
      </c>
      <c r="R974" s="2" t="s">
        <v>51</v>
      </c>
      <c r="S974" s="2" t="s">
        <v>59</v>
      </c>
      <c r="T974" s="9" t="s">
        <v>1703</v>
      </c>
      <c r="U974" s="10" t="s">
        <v>1701</v>
      </c>
      <c r="V974" s="2" t="s">
        <v>35</v>
      </c>
      <c r="W974" s="2">
        <v>10</v>
      </c>
      <c r="X974" s="2" t="s">
        <v>36</v>
      </c>
      <c r="Y974" s="2">
        <v>1</v>
      </c>
      <c r="Z974" s="2" t="s">
        <v>37</v>
      </c>
    </row>
    <row r="975" spans="1:26" x14ac:dyDescent="0.35">
      <c r="A975" s="2" t="s">
        <v>1648</v>
      </c>
      <c r="B975" s="3">
        <v>45816</v>
      </c>
      <c r="C975" s="2" t="s">
        <v>1118</v>
      </c>
      <c r="D975" s="2" t="s">
        <v>57</v>
      </c>
      <c r="E975" s="2" t="s">
        <v>29</v>
      </c>
      <c r="F975" s="2">
        <v>19</v>
      </c>
      <c r="G975" s="2" t="s">
        <v>63</v>
      </c>
      <c r="H975" s="2" t="s">
        <v>64</v>
      </c>
      <c r="I975" s="2" t="s">
        <v>63</v>
      </c>
      <c r="J975" s="2" t="s">
        <v>100</v>
      </c>
      <c r="K975" s="2">
        <v>3</v>
      </c>
      <c r="L975" s="2">
        <v>34047</v>
      </c>
      <c r="M975" s="2">
        <v>0</v>
      </c>
      <c r="N975" s="2">
        <v>0</v>
      </c>
      <c r="O975" s="2">
        <v>18385.38</v>
      </c>
      <c r="P975" s="2">
        <v>42</v>
      </c>
      <c r="Q975" s="2">
        <v>120568.38</v>
      </c>
      <c r="R975" s="2" t="s">
        <v>51</v>
      </c>
      <c r="S975" s="2" t="s">
        <v>59</v>
      </c>
      <c r="T975" s="9" t="s">
        <v>1710</v>
      </c>
      <c r="U975" s="10" t="s">
        <v>1711</v>
      </c>
      <c r="V975" s="2" t="s">
        <v>53</v>
      </c>
      <c r="W975" s="2">
        <v>3</v>
      </c>
      <c r="X975" s="2" t="s">
        <v>36</v>
      </c>
      <c r="Y975" s="2">
        <v>5</v>
      </c>
      <c r="Z975" s="2" t="s">
        <v>37</v>
      </c>
    </row>
    <row r="976" spans="1:26" x14ac:dyDescent="0.35">
      <c r="A976" s="2" t="s">
        <v>1649</v>
      </c>
      <c r="B976" s="3">
        <v>45855</v>
      </c>
      <c r="C976" s="2" t="s">
        <v>1063</v>
      </c>
      <c r="D976" s="2" t="s">
        <v>99</v>
      </c>
      <c r="E976" s="2" t="s">
        <v>41</v>
      </c>
      <c r="F976" s="2">
        <v>47</v>
      </c>
      <c r="G976" s="2" t="s">
        <v>88</v>
      </c>
      <c r="H976" s="2" t="s">
        <v>49</v>
      </c>
      <c r="I976" s="2" t="s">
        <v>88</v>
      </c>
      <c r="J976" s="2" t="s">
        <v>50</v>
      </c>
      <c r="K976" s="2">
        <v>4</v>
      </c>
      <c r="L976" s="2">
        <v>40544</v>
      </c>
      <c r="M976" s="2">
        <v>5</v>
      </c>
      <c r="N976" s="2">
        <v>8108.8</v>
      </c>
      <c r="O976" s="2">
        <v>27732.1</v>
      </c>
      <c r="P976" s="2">
        <v>384</v>
      </c>
      <c r="Q976" s="2">
        <v>182183.3</v>
      </c>
      <c r="R976" s="2" t="s">
        <v>43</v>
      </c>
      <c r="S976" s="2" t="s">
        <v>34</v>
      </c>
      <c r="T976" s="9" t="s">
        <v>1710</v>
      </c>
      <c r="U976" s="10" t="s">
        <v>1711</v>
      </c>
      <c r="V976" s="2" t="s">
        <v>53</v>
      </c>
      <c r="W976" s="2">
        <v>10</v>
      </c>
      <c r="X976" s="2" t="s">
        <v>44</v>
      </c>
      <c r="Y976" s="2">
        <v>1</v>
      </c>
      <c r="Z976" s="2" t="s">
        <v>54</v>
      </c>
    </row>
    <row r="977" spans="1:26" x14ac:dyDescent="0.35">
      <c r="A977" s="2" t="s">
        <v>1650</v>
      </c>
      <c r="B977" s="3">
        <v>45927</v>
      </c>
      <c r="C977" s="2" t="s">
        <v>1015</v>
      </c>
      <c r="D977" s="2" t="s">
        <v>28</v>
      </c>
      <c r="E977" s="2" t="s">
        <v>41</v>
      </c>
      <c r="F977" s="2">
        <v>23</v>
      </c>
      <c r="G977" s="2" t="s">
        <v>30</v>
      </c>
      <c r="H977" s="2" t="s">
        <v>31</v>
      </c>
      <c r="I977" s="2" t="s">
        <v>30</v>
      </c>
      <c r="J977" s="2" t="s">
        <v>100</v>
      </c>
      <c r="K977" s="2">
        <v>1</v>
      </c>
      <c r="L977" s="2">
        <v>34177</v>
      </c>
      <c r="M977" s="2">
        <v>15</v>
      </c>
      <c r="N977" s="2">
        <v>5126.55</v>
      </c>
      <c r="O977" s="2">
        <v>5229.08</v>
      </c>
      <c r="P977" s="2">
        <v>114</v>
      </c>
      <c r="Q977" s="2">
        <v>34393.53</v>
      </c>
      <c r="R977" s="2" t="s">
        <v>76</v>
      </c>
      <c r="S977" s="2" t="s">
        <v>34</v>
      </c>
      <c r="T977" s="9" t="s">
        <v>1708</v>
      </c>
      <c r="U977" s="10" t="s">
        <v>52</v>
      </c>
      <c r="V977" s="2" t="s">
        <v>77</v>
      </c>
      <c r="W977" s="2">
        <v>7</v>
      </c>
      <c r="X977" s="2" t="s">
        <v>36</v>
      </c>
      <c r="Y977" s="2">
        <v>5</v>
      </c>
      <c r="Z977" s="2" t="s">
        <v>54</v>
      </c>
    </row>
    <row r="978" spans="1:26" x14ac:dyDescent="0.35">
      <c r="A978" s="2" t="s">
        <v>1651</v>
      </c>
      <c r="B978" s="3">
        <v>45910</v>
      </c>
      <c r="C978" s="2" t="s">
        <v>567</v>
      </c>
      <c r="D978" s="2" t="s">
        <v>40</v>
      </c>
      <c r="E978" s="2" t="s">
        <v>41</v>
      </c>
      <c r="F978" s="2">
        <v>35</v>
      </c>
      <c r="G978" s="2" t="s">
        <v>88</v>
      </c>
      <c r="H978" s="2" t="s">
        <v>49</v>
      </c>
      <c r="I978" s="2" t="s">
        <v>88</v>
      </c>
      <c r="J978" s="2" t="s">
        <v>32</v>
      </c>
      <c r="K978" s="2">
        <v>4</v>
      </c>
      <c r="L978" s="2">
        <v>32481</v>
      </c>
      <c r="M978" s="2">
        <v>20</v>
      </c>
      <c r="N978" s="2">
        <v>25984.799999999999</v>
      </c>
      <c r="O978" s="2">
        <v>18709.060000000001</v>
      </c>
      <c r="P978" s="2">
        <v>431</v>
      </c>
      <c r="Q978" s="2">
        <v>123079.26</v>
      </c>
      <c r="R978" s="2" t="s">
        <v>51</v>
      </c>
      <c r="S978" s="2" t="s">
        <v>59</v>
      </c>
      <c r="T978" s="9" t="s">
        <v>1703</v>
      </c>
      <c r="U978" s="10" t="s">
        <v>1701</v>
      </c>
      <c r="V978" s="2" t="s">
        <v>35</v>
      </c>
      <c r="W978" s="2">
        <v>5</v>
      </c>
      <c r="X978" s="2" t="s">
        <v>44</v>
      </c>
      <c r="Y978" s="2">
        <v>3</v>
      </c>
      <c r="Z978" s="2" t="s">
        <v>54</v>
      </c>
    </row>
    <row r="979" spans="1:26" x14ac:dyDescent="0.35">
      <c r="A979" s="2" t="s">
        <v>1652</v>
      </c>
      <c r="B979" s="3">
        <v>45930</v>
      </c>
      <c r="C979" s="2" t="s">
        <v>624</v>
      </c>
      <c r="D979" s="2" t="s">
        <v>96</v>
      </c>
      <c r="E979" s="2" t="s">
        <v>41</v>
      </c>
      <c r="F979" s="2">
        <v>45</v>
      </c>
      <c r="G979" s="2" t="s">
        <v>81</v>
      </c>
      <c r="H979" s="2" t="s">
        <v>31</v>
      </c>
      <c r="I979" s="2" t="s">
        <v>81</v>
      </c>
      <c r="J979" s="2" t="s">
        <v>58</v>
      </c>
      <c r="K979" s="2">
        <v>4</v>
      </c>
      <c r="L979" s="2">
        <v>26540</v>
      </c>
      <c r="M979" s="2">
        <v>10</v>
      </c>
      <c r="N979" s="2">
        <v>10616</v>
      </c>
      <c r="O979" s="2">
        <v>17197.919999999998</v>
      </c>
      <c r="P979" s="2">
        <v>448</v>
      </c>
      <c r="Q979" s="2">
        <v>113189.92</v>
      </c>
      <c r="R979" s="2" t="s">
        <v>33</v>
      </c>
      <c r="S979" s="2" t="s">
        <v>59</v>
      </c>
      <c r="T979" s="9" t="s">
        <v>1708</v>
      </c>
      <c r="U979" s="10" t="s">
        <v>52</v>
      </c>
      <c r="V979" s="2" t="s">
        <v>77</v>
      </c>
      <c r="W979" s="2">
        <v>8</v>
      </c>
      <c r="X979" s="2" t="s">
        <v>44</v>
      </c>
      <c r="Y979" s="2">
        <v>5</v>
      </c>
      <c r="Z979" s="2" t="s">
        <v>82</v>
      </c>
    </row>
    <row r="980" spans="1:26" x14ac:dyDescent="0.35">
      <c r="A980" s="2" t="s">
        <v>1653</v>
      </c>
      <c r="B980" s="3">
        <v>45889</v>
      </c>
      <c r="C980" s="2" t="s">
        <v>257</v>
      </c>
      <c r="D980" s="2" t="s">
        <v>40</v>
      </c>
      <c r="E980" s="2" t="s">
        <v>29</v>
      </c>
      <c r="F980" s="2">
        <v>57</v>
      </c>
      <c r="G980" s="2" t="s">
        <v>42</v>
      </c>
      <c r="H980" s="2" t="s">
        <v>31</v>
      </c>
      <c r="I980" s="2" t="s">
        <v>42</v>
      </c>
      <c r="J980" s="2" t="s">
        <v>50</v>
      </c>
      <c r="K980" s="2">
        <v>2</v>
      </c>
      <c r="L980" s="2">
        <v>7396</v>
      </c>
      <c r="M980" s="2">
        <v>20</v>
      </c>
      <c r="N980" s="2">
        <v>2958.4</v>
      </c>
      <c r="O980" s="2">
        <v>2130.0500000000002</v>
      </c>
      <c r="P980" s="2">
        <v>160</v>
      </c>
      <c r="Q980" s="2">
        <v>14123.65</v>
      </c>
      <c r="R980" s="2" t="s">
        <v>33</v>
      </c>
      <c r="S980" s="2" t="s">
        <v>59</v>
      </c>
      <c r="T980" s="9" t="s">
        <v>1705</v>
      </c>
      <c r="U980" s="10" t="s">
        <v>1702</v>
      </c>
      <c r="V980" s="2" t="s">
        <v>53</v>
      </c>
      <c r="W980" s="2">
        <v>2</v>
      </c>
      <c r="X980" s="2" t="s">
        <v>44</v>
      </c>
      <c r="Y980" s="2">
        <v>4</v>
      </c>
      <c r="Z980" s="2" t="s">
        <v>44</v>
      </c>
    </row>
    <row r="981" spans="1:26" x14ac:dyDescent="0.35">
      <c r="A981" s="2" t="s">
        <v>1654</v>
      </c>
      <c r="B981" s="3">
        <v>46095</v>
      </c>
      <c r="C981" s="2" t="s">
        <v>1183</v>
      </c>
      <c r="D981" s="2" t="s">
        <v>99</v>
      </c>
      <c r="E981" s="2" t="s">
        <v>41</v>
      </c>
      <c r="F981" s="2">
        <v>19</v>
      </c>
      <c r="G981" s="2" t="s">
        <v>69</v>
      </c>
      <c r="H981" s="2" t="s">
        <v>31</v>
      </c>
      <c r="I981" s="2" t="s">
        <v>69</v>
      </c>
      <c r="J981" s="2" t="s">
        <v>91</v>
      </c>
      <c r="K981" s="2">
        <v>4</v>
      </c>
      <c r="L981" s="2">
        <v>12010</v>
      </c>
      <c r="M981" s="2">
        <v>5</v>
      </c>
      <c r="N981" s="2">
        <v>2402</v>
      </c>
      <c r="O981" s="2">
        <v>8214.84</v>
      </c>
      <c r="P981" s="2">
        <v>40</v>
      </c>
      <c r="Q981" s="2">
        <v>53892.84</v>
      </c>
      <c r="R981" s="2" t="s">
        <v>43</v>
      </c>
      <c r="S981" s="2" t="s">
        <v>59</v>
      </c>
      <c r="T981" s="9" t="s">
        <v>1703</v>
      </c>
      <c r="U981" s="10" t="s">
        <v>1701</v>
      </c>
      <c r="V981" s="2" t="s">
        <v>35</v>
      </c>
      <c r="W981" s="2">
        <v>2</v>
      </c>
      <c r="X981" s="2" t="s">
        <v>44</v>
      </c>
      <c r="Y981" s="2">
        <v>1</v>
      </c>
      <c r="Z981" s="2" t="s">
        <v>44</v>
      </c>
    </row>
    <row r="982" spans="1:26" x14ac:dyDescent="0.35">
      <c r="A982" s="2" t="s">
        <v>1655</v>
      </c>
      <c r="B982" s="3">
        <v>45825</v>
      </c>
      <c r="C982" s="2" t="s">
        <v>1656</v>
      </c>
      <c r="D982" s="2" t="s">
        <v>99</v>
      </c>
      <c r="E982" s="2" t="s">
        <v>41</v>
      </c>
      <c r="F982" s="2">
        <v>26</v>
      </c>
      <c r="G982" s="2" t="s">
        <v>122</v>
      </c>
      <c r="H982" s="2" t="s">
        <v>31</v>
      </c>
      <c r="I982" s="2" t="s">
        <v>1624</v>
      </c>
      <c r="J982" s="2" t="s">
        <v>138</v>
      </c>
      <c r="K982" s="2">
        <v>2</v>
      </c>
      <c r="L982" s="2">
        <v>2315</v>
      </c>
      <c r="M982" s="2">
        <v>20</v>
      </c>
      <c r="N982" s="2">
        <v>926</v>
      </c>
      <c r="O982" s="2">
        <v>666.72</v>
      </c>
      <c r="P982" s="2">
        <v>203</v>
      </c>
      <c r="Q982" s="2">
        <v>4573.72</v>
      </c>
      <c r="R982" s="2" t="s">
        <v>51</v>
      </c>
      <c r="S982" s="2" t="s">
        <v>59</v>
      </c>
      <c r="T982" s="9" t="s">
        <v>1704</v>
      </c>
      <c r="U982" s="10" t="s">
        <v>52</v>
      </c>
      <c r="V982" s="2" t="s">
        <v>35</v>
      </c>
      <c r="W982" s="2">
        <v>10</v>
      </c>
      <c r="X982" s="2" t="s">
        <v>36</v>
      </c>
      <c r="Y982" s="2">
        <v>4</v>
      </c>
      <c r="Z982" s="2" t="s">
        <v>44</v>
      </c>
    </row>
    <row r="983" spans="1:26" x14ac:dyDescent="0.35">
      <c r="A983" s="2" t="s">
        <v>1657</v>
      </c>
      <c r="B983" s="3">
        <v>45935</v>
      </c>
      <c r="C983" s="2" t="s">
        <v>1658</v>
      </c>
      <c r="D983" s="2" t="s">
        <v>68</v>
      </c>
      <c r="E983" s="2" t="s">
        <v>41</v>
      </c>
      <c r="F983" s="2">
        <v>59</v>
      </c>
      <c r="G983" s="2" t="s">
        <v>69</v>
      </c>
      <c r="H983" s="2" t="s">
        <v>31</v>
      </c>
      <c r="I983" s="2" t="s">
        <v>69</v>
      </c>
      <c r="J983" s="2" t="s">
        <v>113</v>
      </c>
      <c r="K983" s="2">
        <v>2</v>
      </c>
      <c r="L983" s="2">
        <v>14022</v>
      </c>
      <c r="M983" s="2">
        <v>20</v>
      </c>
      <c r="N983" s="2">
        <v>5608.8</v>
      </c>
      <c r="O983" s="2">
        <v>4038.34</v>
      </c>
      <c r="P983" s="2">
        <v>455</v>
      </c>
      <c r="Q983" s="2">
        <v>26928.54</v>
      </c>
      <c r="R983" s="2" t="s">
        <v>76</v>
      </c>
      <c r="S983" s="2" t="s">
        <v>34</v>
      </c>
      <c r="T983" s="9" t="s">
        <v>1710</v>
      </c>
      <c r="U983" s="10" t="s">
        <v>1711</v>
      </c>
      <c r="V983" s="2" t="s">
        <v>53</v>
      </c>
      <c r="W983" s="2">
        <v>1</v>
      </c>
      <c r="X983" s="2" t="s">
        <v>36</v>
      </c>
      <c r="Y983" s="2">
        <v>3</v>
      </c>
      <c r="Z983" s="2" t="s">
        <v>44</v>
      </c>
    </row>
    <row r="984" spans="1:26" x14ac:dyDescent="0.35">
      <c r="A984" s="2" t="s">
        <v>1659</v>
      </c>
      <c r="B984" s="3">
        <v>46106</v>
      </c>
      <c r="C984" s="2" t="s">
        <v>1350</v>
      </c>
      <c r="D984" s="2" t="s">
        <v>28</v>
      </c>
      <c r="E984" s="2" t="s">
        <v>41</v>
      </c>
      <c r="F984" s="2">
        <v>58</v>
      </c>
      <c r="G984" s="2" t="s">
        <v>63</v>
      </c>
      <c r="H984" s="2" t="s">
        <v>64</v>
      </c>
      <c r="I984" s="2" t="s">
        <v>63</v>
      </c>
      <c r="J984" s="2" t="s">
        <v>32</v>
      </c>
      <c r="K984" s="2">
        <v>3</v>
      </c>
      <c r="L984" s="2">
        <v>31885</v>
      </c>
      <c r="M984" s="2">
        <v>5</v>
      </c>
      <c r="N984" s="2">
        <v>4782.75</v>
      </c>
      <c r="O984" s="2">
        <v>16357</v>
      </c>
      <c r="P984" s="2">
        <v>220</v>
      </c>
      <c r="Q984" s="2">
        <v>107449.26</v>
      </c>
      <c r="R984" s="2" t="s">
        <v>33</v>
      </c>
      <c r="S984" s="2" t="s">
        <v>34</v>
      </c>
      <c r="T984" s="9" t="s">
        <v>1707</v>
      </c>
      <c r="U984" s="10" t="s">
        <v>1712</v>
      </c>
      <c r="V984" s="2" t="s">
        <v>53</v>
      </c>
      <c r="W984" s="2">
        <v>8</v>
      </c>
      <c r="X984" s="2" t="s">
        <v>36</v>
      </c>
      <c r="Y984" s="2">
        <v>1</v>
      </c>
      <c r="Z984" s="2" t="s">
        <v>44</v>
      </c>
    </row>
    <row r="985" spans="1:26" x14ac:dyDescent="0.35">
      <c r="A985" s="2" t="s">
        <v>1660</v>
      </c>
      <c r="B985" s="3">
        <v>45969</v>
      </c>
      <c r="C985" s="2" t="s">
        <v>1661</v>
      </c>
      <c r="D985" s="2" t="s">
        <v>28</v>
      </c>
      <c r="E985" s="2" t="s">
        <v>41</v>
      </c>
      <c r="F985" s="2">
        <v>32</v>
      </c>
      <c r="G985" s="2" t="s">
        <v>63</v>
      </c>
      <c r="H985" s="2" t="s">
        <v>64</v>
      </c>
      <c r="I985" s="2" t="s">
        <v>63</v>
      </c>
      <c r="J985" s="2" t="s">
        <v>65</v>
      </c>
      <c r="K985" s="2">
        <v>2</v>
      </c>
      <c r="L985" s="2">
        <v>12286</v>
      </c>
      <c r="M985" s="2">
        <v>20</v>
      </c>
      <c r="N985" s="2">
        <v>4914.3999999999996</v>
      </c>
      <c r="O985" s="2">
        <v>3538.37</v>
      </c>
      <c r="P985" s="2">
        <v>422</v>
      </c>
      <c r="Q985" s="2">
        <v>23617.97</v>
      </c>
      <c r="R985" s="2" t="s">
        <v>76</v>
      </c>
      <c r="S985" s="2" t="s">
        <v>59</v>
      </c>
      <c r="T985" s="9" t="s">
        <v>1706</v>
      </c>
      <c r="U985" s="10" t="s">
        <v>52</v>
      </c>
      <c r="V985" s="2" t="s">
        <v>53</v>
      </c>
      <c r="W985" s="2">
        <v>4</v>
      </c>
      <c r="X985" s="2" t="s">
        <v>36</v>
      </c>
      <c r="Y985" s="2">
        <v>3</v>
      </c>
      <c r="Z985" s="2" t="s">
        <v>54</v>
      </c>
    </row>
    <row r="986" spans="1:26" x14ac:dyDescent="0.35">
      <c r="A986" s="2" t="s">
        <v>1662</v>
      </c>
      <c r="B986" s="3">
        <v>45765</v>
      </c>
      <c r="C986" s="2" t="s">
        <v>1113</v>
      </c>
      <c r="D986" s="2" t="s">
        <v>99</v>
      </c>
      <c r="E986" s="2" t="s">
        <v>29</v>
      </c>
      <c r="F986" s="2">
        <v>23</v>
      </c>
      <c r="G986" s="2" t="s">
        <v>122</v>
      </c>
      <c r="H986" s="2" t="s">
        <v>31</v>
      </c>
      <c r="I986" s="2" t="s">
        <v>122</v>
      </c>
      <c r="J986" s="2" t="s">
        <v>100</v>
      </c>
      <c r="K986" s="2">
        <v>3</v>
      </c>
      <c r="L986" s="2">
        <v>49317</v>
      </c>
      <c r="M986" s="2">
        <v>20</v>
      </c>
      <c r="N986" s="2">
        <v>29590.2</v>
      </c>
      <c r="O986" s="2">
        <v>21304.94</v>
      </c>
      <c r="P986" s="2">
        <v>76</v>
      </c>
      <c r="Q986" s="2">
        <v>139741.74</v>
      </c>
      <c r="R986" s="2" t="s">
        <v>43</v>
      </c>
      <c r="S986" s="2" t="s">
        <v>34</v>
      </c>
      <c r="T986" s="9" t="s">
        <v>1704</v>
      </c>
      <c r="U986" s="10" t="s">
        <v>52</v>
      </c>
      <c r="V986" s="2" t="s">
        <v>35</v>
      </c>
      <c r="W986" s="2">
        <v>7</v>
      </c>
      <c r="X986" s="2" t="s">
        <v>36</v>
      </c>
      <c r="Y986" s="2">
        <v>4</v>
      </c>
      <c r="Z986" s="2" t="s">
        <v>82</v>
      </c>
    </row>
    <row r="987" spans="1:26" x14ac:dyDescent="0.35">
      <c r="A987" s="2" t="s">
        <v>1663</v>
      </c>
      <c r="B987" s="3">
        <v>46066</v>
      </c>
      <c r="C987" s="2" t="s">
        <v>1664</v>
      </c>
      <c r="D987" s="2" t="s">
        <v>28</v>
      </c>
      <c r="E987" s="2" t="s">
        <v>41</v>
      </c>
      <c r="F987" s="2">
        <v>59</v>
      </c>
      <c r="G987" s="2" t="s">
        <v>85</v>
      </c>
      <c r="H987" s="2" t="s">
        <v>31</v>
      </c>
      <c r="I987" s="2" t="s">
        <v>85</v>
      </c>
      <c r="J987" s="2" t="s">
        <v>65</v>
      </c>
      <c r="K987" s="2">
        <v>1</v>
      </c>
      <c r="L987" s="2">
        <v>2308</v>
      </c>
      <c r="M987" s="2">
        <v>20</v>
      </c>
      <c r="N987" s="2">
        <v>461.6</v>
      </c>
      <c r="O987" s="2">
        <v>332.35</v>
      </c>
      <c r="P987" s="2">
        <v>445</v>
      </c>
      <c r="Q987" s="2">
        <v>2623.75</v>
      </c>
      <c r="R987" s="2" t="s">
        <v>43</v>
      </c>
      <c r="S987" s="2" t="s">
        <v>59</v>
      </c>
      <c r="T987" s="9" t="s">
        <v>1708</v>
      </c>
      <c r="U987" s="10" t="s">
        <v>52</v>
      </c>
      <c r="V987" s="2" t="s">
        <v>77</v>
      </c>
      <c r="W987" s="2">
        <v>6</v>
      </c>
      <c r="X987" s="2" t="s">
        <v>36</v>
      </c>
      <c r="Y987" s="2">
        <v>5</v>
      </c>
      <c r="Z987" s="2" t="s">
        <v>82</v>
      </c>
    </row>
    <row r="988" spans="1:26" x14ac:dyDescent="0.35">
      <c r="A988" s="2" t="s">
        <v>1665</v>
      </c>
      <c r="B988" s="3">
        <v>46119</v>
      </c>
      <c r="C988" s="2" t="s">
        <v>1666</v>
      </c>
      <c r="D988" s="2" t="s">
        <v>68</v>
      </c>
      <c r="E988" s="2" t="s">
        <v>41</v>
      </c>
      <c r="F988" s="2">
        <v>49</v>
      </c>
      <c r="G988" s="2" t="s">
        <v>48</v>
      </c>
      <c r="H988" s="2" t="s">
        <v>49</v>
      </c>
      <c r="I988" s="2" t="s">
        <v>48</v>
      </c>
      <c r="J988" s="2" t="s">
        <v>138</v>
      </c>
      <c r="K988" s="2">
        <v>2</v>
      </c>
      <c r="L988" s="2">
        <v>12242</v>
      </c>
      <c r="M988" s="2">
        <v>5</v>
      </c>
      <c r="N988" s="2">
        <v>1224.2</v>
      </c>
      <c r="O988" s="2">
        <v>4186.76</v>
      </c>
      <c r="P988" s="2">
        <v>314</v>
      </c>
      <c r="Q988" s="2">
        <v>27760.560000000001</v>
      </c>
      <c r="R988" s="2" t="s">
        <v>33</v>
      </c>
      <c r="S988" s="2" t="s">
        <v>34</v>
      </c>
      <c r="T988" s="9" t="s">
        <v>1710</v>
      </c>
      <c r="U988" s="10" t="s">
        <v>1711</v>
      </c>
      <c r="V988" s="2" t="s">
        <v>53</v>
      </c>
      <c r="W988" s="2">
        <v>10</v>
      </c>
      <c r="X988" s="2" t="s">
        <v>44</v>
      </c>
      <c r="Y988" s="2">
        <v>4</v>
      </c>
      <c r="Z988" s="2" t="s">
        <v>44</v>
      </c>
    </row>
    <row r="989" spans="1:26" x14ac:dyDescent="0.35">
      <c r="A989" s="2" t="s">
        <v>1667</v>
      </c>
      <c r="B989" s="3">
        <v>45854</v>
      </c>
      <c r="C989" s="2" t="s">
        <v>325</v>
      </c>
      <c r="D989" s="2" t="s">
        <v>62</v>
      </c>
      <c r="E989" s="2" t="s">
        <v>41</v>
      </c>
      <c r="F989" s="2">
        <v>54</v>
      </c>
      <c r="G989" s="2" t="s">
        <v>127</v>
      </c>
      <c r="H989" s="2" t="s">
        <v>31</v>
      </c>
      <c r="I989" s="2" t="s">
        <v>127</v>
      </c>
      <c r="J989" s="2" t="s">
        <v>32</v>
      </c>
      <c r="K989" s="2">
        <v>4</v>
      </c>
      <c r="L989" s="2">
        <v>2691</v>
      </c>
      <c r="M989" s="2">
        <v>15</v>
      </c>
      <c r="N989" s="2">
        <v>1614.6</v>
      </c>
      <c r="O989" s="2">
        <v>1646.89</v>
      </c>
      <c r="P989" s="2">
        <v>248</v>
      </c>
      <c r="Q989" s="2">
        <v>11044.29</v>
      </c>
      <c r="R989" s="2" t="s">
        <v>33</v>
      </c>
      <c r="S989" s="2" t="s">
        <v>59</v>
      </c>
      <c r="T989" s="9" t="s">
        <v>1705</v>
      </c>
      <c r="U989" s="10" t="s">
        <v>1702</v>
      </c>
      <c r="V989" s="2" t="s">
        <v>53</v>
      </c>
      <c r="W989" s="2">
        <v>9</v>
      </c>
      <c r="X989" s="2" t="s">
        <v>36</v>
      </c>
      <c r="Y989" s="2">
        <v>1</v>
      </c>
      <c r="Z989" s="2" t="s">
        <v>44</v>
      </c>
    </row>
    <row r="990" spans="1:26" x14ac:dyDescent="0.35">
      <c r="A990" s="2" t="s">
        <v>1668</v>
      </c>
      <c r="B990" s="3">
        <v>45875</v>
      </c>
      <c r="C990" s="2" t="s">
        <v>1669</v>
      </c>
      <c r="D990" s="2" t="s">
        <v>96</v>
      </c>
      <c r="E990" s="2" t="s">
        <v>41</v>
      </c>
      <c r="F990" s="2">
        <v>52</v>
      </c>
      <c r="G990" s="2" t="s">
        <v>69</v>
      </c>
      <c r="H990" s="2" t="s">
        <v>31</v>
      </c>
      <c r="I990" s="2" t="s">
        <v>69</v>
      </c>
      <c r="J990" s="2" t="s">
        <v>138</v>
      </c>
      <c r="K990" s="2">
        <v>1</v>
      </c>
      <c r="L990" s="2">
        <v>3151</v>
      </c>
      <c r="M990" s="2">
        <v>15</v>
      </c>
      <c r="N990" s="2">
        <v>472.65</v>
      </c>
      <c r="O990" s="2">
        <v>482.1</v>
      </c>
      <c r="P990" s="2">
        <v>224</v>
      </c>
      <c r="Q990" s="2">
        <v>3384.45</v>
      </c>
      <c r="R990" s="2" t="s">
        <v>51</v>
      </c>
      <c r="S990" s="2" t="s">
        <v>59</v>
      </c>
      <c r="T990" s="9" t="s">
        <v>1708</v>
      </c>
      <c r="U990" s="10" t="s">
        <v>52</v>
      </c>
      <c r="V990" s="2" t="s">
        <v>77</v>
      </c>
      <c r="W990" s="2">
        <v>6</v>
      </c>
      <c r="X990" s="2" t="s">
        <v>36</v>
      </c>
      <c r="Y990" s="2">
        <v>2</v>
      </c>
      <c r="Z990" s="2" t="s">
        <v>37</v>
      </c>
    </row>
    <row r="991" spans="1:26" x14ac:dyDescent="0.35">
      <c r="A991" s="2" t="s">
        <v>1670</v>
      </c>
      <c r="B991" s="3">
        <v>45974</v>
      </c>
      <c r="C991" s="2" t="s">
        <v>717</v>
      </c>
      <c r="D991" s="2" t="s">
        <v>99</v>
      </c>
      <c r="E991" s="2" t="s">
        <v>41</v>
      </c>
      <c r="F991" s="2">
        <v>52</v>
      </c>
      <c r="G991" s="2" t="s">
        <v>127</v>
      </c>
      <c r="H991" s="2" t="s">
        <v>31</v>
      </c>
      <c r="I991" s="2" t="s">
        <v>127</v>
      </c>
      <c r="J991" s="2" t="s">
        <v>100</v>
      </c>
      <c r="K991" s="2">
        <v>5</v>
      </c>
      <c r="L991" s="2">
        <v>31839</v>
      </c>
      <c r="M991" s="2">
        <v>15</v>
      </c>
      <c r="N991" s="2">
        <v>23879.25</v>
      </c>
      <c r="O991" s="2">
        <v>24356.83</v>
      </c>
      <c r="P991" s="2">
        <v>295</v>
      </c>
      <c r="Q991" s="2">
        <v>159967.57999999999</v>
      </c>
      <c r="R991" s="2" t="s">
        <v>33</v>
      </c>
      <c r="S991" s="2" t="s">
        <v>34</v>
      </c>
      <c r="T991" s="9" t="s">
        <v>1704</v>
      </c>
      <c r="U991" s="10" t="s">
        <v>52</v>
      </c>
      <c r="V991" s="2" t="s">
        <v>35</v>
      </c>
      <c r="W991" s="2">
        <v>3</v>
      </c>
      <c r="X991" s="2" t="s">
        <v>44</v>
      </c>
      <c r="Y991" s="2">
        <v>4</v>
      </c>
      <c r="Z991" s="2" t="s">
        <v>44</v>
      </c>
    </row>
    <row r="992" spans="1:26" x14ac:dyDescent="0.35">
      <c r="A992" s="2" t="s">
        <v>1671</v>
      </c>
      <c r="B992" s="3">
        <v>45954</v>
      </c>
      <c r="C992" s="2" t="s">
        <v>540</v>
      </c>
      <c r="D992" s="2" t="s">
        <v>62</v>
      </c>
      <c r="E992" s="2" t="s">
        <v>41</v>
      </c>
      <c r="F992" s="2">
        <v>54</v>
      </c>
      <c r="G992" s="2" t="s">
        <v>63</v>
      </c>
      <c r="H992" s="2" t="s">
        <v>64</v>
      </c>
      <c r="I992" s="2" t="s">
        <v>63</v>
      </c>
      <c r="J992" s="2" t="s">
        <v>50</v>
      </c>
      <c r="K992" s="2">
        <v>1</v>
      </c>
      <c r="L992" s="2">
        <v>18336</v>
      </c>
      <c r="M992" s="2">
        <v>0</v>
      </c>
      <c r="N992" s="2">
        <v>0</v>
      </c>
      <c r="O992" s="2">
        <v>3300.48</v>
      </c>
      <c r="P992" s="2">
        <v>116</v>
      </c>
      <c r="Q992" s="2">
        <v>21752.48</v>
      </c>
      <c r="R992" s="2" t="s">
        <v>76</v>
      </c>
      <c r="S992" s="2" t="s">
        <v>59</v>
      </c>
      <c r="T992" s="9" t="s">
        <v>1709</v>
      </c>
      <c r="U992" s="10" t="s">
        <v>52</v>
      </c>
      <c r="V992" s="2" t="s">
        <v>53</v>
      </c>
      <c r="W992" s="2">
        <v>8</v>
      </c>
      <c r="X992" s="2" t="s">
        <v>36</v>
      </c>
      <c r="Y992" s="2">
        <v>2</v>
      </c>
      <c r="Z992" s="2" t="s">
        <v>44</v>
      </c>
    </row>
    <row r="993" spans="1:26" x14ac:dyDescent="0.35">
      <c r="A993" s="2" t="s">
        <v>1672</v>
      </c>
      <c r="B993" s="3">
        <v>46053</v>
      </c>
      <c r="C993" s="2" t="s">
        <v>1573</v>
      </c>
      <c r="D993" s="2" t="s">
        <v>80</v>
      </c>
      <c r="E993" s="2" t="s">
        <v>29</v>
      </c>
      <c r="F993" s="2">
        <v>57</v>
      </c>
      <c r="G993" s="2" t="s">
        <v>48</v>
      </c>
      <c r="H993" s="2" t="s">
        <v>49</v>
      </c>
      <c r="I993" s="2" t="s">
        <v>48</v>
      </c>
      <c r="J993" s="2" t="s">
        <v>100</v>
      </c>
      <c r="K993" s="2">
        <v>5</v>
      </c>
      <c r="L993" s="2">
        <v>39114</v>
      </c>
      <c r="M993" s="2">
        <v>20</v>
      </c>
      <c r="N993" s="2">
        <v>39114</v>
      </c>
      <c r="O993" s="2">
        <v>28162.080000000002</v>
      </c>
      <c r="P993" s="2">
        <v>411</v>
      </c>
      <c r="Q993" s="2">
        <v>185029.08</v>
      </c>
      <c r="R993" s="2" t="s">
        <v>33</v>
      </c>
      <c r="S993" s="2" t="s">
        <v>59</v>
      </c>
      <c r="T993" s="9" t="s">
        <v>1703</v>
      </c>
      <c r="U993" s="10" t="s">
        <v>1701</v>
      </c>
      <c r="V993" s="2" t="s">
        <v>35</v>
      </c>
      <c r="W993" s="2">
        <v>8</v>
      </c>
      <c r="X993" s="2" t="s">
        <v>44</v>
      </c>
      <c r="Y993" s="2">
        <v>2</v>
      </c>
      <c r="Z993" s="2" t="s">
        <v>37</v>
      </c>
    </row>
    <row r="994" spans="1:26" x14ac:dyDescent="0.35">
      <c r="A994" s="2" t="s">
        <v>1673</v>
      </c>
      <c r="B994" s="3">
        <v>45899</v>
      </c>
      <c r="C994" s="2" t="s">
        <v>1674</v>
      </c>
      <c r="D994" s="2" t="s">
        <v>80</v>
      </c>
      <c r="E994" s="2" t="s">
        <v>41</v>
      </c>
      <c r="F994" s="2">
        <v>27</v>
      </c>
      <c r="G994" s="2" t="s">
        <v>63</v>
      </c>
      <c r="H994" s="2" t="s">
        <v>64</v>
      </c>
      <c r="I994" s="2" t="s">
        <v>63</v>
      </c>
      <c r="J994" s="2" t="s">
        <v>91</v>
      </c>
      <c r="K994" s="2">
        <v>1</v>
      </c>
      <c r="L994" s="2">
        <v>17294</v>
      </c>
      <c r="M994" s="2">
        <v>15</v>
      </c>
      <c r="N994" s="2">
        <v>2594.1</v>
      </c>
      <c r="O994" s="2">
        <v>2645.98</v>
      </c>
      <c r="P994" s="2">
        <v>210</v>
      </c>
      <c r="Q994" s="2">
        <v>17555.88</v>
      </c>
      <c r="R994" s="2" t="s">
        <v>43</v>
      </c>
      <c r="S994" s="2" t="s">
        <v>34</v>
      </c>
      <c r="T994" s="9" t="s">
        <v>1707</v>
      </c>
      <c r="U994" s="10" t="s">
        <v>1712</v>
      </c>
      <c r="V994" s="2" t="s">
        <v>53</v>
      </c>
      <c r="W994" s="2">
        <v>3</v>
      </c>
      <c r="X994" s="2" t="s">
        <v>44</v>
      </c>
      <c r="Y994" s="2">
        <v>2</v>
      </c>
      <c r="Z994" s="2" t="s">
        <v>82</v>
      </c>
    </row>
    <row r="995" spans="1:26" x14ac:dyDescent="0.35">
      <c r="A995" s="2" t="s">
        <v>1675</v>
      </c>
      <c r="B995" s="3">
        <v>46083</v>
      </c>
      <c r="C995" s="2" t="s">
        <v>121</v>
      </c>
      <c r="D995" s="2" t="s">
        <v>68</v>
      </c>
      <c r="E995" s="2" t="s">
        <v>29</v>
      </c>
      <c r="F995" s="2">
        <v>48</v>
      </c>
      <c r="G995" s="2" t="s">
        <v>88</v>
      </c>
      <c r="H995" s="2" t="s">
        <v>49</v>
      </c>
      <c r="I995" s="2" t="s">
        <v>88</v>
      </c>
      <c r="J995" s="2" t="s">
        <v>138</v>
      </c>
      <c r="K995" s="2">
        <v>1</v>
      </c>
      <c r="L995" s="2">
        <v>24272</v>
      </c>
      <c r="M995" s="2">
        <v>20</v>
      </c>
      <c r="N995" s="2">
        <v>4854.3999999999996</v>
      </c>
      <c r="O995" s="2">
        <v>3495.17</v>
      </c>
      <c r="P995" s="2">
        <v>462</v>
      </c>
      <c r="Q995" s="2">
        <v>23374.77</v>
      </c>
      <c r="R995" s="2" t="s">
        <v>76</v>
      </c>
      <c r="S995" s="2" t="s">
        <v>34</v>
      </c>
      <c r="T995" s="9" t="s">
        <v>1708</v>
      </c>
      <c r="U995" s="10" t="s">
        <v>52</v>
      </c>
      <c r="V995" s="2" t="s">
        <v>77</v>
      </c>
      <c r="W995" s="2">
        <v>7</v>
      </c>
      <c r="X995" s="2" t="s">
        <v>44</v>
      </c>
      <c r="Y995" s="2">
        <v>4</v>
      </c>
      <c r="Z995" s="2" t="s">
        <v>54</v>
      </c>
    </row>
    <row r="996" spans="1:26" x14ac:dyDescent="0.35">
      <c r="A996" s="2" t="s">
        <v>1676</v>
      </c>
      <c r="B996" s="3">
        <v>45848</v>
      </c>
      <c r="C996" s="2" t="s">
        <v>1677</v>
      </c>
      <c r="D996" s="2" t="s">
        <v>62</v>
      </c>
      <c r="E996" s="2" t="s">
        <v>41</v>
      </c>
      <c r="F996" s="2">
        <v>50</v>
      </c>
      <c r="G996" s="2" t="s">
        <v>69</v>
      </c>
      <c r="H996" s="2" t="s">
        <v>31</v>
      </c>
      <c r="I996" s="2" t="s">
        <v>69</v>
      </c>
      <c r="J996" s="2" t="s">
        <v>65</v>
      </c>
      <c r="K996" s="2">
        <v>2</v>
      </c>
      <c r="L996" s="2">
        <v>39387</v>
      </c>
      <c r="M996" s="2">
        <v>15</v>
      </c>
      <c r="N996" s="2">
        <v>11816.1</v>
      </c>
      <c r="O996" s="2">
        <v>12052.42</v>
      </c>
      <c r="P996" s="2">
        <v>127</v>
      </c>
      <c r="Q996" s="2">
        <v>79137.320000000007</v>
      </c>
      <c r="R996" s="2" t="s">
        <v>51</v>
      </c>
      <c r="S996" s="2" t="s">
        <v>59</v>
      </c>
      <c r="T996" s="9" t="s">
        <v>1710</v>
      </c>
      <c r="U996" s="10" t="s">
        <v>1711</v>
      </c>
      <c r="V996" s="2" t="s">
        <v>53</v>
      </c>
      <c r="W996" s="2">
        <v>5</v>
      </c>
      <c r="X996" s="2" t="s">
        <v>36</v>
      </c>
      <c r="Y996" s="2">
        <v>5</v>
      </c>
      <c r="Z996" s="2" t="s">
        <v>37</v>
      </c>
    </row>
    <row r="997" spans="1:26" x14ac:dyDescent="0.35">
      <c r="A997" s="2" t="s">
        <v>1678</v>
      </c>
      <c r="B997" s="3">
        <v>45786</v>
      </c>
      <c r="C997" s="2" t="s">
        <v>1271</v>
      </c>
      <c r="D997" s="2" t="s">
        <v>80</v>
      </c>
      <c r="E997" s="2" t="s">
        <v>41</v>
      </c>
      <c r="F997" s="2">
        <v>30</v>
      </c>
      <c r="G997" s="2" t="s">
        <v>127</v>
      </c>
      <c r="H997" s="2" t="s">
        <v>31</v>
      </c>
      <c r="I997" s="2" t="s">
        <v>127</v>
      </c>
      <c r="J997" s="2" t="s">
        <v>70</v>
      </c>
      <c r="K997" s="2">
        <v>4</v>
      </c>
      <c r="L997" s="2">
        <v>1783</v>
      </c>
      <c r="M997" s="2">
        <v>5</v>
      </c>
      <c r="N997" s="2">
        <v>356.6</v>
      </c>
      <c r="O997" s="2">
        <v>1219.57</v>
      </c>
      <c r="P997" s="2">
        <v>382</v>
      </c>
      <c r="Q997" s="2">
        <v>8376.9699999999993</v>
      </c>
      <c r="R997" s="2" t="s">
        <v>51</v>
      </c>
      <c r="S997" s="2" t="s">
        <v>59</v>
      </c>
      <c r="T997" s="9" t="s">
        <v>1705</v>
      </c>
      <c r="U997" s="10" t="s">
        <v>1702</v>
      </c>
      <c r="V997" s="2" t="s">
        <v>53</v>
      </c>
      <c r="W997" s="2">
        <v>6</v>
      </c>
      <c r="X997" s="2" t="s">
        <v>44</v>
      </c>
      <c r="Y997" s="2">
        <v>5</v>
      </c>
      <c r="Z997" s="2" t="s">
        <v>37</v>
      </c>
    </row>
    <row r="998" spans="1:26" x14ac:dyDescent="0.35">
      <c r="A998" s="2" t="s">
        <v>1679</v>
      </c>
      <c r="B998" s="3">
        <v>45831</v>
      </c>
      <c r="C998" s="2" t="s">
        <v>1680</v>
      </c>
      <c r="D998" s="2" t="s">
        <v>28</v>
      </c>
      <c r="E998" s="2" t="s">
        <v>41</v>
      </c>
      <c r="F998" s="2">
        <v>34</v>
      </c>
      <c r="G998" s="2" t="s">
        <v>127</v>
      </c>
      <c r="H998" s="2" t="s">
        <v>31</v>
      </c>
      <c r="I998" s="2" t="s">
        <v>127</v>
      </c>
      <c r="J998" s="2" t="s">
        <v>100</v>
      </c>
      <c r="K998" s="2">
        <v>2</v>
      </c>
      <c r="L998" s="2">
        <v>9037</v>
      </c>
      <c r="M998" s="2">
        <v>20</v>
      </c>
      <c r="N998" s="2">
        <v>3614.8</v>
      </c>
      <c r="O998" s="2">
        <v>2602.66</v>
      </c>
      <c r="P998" s="2">
        <v>427</v>
      </c>
      <c r="Q998" s="2">
        <v>17488.86</v>
      </c>
      <c r="R998" s="2" t="s">
        <v>76</v>
      </c>
      <c r="S998" s="2" t="s">
        <v>59</v>
      </c>
      <c r="T998" s="9" t="s">
        <v>1703</v>
      </c>
      <c r="U998" s="10" t="s">
        <v>1701</v>
      </c>
      <c r="V998" s="2" t="s">
        <v>35</v>
      </c>
      <c r="W998" s="2">
        <v>8</v>
      </c>
      <c r="X998" s="2" t="s">
        <v>36</v>
      </c>
      <c r="Y998" s="2">
        <v>4</v>
      </c>
      <c r="Z998" s="2" t="s">
        <v>82</v>
      </c>
    </row>
    <row r="999" spans="1:26" x14ac:dyDescent="0.35">
      <c r="A999" s="2" t="s">
        <v>1681</v>
      </c>
      <c r="B999" s="3">
        <v>45946</v>
      </c>
      <c r="C999" s="2" t="s">
        <v>1682</v>
      </c>
      <c r="D999" s="2" t="s">
        <v>73</v>
      </c>
      <c r="E999" s="2" t="s">
        <v>29</v>
      </c>
      <c r="F999" s="2">
        <v>28</v>
      </c>
      <c r="G999" s="2" t="s">
        <v>88</v>
      </c>
      <c r="H999" s="2" t="s">
        <v>49</v>
      </c>
      <c r="I999" s="2" t="s">
        <v>88</v>
      </c>
      <c r="J999" s="2" t="s">
        <v>50</v>
      </c>
      <c r="K999" s="2">
        <v>4</v>
      </c>
      <c r="L999" s="2">
        <v>4700</v>
      </c>
      <c r="M999" s="2">
        <v>10</v>
      </c>
      <c r="N999" s="2">
        <v>1880</v>
      </c>
      <c r="O999" s="2">
        <v>3045.6</v>
      </c>
      <c r="P999" s="2">
        <v>112</v>
      </c>
      <c r="Q999" s="2">
        <v>20077.599999999999</v>
      </c>
      <c r="R999" s="2" t="s">
        <v>51</v>
      </c>
      <c r="S999" s="2" t="s">
        <v>34</v>
      </c>
      <c r="T999" s="9" t="s">
        <v>1709</v>
      </c>
      <c r="U999" s="10" t="s">
        <v>52</v>
      </c>
      <c r="V999" s="2" t="s">
        <v>53</v>
      </c>
      <c r="W999" s="2">
        <v>2</v>
      </c>
      <c r="X999" s="2" t="s">
        <v>36</v>
      </c>
      <c r="Y999" s="2">
        <v>3</v>
      </c>
      <c r="Z999" s="2" t="s">
        <v>54</v>
      </c>
    </row>
    <row r="1000" spans="1:26" x14ac:dyDescent="0.35">
      <c r="A1000" s="2" t="s">
        <v>1683</v>
      </c>
      <c r="B1000" s="3">
        <v>46055</v>
      </c>
      <c r="C1000" s="2" t="s">
        <v>624</v>
      </c>
      <c r="D1000" s="2" t="s">
        <v>57</v>
      </c>
      <c r="E1000" s="2" t="s">
        <v>41</v>
      </c>
      <c r="F1000" s="2">
        <v>27</v>
      </c>
      <c r="G1000" s="2" t="s">
        <v>30</v>
      </c>
      <c r="H1000" s="2" t="s">
        <v>31</v>
      </c>
      <c r="I1000" s="2" t="s">
        <v>30</v>
      </c>
      <c r="J1000" s="2" t="s">
        <v>138</v>
      </c>
      <c r="K1000" s="2">
        <v>3</v>
      </c>
      <c r="L1000" s="2">
        <v>3766</v>
      </c>
      <c r="M1000" s="2">
        <v>0</v>
      </c>
      <c r="N1000" s="2">
        <v>0</v>
      </c>
      <c r="O1000" s="2">
        <v>2033.64</v>
      </c>
      <c r="P1000" s="2">
        <v>38</v>
      </c>
      <c r="Q1000" s="2">
        <v>13369.64</v>
      </c>
      <c r="R1000" s="2" t="s">
        <v>76</v>
      </c>
      <c r="S1000" s="2" t="s">
        <v>59</v>
      </c>
      <c r="T1000" s="9" t="s">
        <v>1705</v>
      </c>
      <c r="U1000" s="10" t="s">
        <v>1702</v>
      </c>
      <c r="V1000" s="2" t="s">
        <v>53</v>
      </c>
      <c r="W1000" s="2">
        <v>2</v>
      </c>
      <c r="X1000" s="2" t="s">
        <v>44</v>
      </c>
      <c r="Y1000" s="2">
        <v>5</v>
      </c>
      <c r="Z1000" s="2" t="s">
        <v>54</v>
      </c>
    </row>
    <row r="1001" spans="1:26" ht="15" thickBot="1" x14ac:dyDescent="0.4">
      <c r="A1001" s="4" t="s">
        <v>1684</v>
      </c>
      <c r="B1001" s="5">
        <v>46006</v>
      </c>
      <c r="C1001" s="4" t="s">
        <v>1058</v>
      </c>
      <c r="D1001" s="4" t="s">
        <v>68</v>
      </c>
      <c r="E1001" s="4" t="s">
        <v>29</v>
      </c>
      <c r="F1001" s="4">
        <v>39</v>
      </c>
      <c r="G1001" s="4" t="s">
        <v>30</v>
      </c>
      <c r="H1001" s="4" t="s">
        <v>31</v>
      </c>
      <c r="I1001" s="4" t="s">
        <v>30</v>
      </c>
      <c r="J1001" s="4" t="s">
        <v>190</v>
      </c>
      <c r="K1001" s="4">
        <v>3</v>
      </c>
      <c r="L1001" s="4">
        <v>26044</v>
      </c>
      <c r="M1001" s="4">
        <v>20</v>
      </c>
      <c r="N1001" s="4">
        <v>15626.4</v>
      </c>
      <c r="O1001" s="4">
        <v>11251.01</v>
      </c>
      <c r="P1001" s="4">
        <v>346</v>
      </c>
      <c r="Q1001" s="4">
        <v>74102.61</v>
      </c>
      <c r="R1001" s="4" t="s">
        <v>33</v>
      </c>
      <c r="S1001" s="4" t="s">
        <v>34</v>
      </c>
      <c r="T1001" s="9" t="s">
        <v>1706</v>
      </c>
      <c r="U1001" s="10" t="s">
        <v>52</v>
      </c>
      <c r="V1001" s="4" t="s">
        <v>53</v>
      </c>
      <c r="W1001" s="4">
        <v>9</v>
      </c>
      <c r="X1001" s="4" t="s">
        <v>44</v>
      </c>
      <c r="Y1001" s="4">
        <v>3</v>
      </c>
      <c r="Z1001" s="4" t="s">
        <v>82</v>
      </c>
    </row>
    <row r="1002" spans="1:26" ht="15" thickBot="1" x14ac:dyDescent="0.4">
      <c r="A1002" s="4" t="s">
        <v>1685</v>
      </c>
      <c r="B1002" s="5">
        <v>46006</v>
      </c>
      <c r="C1002" s="4" t="s">
        <v>1058</v>
      </c>
      <c r="D1002" s="4" t="s">
        <v>68</v>
      </c>
      <c r="E1002" s="4" t="s">
        <v>29</v>
      </c>
      <c r="F1002" s="4">
        <v>39</v>
      </c>
      <c r="G1002" s="4" t="s">
        <v>30</v>
      </c>
      <c r="H1002" s="4" t="s">
        <v>31</v>
      </c>
      <c r="I1002" s="4" t="s">
        <v>1624</v>
      </c>
      <c r="J1002" s="4" t="s">
        <v>190</v>
      </c>
      <c r="K1002" s="4">
        <v>3</v>
      </c>
      <c r="L1002" s="4">
        <v>26044</v>
      </c>
      <c r="M1002" s="4">
        <v>20</v>
      </c>
      <c r="N1002" s="4">
        <v>15626.4</v>
      </c>
      <c r="O1002" s="4">
        <v>11251.01</v>
      </c>
      <c r="P1002" s="4">
        <v>346</v>
      </c>
      <c r="Q1002" s="4">
        <v>74102.61</v>
      </c>
      <c r="R1002" s="4" t="s">
        <v>33</v>
      </c>
      <c r="S1002" s="4" t="s">
        <v>34</v>
      </c>
      <c r="T1002" s="9" t="s">
        <v>1706</v>
      </c>
      <c r="U1002" s="10" t="s">
        <v>52</v>
      </c>
      <c r="V1002" s="4" t="s">
        <v>53</v>
      </c>
      <c r="W1002" s="4">
        <v>9</v>
      </c>
      <c r="X1002" s="4" t="s">
        <v>44</v>
      </c>
      <c r="Y1002" s="4">
        <v>3</v>
      </c>
      <c r="Z1002" s="4"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C17C-935E-4C34-83BA-0CFA4916529A}">
  <dimension ref="C2:C27"/>
  <sheetViews>
    <sheetView topLeftCell="A4" zoomScale="104" workbookViewId="0">
      <selection activeCell="K27" sqref="K27"/>
    </sheetView>
  </sheetViews>
  <sheetFormatPr defaultRowHeight="14.5" x14ac:dyDescent="0.35"/>
  <sheetData>
    <row r="2" spans="3:3" x14ac:dyDescent="0.35">
      <c r="C2" t="s">
        <v>0</v>
      </c>
    </row>
    <row r="3" spans="3:3" x14ac:dyDescent="0.35">
      <c r="C3" t="s">
        <v>1</v>
      </c>
    </row>
    <row r="4" spans="3:3" x14ac:dyDescent="0.35">
      <c r="C4" t="s">
        <v>2</v>
      </c>
    </row>
    <row r="5" spans="3:3" x14ac:dyDescent="0.35">
      <c r="C5" t="s">
        <v>3</v>
      </c>
    </row>
    <row r="6" spans="3:3" x14ac:dyDescent="0.35">
      <c r="C6" t="s">
        <v>4</v>
      </c>
    </row>
    <row r="7" spans="3:3" x14ac:dyDescent="0.35">
      <c r="C7" t="s">
        <v>5</v>
      </c>
    </row>
    <row r="8" spans="3:3" x14ac:dyDescent="0.35">
      <c r="C8" t="s">
        <v>6</v>
      </c>
    </row>
    <row r="9" spans="3:3" x14ac:dyDescent="0.35">
      <c r="C9" t="s">
        <v>7</v>
      </c>
    </row>
    <row r="10" spans="3:3" x14ac:dyDescent="0.35">
      <c r="C10" t="s">
        <v>8</v>
      </c>
    </row>
    <row r="11" spans="3:3" x14ac:dyDescent="0.35">
      <c r="C11" t="s">
        <v>9</v>
      </c>
    </row>
    <row r="12" spans="3:3" x14ac:dyDescent="0.35">
      <c r="C12" t="s">
        <v>10</v>
      </c>
    </row>
    <row r="13" spans="3:3" x14ac:dyDescent="0.35">
      <c r="C13" t="s">
        <v>11</v>
      </c>
    </row>
    <row r="14" spans="3:3" x14ac:dyDescent="0.35">
      <c r="C14" t="s">
        <v>12</v>
      </c>
    </row>
    <row r="15" spans="3:3" x14ac:dyDescent="0.35">
      <c r="C15" t="s">
        <v>13</v>
      </c>
    </row>
    <row r="16" spans="3:3" x14ac:dyDescent="0.35">
      <c r="C16" t="s">
        <v>14</v>
      </c>
    </row>
    <row r="17" spans="3:3" x14ac:dyDescent="0.35">
      <c r="C17" t="s">
        <v>15</v>
      </c>
    </row>
    <row r="18" spans="3:3" x14ac:dyDescent="0.35">
      <c r="C18" t="s">
        <v>16</v>
      </c>
    </row>
    <row r="19" spans="3:3" x14ac:dyDescent="0.35">
      <c r="C19" t="s">
        <v>17</v>
      </c>
    </row>
    <row r="20" spans="3:3" x14ac:dyDescent="0.35">
      <c r="C20" t="s">
        <v>18</v>
      </c>
    </row>
    <row r="21" spans="3:3" x14ac:dyDescent="0.35">
      <c r="C21" t="s">
        <v>19</v>
      </c>
    </row>
    <row r="22" spans="3:3" x14ac:dyDescent="0.35">
      <c r="C22" t="s">
        <v>20</v>
      </c>
    </row>
    <row r="23" spans="3:3" x14ac:dyDescent="0.35">
      <c r="C23" t="s">
        <v>21</v>
      </c>
    </row>
    <row r="24" spans="3:3" x14ac:dyDescent="0.35">
      <c r="C24" t="s">
        <v>22</v>
      </c>
    </row>
    <row r="25" spans="3:3" x14ac:dyDescent="0.35">
      <c r="C25" t="s">
        <v>23</v>
      </c>
    </row>
    <row r="26" spans="3:3" x14ac:dyDescent="0.35">
      <c r="C26" t="s">
        <v>24</v>
      </c>
    </row>
    <row r="27" spans="3:3" x14ac:dyDescent="0.35">
      <c r="C27" t="s">
        <v>25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ED022-52C7-4D85-B482-572F979144CE}">
  <dimension ref="A2:AF31"/>
  <sheetViews>
    <sheetView topLeftCell="A4" zoomScale="40" zoomScaleNormal="100" workbookViewId="0"/>
  </sheetViews>
  <sheetFormatPr defaultRowHeight="14.5" x14ac:dyDescent="0.35"/>
  <cols>
    <col min="1" max="1" width="20.81640625" bestFit="1" customWidth="1"/>
    <col min="2" max="2" width="26.7265625" bestFit="1" customWidth="1"/>
    <col min="5" max="5" width="20.81640625" bestFit="1" customWidth="1"/>
    <col min="6" max="6" width="26.7265625" bestFit="1" customWidth="1"/>
    <col min="9" max="9" width="20.81640625" bestFit="1" customWidth="1"/>
    <col min="10" max="10" width="26.7265625" bestFit="1" customWidth="1"/>
    <col min="13" max="13" width="20.81640625" bestFit="1" customWidth="1"/>
    <col min="14" max="14" width="26.7265625" bestFit="1" customWidth="1"/>
    <col min="17" max="17" width="20.81640625" bestFit="1" customWidth="1"/>
    <col min="18" max="18" width="26.7265625" bestFit="1" customWidth="1"/>
    <col min="20" max="20" width="27.1796875" bestFit="1" customWidth="1"/>
    <col min="21" max="21" width="26.7265625" bestFit="1" customWidth="1"/>
    <col min="24" max="24" width="20.81640625" bestFit="1" customWidth="1"/>
    <col min="25" max="25" width="26.7265625" bestFit="1" customWidth="1"/>
    <col min="28" max="28" width="26.7265625" bestFit="1" customWidth="1"/>
    <col min="29" max="29" width="17.81640625" bestFit="1" customWidth="1"/>
    <col min="30" max="30" width="31.26953125" bestFit="1" customWidth="1"/>
    <col min="32" max="32" width="23.26953125" bestFit="1" customWidth="1"/>
    <col min="33" max="33" width="20.81640625" bestFit="1" customWidth="1"/>
  </cols>
  <sheetData>
    <row r="2" spans="1:32" x14ac:dyDescent="0.35">
      <c r="AB2" s="11">
        <v>57012218.539999999</v>
      </c>
      <c r="AD2" s="11">
        <v>5.4222539229671893</v>
      </c>
      <c r="AF2" s="11">
        <v>2.9828815977175465</v>
      </c>
    </row>
    <row r="3" spans="1:32" x14ac:dyDescent="0.35">
      <c r="A3" s="6" t="s">
        <v>1686</v>
      </c>
      <c r="B3" t="s">
        <v>1700</v>
      </c>
      <c r="E3" s="6" t="s">
        <v>1686</v>
      </c>
      <c r="F3" t="s">
        <v>1700</v>
      </c>
      <c r="I3" s="6" t="s">
        <v>1686</v>
      </c>
      <c r="J3" t="s">
        <v>1700</v>
      </c>
      <c r="M3" s="6" t="s">
        <v>1686</v>
      </c>
      <c r="N3" t="s">
        <v>1700</v>
      </c>
      <c r="Q3" s="6" t="s">
        <v>1686</v>
      </c>
      <c r="R3" t="s">
        <v>1700</v>
      </c>
      <c r="T3" s="6" t="s">
        <v>1686</v>
      </c>
      <c r="U3" t="s">
        <v>1700</v>
      </c>
      <c r="X3" s="6" t="s">
        <v>1686</v>
      </c>
      <c r="Y3" t="s">
        <v>1700</v>
      </c>
      <c r="AB3" t="s">
        <v>1700</v>
      </c>
      <c r="AD3" t="s">
        <v>1713</v>
      </c>
      <c r="AF3" t="s">
        <v>1714</v>
      </c>
    </row>
    <row r="4" spans="1:32" x14ac:dyDescent="0.35">
      <c r="A4" s="7" t="s">
        <v>1697</v>
      </c>
      <c r="B4" s="8">
        <v>8.5566078180712352E-2</v>
      </c>
      <c r="E4" s="7" t="s">
        <v>63</v>
      </c>
      <c r="F4" s="8">
        <v>8.5677379445310134E-2</v>
      </c>
      <c r="I4" s="7" t="s">
        <v>190</v>
      </c>
      <c r="J4" s="8">
        <v>7.6454009129043488E-2</v>
      </c>
      <c r="M4" s="7" t="s">
        <v>76</v>
      </c>
      <c r="N4" s="8">
        <v>0.2346270623651715</v>
      </c>
      <c r="Q4" s="7" t="s">
        <v>59</v>
      </c>
      <c r="R4" s="8">
        <v>0.5081331071361247</v>
      </c>
      <c r="T4" s="7" t="s">
        <v>1711</v>
      </c>
      <c r="U4" s="8">
        <v>0.13505522664735858</v>
      </c>
      <c r="X4" s="7" t="s">
        <v>36</v>
      </c>
      <c r="Y4" s="8">
        <v>0.50084121620068056</v>
      </c>
      <c r="AB4" s="11">
        <v>80733763.739999995</v>
      </c>
      <c r="AD4" s="11">
        <v>5.4665334665334662</v>
      </c>
      <c r="AF4" s="11">
        <v>3.0019980019980022</v>
      </c>
    </row>
    <row r="5" spans="1:32" x14ac:dyDescent="0.35">
      <c r="A5" s="7" t="s">
        <v>1698</v>
      </c>
      <c r="B5" s="8">
        <v>6.2345037526179384E-2</v>
      </c>
      <c r="E5" s="7" t="s">
        <v>81</v>
      </c>
      <c r="F5" s="8">
        <v>8.9792012463904489E-2</v>
      </c>
      <c r="I5" s="7" t="s">
        <v>113</v>
      </c>
      <c r="J5" s="8">
        <v>9.8734886505119107E-2</v>
      </c>
      <c r="M5" s="7" t="s">
        <v>43</v>
      </c>
      <c r="N5" s="8">
        <v>0.24360147760900119</v>
      </c>
      <c r="Q5" s="7" t="s">
        <v>34</v>
      </c>
      <c r="R5" s="8">
        <v>0.49186689286387536</v>
      </c>
      <c r="T5" s="7" t="s">
        <v>1702</v>
      </c>
      <c r="U5" s="8">
        <v>0.10323272214634398</v>
      </c>
      <c r="X5" s="7" t="s">
        <v>44</v>
      </c>
      <c r="Y5" s="8">
        <v>0.49915878379931955</v>
      </c>
    </row>
    <row r="6" spans="1:32" x14ac:dyDescent="0.35">
      <c r="A6" s="7" t="s">
        <v>1699</v>
      </c>
      <c r="B6" s="8">
        <v>8.399398301110346E-2</v>
      </c>
      <c r="E6" s="7" t="s">
        <v>30</v>
      </c>
      <c r="F6" s="8">
        <v>0.11815742408245615</v>
      </c>
      <c r="I6" s="7" t="s">
        <v>50</v>
      </c>
      <c r="J6" s="8">
        <v>0.11035644155885853</v>
      </c>
      <c r="M6" s="7" t="s">
        <v>33</v>
      </c>
      <c r="N6" s="8">
        <v>0.25669345847346225</v>
      </c>
      <c r="Q6" s="7" t="s">
        <v>1687</v>
      </c>
      <c r="R6" s="8">
        <v>1</v>
      </c>
      <c r="T6" s="7" t="s">
        <v>1712</v>
      </c>
      <c r="U6" s="8">
        <v>0.10874451485098074</v>
      </c>
      <c r="X6" s="7" t="s">
        <v>1687</v>
      </c>
      <c r="Y6" s="8">
        <v>1</v>
      </c>
    </row>
    <row r="7" spans="1:32" x14ac:dyDescent="0.35">
      <c r="A7" s="7" t="s">
        <v>1688</v>
      </c>
      <c r="B7" s="8">
        <v>8.0548741304105095E-2</v>
      </c>
      <c r="E7" s="7" t="s">
        <v>42</v>
      </c>
      <c r="F7" s="8">
        <v>0.12736145280076347</v>
      </c>
      <c r="I7" s="7" t="s">
        <v>58</v>
      </c>
      <c r="J7" s="8">
        <v>0.11820485739687875</v>
      </c>
      <c r="M7" s="7" t="s">
        <v>51</v>
      </c>
      <c r="N7" s="8">
        <v>0.26507800155236516</v>
      </c>
      <c r="T7" s="7" t="s">
        <v>52</v>
      </c>
      <c r="U7" s="8">
        <v>0.51833775822427675</v>
      </c>
    </row>
    <row r="8" spans="1:32" x14ac:dyDescent="0.35">
      <c r="A8" s="7" t="s">
        <v>1689</v>
      </c>
      <c r="B8" s="8">
        <v>7.8572001429646224E-2</v>
      </c>
      <c r="E8" s="7" t="s">
        <v>69</v>
      </c>
      <c r="F8" s="8">
        <v>9.2402679057856096E-2</v>
      </c>
      <c r="I8" s="7" t="s">
        <v>65</v>
      </c>
      <c r="J8" s="8">
        <v>9.4702184511334914E-2</v>
      </c>
      <c r="M8" s="7" t="s">
        <v>1687</v>
      </c>
      <c r="N8" s="8">
        <v>1</v>
      </c>
      <c r="T8" s="7" t="s">
        <v>1701</v>
      </c>
      <c r="U8" s="8">
        <v>0.13462977813103996</v>
      </c>
    </row>
    <row r="9" spans="1:32" x14ac:dyDescent="0.35">
      <c r="A9" s="7" t="s">
        <v>1690</v>
      </c>
      <c r="B9" s="8">
        <v>6.8064404599006992E-2</v>
      </c>
      <c r="E9" s="7" t="s">
        <v>127</v>
      </c>
      <c r="F9" s="8">
        <v>0.10010431392777776</v>
      </c>
      <c r="I9" s="7" t="s">
        <v>70</v>
      </c>
      <c r="J9" s="8">
        <v>9.6944304804189724E-2</v>
      </c>
      <c r="T9" s="7" t="s">
        <v>1687</v>
      </c>
      <c r="U9" s="8">
        <v>1</v>
      </c>
    </row>
    <row r="10" spans="1:32" x14ac:dyDescent="0.35">
      <c r="A10" s="7" t="s">
        <v>1691</v>
      </c>
      <c r="B10" s="8">
        <v>8.974804647203731E-2</v>
      </c>
      <c r="E10" s="7" t="s">
        <v>85</v>
      </c>
      <c r="F10" s="8">
        <v>8.9193081387735143E-2</v>
      </c>
      <c r="I10" s="7" t="s">
        <v>100</v>
      </c>
      <c r="J10" s="8">
        <v>0.10057007308798607</v>
      </c>
    </row>
    <row r="11" spans="1:32" x14ac:dyDescent="0.35">
      <c r="A11" s="7" t="s">
        <v>1692</v>
      </c>
      <c r="B11" s="8">
        <v>8.8014162363143161E-2</v>
      </c>
      <c r="E11" s="7" t="s">
        <v>48</v>
      </c>
      <c r="F11" s="8">
        <v>0.10311044951166549</v>
      </c>
      <c r="I11" s="7" t="s">
        <v>138</v>
      </c>
      <c r="J11" s="8">
        <v>0.10188391187223499</v>
      </c>
    </row>
    <row r="12" spans="1:32" x14ac:dyDescent="0.35">
      <c r="A12" s="7" t="s">
        <v>1693</v>
      </c>
      <c r="B12" s="8">
        <v>8.9071755321090407E-2</v>
      </c>
      <c r="E12" s="7" t="s">
        <v>122</v>
      </c>
      <c r="F12" s="8">
        <v>8.9164691902421642E-2</v>
      </c>
      <c r="I12" s="7" t="s">
        <v>91</v>
      </c>
      <c r="J12" s="8">
        <v>8.4067700124294986E-2</v>
      </c>
    </row>
    <row r="13" spans="1:32" x14ac:dyDescent="0.35">
      <c r="A13" s="7" t="s">
        <v>1694</v>
      </c>
      <c r="B13" s="8">
        <v>8.6277169517725752E-2</v>
      </c>
      <c r="E13" s="7" t="s">
        <v>88</v>
      </c>
      <c r="F13" s="8">
        <v>0.10503651542010968</v>
      </c>
      <c r="I13" s="7" t="s">
        <v>32</v>
      </c>
      <c r="J13" s="8">
        <v>0.11808163101005949</v>
      </c>
      <c r="T13" t="s">
        <v>1686</v>
      </c>
      <c r="U13" t="s">
        <v>1700</v>
      </c>
    </row>
    <row r="14" spans="1:32" x14ac:dyDescent="0.35">
      <c r="A14" s="7" t="s">
        <v>1695</v>
      </c>
      <c r="B14" s="8">
        <v>8.2447209341512603E-2</v>
      </c>
      <c r="I14" s="7" t="s">
        <v>1687</v>
      </c>
      <c r="J14" s="8">
        <v>1</v>
      </c>
      <c r="T14" t="str">
        <f>IF(T4=0," ",T4)</f>
        <v>Balochistan</v>
      </c>
      <c r="U14" s="12">
        <f>IF(U4=0," ",U4)</f>
        <v>0.13505522664735858</v>
      </c>
    </row>
    <row r="15" spans="1:32" x14ac:dyDescent="0.35">
      <c r="A15" s="7" t="s">
        <v>1696</v>
      </c>
      <c r="B15" s="8">
        <v>0.1053514109337373</v>
      </c>
      <c r="T15" t="str">
        <f t="shared" ref="T15:T18" si="0">IF(T5=0," ",T5)</f>
        <v>Islamabad Capital Territory</v>
      </c>
      <c r="U15" s="12">
        <f t="shared" ref="U15:U18" si="1">IF(U5=0," ",U5)</f>
        <v>0.10323272214634398</v>
      </c>
    </row>
    <row r="16" spans="1:32" x14ac:dyDescent="0.35">
      <c r="A16" s="7" t="s">
        <v>1687</v>
      </c>
      <c r="B16" s="8">
        <v>1</v>
      </c>
      <c r="T16" t="str">
        <f t="shared" si="0"/>
        <v>Khyber Pakhtunkhwa</v>
      </c>
      <c r="U16" s="12">
        <f t="shared" si="1"/>
        <v>0.10874451485098074</v>
      </c>
    </row>
    <row r="17" spans="5:21" x14ac:dyDescent="0.35">
      <c r="T17" t="str">
        <f t="shared" si="0"/>
        <v>Punjab</v>
      </c>
      <c r="U17" s="12">
        <f t="shared" si="1"/>
        <v>0.51833775822427675</v>
      </c>
    </row>
    <row r="18" spans="5:21" x14ac:dyDescent="0.35">
      <c r="T18" t="str">
        <f t="shared" si="0"/>
        <v>Sindh</v>
      </c>
      <c r="U18" s="12">
        <f t="shared" si="1"/>
        <v>0.13462977813103996</v>
      </c>
    </row>
    <row r="19" spans="5:21" x14ac:dyDescent="0.35">
      <c r="E19" t="s">
        <v>1686</v>
      </c>
      <c r="F19" t="s">
        <v>1700</v>
      </c>
    </row>
    <row r="20" spans="5:21" x14ac:dyDescent="0.35">
      <c r="E20" t="str">
        <f>IF(E4=0," ",E4)</f>
        <v>Backpack</v>
      </c>
      <c r="F20" s="8">
        <f>IF(F4=0," ",F4)</f>
        <v>8.5677379445310134E-2</v>
      </c>
    </row>
    <row r="21" spans="5:21" x14ac:dyDescent="0.35">
      <c r="E21" t="str">
        <f t="shared" ref="E21:E29" si="2">IF(E5=0," ",E5)</f>
        <v>Camera</v>
      </c>
      <c r="F21" s="8">
        <f t="shared" ref="F21:F31" si="3">IF(F5=0," ",F5)</f>
        <v>8.9792012463904489E-2</v>
      </c>
      <c r="U21" s="13"/>
    </row>
    <row r="22" spans="5:21" x14ac:dyDescent="0.35">
      <c r="E22" t="str">
        <f t="shared" si="2"/>
        <v>Headphones</v>
      </c>
      <c r="F22" s="8">
        <f t="shared" si="3"/>
        <v>0.11815742408245615</v>
      </c>
      <c r="U22" s="13"/>
    </row>
    <row r="23" spans="5:21" x14ac:dyDescent="0.35">
      <c r="E23" t="str">
        <f t="shared" si="2"/>
        <v>Keyboard</v>
      </c>
      <c r="F23" s="8">
        <f t="shared" si="3"/>
        <v>0.12736145280076347</v>
      </c>
      <c r="U23" s="13"/>
    </row>
    <row r="24" spans="5:21" x14ac:dyDescent="0.35">
      <c r="E24" t="str">
        <f t="shared" si="2"/>
        <v>Laptop</v>
      </c>
      <c r="F24" s="8">
        <f t="shared" si="3"/>
        <v>9.2402679057856096E-2</v>
      </c>
    </row>
    <row r="25" spans="5:21" x14ac:dyDescent="0.35">
      <c r="E25" t="str">
        <f t="shared" si="2"/>
        <v>Mouse</v>
      </c>
      <c r="F25" s="8">
        <f t="shared" si="3"/>
        <v>0.10010431392777776</v>
      </c>
    </row>
    <row r="26" spans="5:21" x14ac:dyDescent="0.35">
      <c r="E26" t="str">
        <f t="shared" si="2"/>
        <v>Phone</v>
      </c>
      <c r="F26" s="8">
        <f t="shared" si="3"/>
        <v>8.9193081387735143E-2</v>
      </c>
    </row>
    <row r="27" spans="5:21" x14ac:dyDescent="0.35">
      <c r="E27" t="str">
        <f t="shared" si="2"/>
        <v>Shoes</v>
      </c>
      <c r="F27" s="8">
        <f t="shared" si="3"/>
        <v>0.10311044951166549</v>
      </c>
    </row>
    <row r="28" spans="5:21" x14ac:dyDescent="0.35">
      <c r="E28" t="str">
        <f t="shared" si="2"/>
        <v>Tablet</v>
      </c>
      <c r="F28" s="8">
        <f t="shared" si="3"/>
        <v>8.9164691902421642E-2</v>
      </c>
    </row>
    <row r="29" spans="5:21" x14ac:dyDescent="0.35">
      <c r="E29" t="str">
        <f t="shared" si="2"/>
        <v>Watch</v>
      </c>
      <c r="F29" s="8">
        <f t="shared" si="3"/>
        <v>0.10503651542010968</v>
      </c>
    </row>
    <row r="30" spans="5:21" x14ac:dyDescent="0.35">
      <c r="F30" s="8" t="str">
        <f t="shared" si="3"/>
        <v xml:space="preserve"> </v>
      </c>
    </row>
    <row r="31" spans="5:21" x14ac:dyDescent="0.35">
      <c r="F31" s="8" t="str">
        <f t="shared" si="3"/>
        <v xml:space="preserve"> </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AB8F3-0E6D-45A8-8078-344F81AF0231}">
  <dimension ref="A1"/>
  <sheetViews>
    <sheetView tabSelected="1" zoomScale="79" zoomScaleNormal="108" workbookViewId="0">
      <selection activeCell="Z9" sqref="Z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6006C5-C202-4B03-B1AE-DA924EE1E8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Data</vt:lpstr>
      <vt:lpstr>Data Check</vt:lpstr>
      <vt:lpstr>KPIs</vt:lpstr>
      <vt:lpstr>DASHBORAD CREATION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Hassan</dc:creator>
  <cp:lastModifiedBy>Muhammad Hassan</cp:lastModifiedBy>
  <dcterms:created xsi:type="dcterms:W3CDTF">2026-08-14T06:21:00Z</dcterms:created>
  <dcterms:modified xsi:type="dcterms:W3CDTF">2026-08-16T07:33:42Z</dcterms:modified>
</cp:coreProperties>
</file>